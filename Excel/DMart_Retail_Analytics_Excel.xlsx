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b850801dcc58ae/Desktop/Nikita/Data Analyst/Dmart/"/>
    </mc:Choice>
  </mc:AlternateContent>
  <xr:revisionPtr revIDLastSave="329" documentId="8_{0998E73B-4983-4E6B-990C-B7147AC55AB9}" xr6:coauthVersionLast="47" xr6:coauthVersionMax="47" xr10:uidLastSave="{EF4C2770-8A83-4303-B957-1719992F74D3}"/>
  <bookViews>
    <workbookView xWindow="-108" yWindow="-108" windowWidth="23256" windowHeight="12456" activeTab="4" xr2:uid="{A2FD9A07-61E7-4CCA-8706-14A11D4236C9}"/>
  </bookViews>
  <sheets>
    <sheet name="Raw_Data" sheetId="1" r:id="rId1"/>
    <sheet name="Data_Cleaning" sheetId="2" r:id="rId2"/>
    <sheet name="Analysis" sheetId="3" r:id="rId3"/>
    <sheet name="Pivot Analysis" sheetId="6" r:id="rId4"/>
    <sheet name="Dashboard" sheetId="5" r:id="rId5"/>
  </sheets>
  <definedNames>
    <definedName name="ExternalData_1" localSheetId="0" hidden="1">Raw_Data!$A$2:$G$5191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5" l="1"/>
  <c r="E3" i="5"/>
  <c r="G3" i="5"/>
  <c r="C3" i="5"/>
  <c r="C7" i="3" a="1"/>
  <c r="C6" i="3"/>
  <c r="C5" i="3"/>
  <c r="C4" i="3"/>
  <c r="C3" i="3"/>
  <c r="A3" i="5" s="1"/>
  <c r="D5" i="2"/>
  <c r="D3" i="2"/>
  <c r="D6" i="2"/>
  <c r="D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C5EB0-2819-4C26-B8B9-F174DC5EC86E}" keepAlive="1" name="Query - sales_transactions_cleaned" description="Connection to the 'sales_transactions_cleaned' query in the workbook." type="5" refreshedVersion="8" background="1" saveData="1">
    <dbPr connection="Provider=Microsoft.Mashup.OleDb.1;Data Source=$Workbook$;Location=sales_transactions_cleaned;Extended Properties=&quot;&quot;" command="SELECT * FROM [sales_transactions_clean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<sst xmlns="http://schemas.openxmlformats.org/spreadsheetml/2006/main" count="20834" uniqueCount="5903">
  <si>
    <t>sales_transaction_id</t>
  </si>
  <si>
    <t>Product_Name</t>
  </si>
  <si>
    <t>Brand</t>
  </si>
  <si>
    <t>Price</t>
  </si>
  <si>
    <t>Discounted_Price</t>
  </si>
  <si>
    <t>Quantity</t>
  </si>
  <si>
    <t>Category</t>
  </si>
  <si>
    <t>Premia Badam (Almonds)</t>
  </si>
  <si>
    <t>Premia</t>
  </si>
  <si>
    <t>500 gm</t>
  </si>
  <si>
    <t xml:space="preserve"> Dry Fruits</t>
  </si>
  <si>
    <t>100 gm</t>
  </si>
  <si>
    <t>200 gm</t>
  </si>
  <si>
    <t>Nutraj California Almonds (Badam)</t>
  </si>
  <si>
    <t>Nutraj</t>
  </si>
  <si>
    <t>1 kg</t>
  </si>
  <si>
    <t>Chana Dal</t>
  </si>
  <si>
    <t>unbranded</t>
  </si>
  <si>
    <t xml:space="preserve"> Dals</t>
  </si>
  <si>
    <t>Rajma White</t>
  </si>
  <si>
    <t xml:space="preserve"> Pulses</t>
  </si>
  <si>
    <t>Rajma Kashmiri Red</t>
  </si>
  <si>
    <t>Premia Mamra Badam</t>
  </si>
  <si>
    <t>Tata Sampann Chana Dal</t>
  </si>
  <si>
    <t>Tata</t>
  </si>
  <si>
    <t>Rajma Red Small</t>
  </si>
  <si>
    <t>Nutraj Almond</t>
  </si>
  <si>
    <t>Satyam Rajma Pink</t>
  </si>
  <si>
    <t>Satyam</t>
  </si>
  <si>
    <t>KMK Almond Mamra (Badam)</t>
  </si>
  <si>
    <t>KMK</t>
  </si>
  <si>
    <t>DMart Healthy Choice Unpolished Chana Dal</t>
  </si>
  <si>
    <t>DMart Healthy Choice</t>
  </si>
  <si>
    <t>Satyam Rajma Sharmili</t>
  </si>
  <si>
    <t>Satyam Chana Dal</t>
  </si>
  <si>
    <t>Tata Sampann 100% Organic Unpolished Chana Dal</t>
  </si>
  <si>
    <t>Tata Sampann</t>
  </si>
  <si>
    <t>KMK Almond American (Badam)</t>
  </si>
  <si>
    <t>Kanji Manji Kothari</t>
  </si>
  <si>
    <t>Tata Sampann Organic Unpolished Rajma Red</t>
  </si>
  <si>
    <t>DMart Premia Almonds Salted</t>
  </si>
  <si>
    <t>ProV Select California Almonds</t>
  </si>
  <si>
    <t>ProV</t>
  </si>
  <si>
    <t>ProV Select California Independence</t>
  </si>
  <si>
    <t>Moong Dal</t>
  </si>
  <si>
    <t>Nutraj Cashews</t>
  </si>
  <si>
    <t>Premia Regular Kaju (Cashews) - 320</t>
  </si>
  <si>
    <t>Moong Dal Chilti</t>
  </si>
  <si>
    <t>Tata Sampann Moong Dal</t>
  </si>
  <si>
    <t>Kalbavi Cashews (Kaju)</t>
  </si>
  <si>
    <t>Kalbavi</t>
  </si>
  <si>
    <t>Premia Kaju Tukda (Cashews)</t>
  </si>
  <si>
    <t>Chowli Big</t>
  </si>
  <si>
    <t>Chowli Premium</t>
  </si>
  <si>
    <t>Premia Kaju</t>
  </si>
  <si>
    <t>Chowli Small</t>
  </si>
  <si>
    <t>Premia Cashew Broken</t>
  </si>
  <si>
    <t>DMart Healthy Choice Unpolished Moong Dal</t>
  </si>
  <si>
    <t>Premia Kaju Special (Cashews)</t>
  </si>
  <si>
    <t>Kokan Gem Goa Cashew Classic (Kaju)</t>
  </si>
  <si>
    <t>Kokan Gem</t>
  </si>
  <si>
    <t>Kokan Gem Goa Cashew Premium (Kaju)</t>
  </si>
  <si>
    <t>Tata Sampann Moong Chilka</t>
  </si>
  <si>
    <t>TATA</t>
  </si>
  <si>
    <t>Chowli Red</t>
  </si>
  <si>
    <t>Satyam Moong Dal</t>
  </si>
  <si>
    <t>Tata Sampann 100% Organic Unpolished Moong Dal</t>
  </si>
  <si>
    <t>KMK Cashew Nut (Kaju)</t>
  </si>
  <si>
    <t>Premia Premium Kaju (Cashews) - 210</t>
  </si>
  <si>
    <t>24 Mantra Organic Moong Dal</t>
  </si>
  <si>
    <t>24 Mantra Organic</t>
  </si>
  <si>
    <t>Satyam Moong Chilti</t>
  </si>
  <si>
    <t>DMart Premia Cashews Salted</t>
  </si>
  <si>
    <t>Kokan Gem Goa Cashews Tukda</t>
  </si>
  <si>
    <t>Satyam Chowla</t>
  </si>
  <si>
    <t>Nutraj Broken Cashew</t>
  </si>
  <si>
    <t>400 gm</t>
  </si>
  <si>
    <t>Organic Tattva Moong Dal Whole</t>
  </si>
  <si>
    <t>Organic Tattva</t>
  </si>
  <si>
    <t>DMart Premia Cashews Black Pepper</t>
  </si>
  <si>
    <t>ProV Select Cashews</t>
  </si>
  <si>
    <t>Tur Dal Latur</t>
  </si>
  <si>
    <t>Tata Sampann Toor Dal</t>
  </si>
  <si>
    <t>Tur Dal Premium Gujarat</t>
  </si>
  <si>
    <t>Premia Pista Salty (Pistachio)</t>
  </si>
  <si>
    <t>DMart Healthy Choice Unpolished Toor Dal</t>
  </si>
  <si>
    <t>Premia Pista Plain (Pistachios)</t>
  </si>
  <si>
    <t>Tata Sampann 100% Organic Unpolished Toor Dal</t>
  </si>
  <si>
    <t>Nutraj Iranian Pistachios (Pista)</t>
  </si>
  <si>
    <t>Nutraj Premium California Pistachios (Pista)</t>
  </si>
  <si>
    <t>Premia Soyawadi</t>
  </si>
  <si>
    <t>Satyam Tur (Toor) Dal</t>
  </si>
  <si>
    <t>Nutrela Soya Mini Chunks</t>
  </si>
  <si>
    <t>Nutrela</t>
  </si>
  <si>
    <t>Organic Tattva Arhar Tur Dal</t>
  </si>
  <si>
    <t>Toor Dal Plain</t>
  </si>
  <si>
    <t>5 kg</t>
  </si>
  <si>
    <t>Nutrela Soya Chunks</t>
  </si>
  <si>
    <t>Toor Dal Oily</t>
  </si>
  <si>
    <t>24 Mantra Organic Tur Dal</t>
  </si>
  <si>
    <t>24 Mantra</t>
  </si>
  <si>
    <t>Premia Mini Soya Chunks</t>
  </si>
  <si>
    <t>Nutrela Soya Granules</t>
  </si>
  <si>
    <t>KMK Pista Magaz</t>
  </si>
  <si>
    <t>Satyam Toor Dal Oily</t>
  </si>
  <si>
    <t>Carnival Classic Pista Magaz</t>
  </si>
  <si>
    <t>Carnival</t>
  </si>
  <si>
    <t>250 gm</t>
  </si>
  <si>
    <t>Premia Soyabean</t>
  </si>
  <si>
    <t>Carnival Classic California Pistachios</t>
  </si>
  <si>
    <t>KMK Pista Salted Irani (Pistachios)</t>
  </si>
  <si>
    <t>Tuwar Whole</t>
  </si>
  <si>
    <t>Saffola Mealmaker Soya Chunks</t>
  </si>
  <si>
    <t>Saffola</t>
  </si>
  <si>
    <t>Udid (Urad) Dal</t>
  </si>
  <si>
    <t>Desi Kabuli Chana</t>
  </si>
  <si>
    <t>Udid</t>
  </si>
  <si>
    <t>Date Crown Fard (Khajur)</t>
  </si>
  <si>
    <t>Crown</t>
  </si>
  <si>
    <t>Tata Sampann Urad Dal</t>
  </si>
  <si>
    <t>Emperor Dates - Deseeded Black Dates (Khajur)</t>
  </si>
  <si>
    <t>Emperor</t>
  </si>
  <si>
    <t>Satyam Kabuli Chana</t>
  </si>
  <si>
    <t>Udid (Urad) Dal Chilti</t>
  </si>
  <si>
    <t>Falcon UAE Dates Seedless (Khajur)</t>
  </si>
  <si>
    <t>Falcon</t>
  </si>
  <si>
    <t>Premia Red Dried Dates (Kharik)</t>
  </si>
  <si>
    <t>Emperor Royal Peacock Seeded Dates (Khajur)</t>
  </si>
  <si>
    <t>Emperor Dates Iranian Muzafati</t>
  </si>
  <si>
    <t>24 Mantra Organic Kabuli Chana</t>
  </si>
  <si>
    <t>Date Crown Bumaan Dates</t>
  </si>
  <si>
    <t>Satyam Udid (Urad) Dal</t>
  </si>
  <si>
    <t>Apis Royal Zahidi Premium Dates</t>
  </si>
  <si>
    <t>Apis</t>
  </si>
  <si>
    <t>King Solomon Medjoul Natural Dates</t>
  </si>
  <si>
    <t>King Solomon</t>
  </si>
  <si>
    <t>Premia Black Dried Dates (Kharik)</t>
  </si>
  <si>
    <t>Falcon Safawi Dates</t>
  </si>
  <si>
    <t>Tata Sampann Organic Unpolished Kabuli Chana</t>
  </si>
  <si>
    <t>Organic Tattva Kabuli Chana</t>
  </si>
  <si>
    <t>Nutraj Dry Dates (Chuara-Khareek)</t>
  </si>
  <si>
    <t>Falcon Aqaba Dates</t>
  </si>
  <si>
    <t>King Solomon Oriental Dates</t>
  </si>
  <si>
    <t>Royal Delight Finest Oman Dates</t>
  </si>
  <si>
    <t>Royal Delight</t>
  </si>
  <si>
    <t>Shamim Iranian Wet Dates</t>
  </si>
  <si>
    <t>Shamim</t>
  </si>
  <si>
    <t>Emperor Premium Dates Zahidi</t>
  </si>
  <si>
    <t>Tata Sampann Organic Unpolished Urad Dal</t>
  </si>
  <si>
    <t>Falcon UAE Dates Seeded</t>
  </si>
  <si>
    <t>Organic Tattva Urad Dal White Split</t>
  </si>
  <si>
    <t>Azmah Dates</t>
  </si>
  <si>
    <t>Candor</t>
  </si>
  <si>
    <t>Apis Premium Seeded Dates</t>
  </si>
  <si>
    <t>Royal Delight Finest Ajwa Dates</t>
  </si>
  <si>
    <t>Organic Tattva Urad Dal Whole White</t>
  </si>
  <si>
    <t>Royal Delight Finest Mabroom Dates</t>
  </si>
  <si>
    <t>Royal Delight Finest Safavi Dates</t>
  </si>
  <si>
    <t>Masoor Dal</t>
  </si>
  <si>
    <t>Premia Kismis Indian (Raisins)</t>
  </si>
  <si>
    <t>Chana Small</t>
  </si>
  <si>
    <t>Chana Big</t>
  </si>
  <si>
    <t>Tata Sampann Masoor Dal</t>
  </si>
  <si>
    <t>Premia Kismis Black (Raisins)</t>
  </si>
  <si>
    <t>Nutraj Raisins - Kishmish</t>
  </si>
  <si>
    <t>Chana Green</t>
  </si>
  <si>
    <t>Premia Kismis Black Seedless</t>
  </si>
  <si>
    <t>Satyam Masur Dal</t>
  </si>
  <si>
    <t>Mahafruit Premium Quality Kishmish (Raisins)</t>
  </si>
  <si>
    <t>Mahafruit</t>
  </si>
  <si>
    <t>Premia Kismis Selected (Raisins)</t>
  </si>
  <si>
    <t>Satyam Chana Mosambi</t>
  </si>
  <si>
    <t>KMK Black Raisins Seedless (Kismis)</t>
  </si>
  <si>
    <t>KMK Green Raisins Afghan (Kismis)</t>
  </si>
  <si>
    <t>Satyam Chana Small</t>
  </si>
  <si>
    <t>Organic Tattva Kala Chana</t>
  </si>
  <si>
    <t>Satyam Chana Green</t>
  </si>
  <si>
    <t>Carnival Premium Seedless Black Raisins</t>
  </si>
  <si>
    <t>Tata Sampann Organic Unpolished Brown (Kala) Chana</t>
  </si>
  <si>
    <t>Nutraj California Walnut Kernels (Akrod Magaj)</t>
  </si>
  <si>
    <t>Premia Akrod Magaj (Walnut Kernels)</t>
  </si>
  <si>
    <t>Nutraj California Whole Walnut (Akrod)</t>
  </si>
  <si>
    <t>1 Kg</t>
  </si>
  <si>
    <t>Daliya</t>
  </si>
  <si>
    <t>Nutraj Daily Walnut Kernels</t>
  </si>
  <si>
    <t>Udid (Urad) Black Whole</t>
  </si>
  <si>
    <t>KMK Walnut Shell (Whole)</t>
  </si>
  <si>
    <t>KMK Walnut Kernel (Akrod)</t>
  </si>
  <si>
    <t>150 gm</t>
  </si>
  <si>
    <t>Satyam Dalia</t>
  </si>
  <si>
    <t>Satyam Udid (Urad) Whole</t>
  </si>
  <si>
    <t>Moong Whole</t>
  </si>
  <si>
    <t>Mix Dal</t>
  </si>
  <si>
    <t>Satyam Moong Whole</t>
  </si>
  <si>
    <t>Premia Jardalu</t>
  </si>
  <si>
    <t>Premia Dry Apricot</t>
  </si>
  <si>
    <t>24 Mantra Organic Green Moong Whole</t>
  </si>
  <si>
    <t>Dal - Rice Mix</t>
  </si>
  <si>
    <t>Masoor Whole</t>
  </si>
  <si>
    <t>Premia Mixed Dry Fruits</t>
  </si>
  <si>
    <t>Nutraj Mix Dry Fruits</t>
  </si>
  <si>
    <t>450 gm</t>
  </si>
  <si>
    <t>Satyam Masoor Whole</t>
  </si>
  <si>
    <t>KMK Cranberry Whole</t>
  </si>
  <si>
    <t>KMK Mix Mewa Cut Dry Fruits</t>
  </si>
  <si>
    <t>Carnival Cranberry Premium Whole</t>
  </si>
  <si>
    <t>Carnival Cranberry Classic Sliced</t>
  </si>
  <si>
    <t>Carnival Dried Blueberry</t>
  </si>
  <si>
    <t>Carnival Cranberry Whole</t>
  </si>
  <si>
    <t>Vatana White</t>
  </si>
  <si>
    <t>Vatana Green</t>
  </si>
  <si>
    <t>Satyam Safed (White) Vatana</t>
  </si>
  <si>
    <t>Vatana Black</t>
  </si>
  <si>
    <t>Satyam Vatana Green</t>
  </si>
  <si>
    <t>KMK Charoli</t>
  </si>
  <si>
    <t>Premia Charoli</t>
  </si>
  <si>
    <t>50 gm</t>
  </si>
  <si>
    <t>Satyam Vatana Black</t>
  </si>
  <si>
    <t>Makhana</t>
  </si>
  <si>
    <t>Matki</t>
  </si>
  <si>
    <t>Matki Small</t>
  </si>
  <si>
    <t>Morya Phool Makhana (Fox Nuts)</t>
  </si>
  <si>
    <t>Morya</t>
  </si>
  <si>
    <t>Mixed Pulses For Sprout</t>
  </si>
  <si>
    <t>Wal</t>
  </si>
  <si>
    <t>Moong Whole Small</t>
  </si>
  <si>
    <t>Satyam Math (Matki)</t>
  </si>
  <si>
    <t>Satyam Wal Kadwa</t>
  </si>
  <si>
    <t>Mix Chana Vatana (for Sprout)</t>
  </si>
  <si>
    <t>Ranguni Wal</t>
  </si>
  <si>
    <t>Satyam Makhana</t>
  </si>
  <si>
    <t>Wal Papdi</t>
  </si>
  <si>
    <t>Satyam Wal</t>
  </si>
  <si>
    <t>KMK Anjeer (Figs)</t>
  </si>
  <si>
    <t>Premia Anjeer (Figs)</t>
  </si>
  <si>
    <t>Kulith (Horse Gram)</t>
  </si>
  <si>
    <t>Carnival Premium Anjeer Figs</t>
  </si>
  <si>
    <t>Nutraj Signature Fig (Anjeer) Gold</t>
  </si>
  <si>
    <t>Premia Groundnut</t>
  </si>
  <si>
    <t>Satyam Singdana (Groundnut)</t>
  </si>
  <si>
    <t xml:space="preserve"> Masala &amp; Spices</t>
  </si>
  <si>
    <t>24 Mantra Organic Peanut</t>
  </si>
  <si>
    <t>Organic Tattva Groundnuts (Peanuts)</t>
  </si>
  <si>
    <t>Premia Sugar</t>
  </si>
  <si>
    <t>Jaggery</t>
  </si>
  <si>
    <t>Premia Cow Ghee Pouch</t>
  </si>
  <si>
    <t>1 L</t>
  </si>
  <si>
    <t>Ghee</t>
  </si>
  <si>
    <t>Premia Poha Jada</t>
  </si>
  <si>
    <t xml:space="preserve"> Rice</t>
  </si>
  <si>
    <t>Premia Jeera</t>
  </si>
  <si>
    <t>Premia Sabudana</t>
  </si>
  <si>
    <t xml:space="preserve"> Flours &amp; Grains</t>
  </si>
  <si>
    <t>Premium Jaggery</t>
  </si>
  <si>
    <t>900 gm</t>
  </si>
  <si>
    <t>Premia Green Elaichi</t>
  </si>
  <si>
    <t>20 gm</t>
  </si>
  <si>
    <t>Premia Dry Coconut</t>
  </si>
  <si>
    <t>Keshar Premium Natural Jaggery Jar</t>
  </si>
  <si>
    <t>Keshar</t>
  </si>
  <si>
    <t>Premia Black Pepper</t>
  </si>
  <si>
    <t>Premia Dhaniya</t>
  </si>
  <si>
    <t>Premia Kashmiri Chilli Powder Deluxe</t>
  </si>
  <si>
    <t>Premia Badishep</t>
  </si>
  <si>
    <t>Premia Rai</t>
  </si>
  <si>
    <t>Premia Kashmiri Chilli Powder</t>
  </si>
  <si>
    <t>Mamra (Puffed Rice)</t>
  </si>
  <si>
    <t>Plain Jaggery</t>
  </si>
  <si>
    <t>Premia Cassia Taj</t>
  </si>
  <si>
    <t>Premia Haldi Powder Deluxe</t>
  </si>
  <si>
    <t>Premia Dhania Powder Deluxe</t>
  </si>
  <si>
    <t>Premia Ajma</t>
  </si>
  <si>
    <t>Premia Emli</t>
  </si>
  <si>
    <t>Premia Rai Small</t>
  </si>
  <si>
    <t>Premia Poha Patla</t>
  </si>
  <si>
    <t>Premia Til White</t>
  </si>
  <si>
    <t>Premia Coconut Powder</t>
  </si>
  <si>
    <t>Premia Lukhnowi Badishep</t>
  </si>
  <si>
    <t>Premia Khaskhas</t>
  </si>
  <si>
    <t>Premia Green Elaichi Economy</t>
  </si>
  <si>
    <t>10 gm</t>
  </si>
  <si>
    <t>Premia Star Anise (Badiyan)</t>
  </si>
  <si>
    <t>Premia Guntur Chilli</t>
  </si>
  <si>
    <t>Premia Roasted Badishep</t>
  </si>
  <si>
    <t>Premia Lawang</t>
  </si>
  <si>
    <t>Premia Dhaniya Dal</t>
  </si>
  <si>
    <t>Premia Poha Basmati</t>
  </si>
  <si>
    <t>Premia Kasoori Methi</t>
  </si>
  <si>
    <t>Premia Methi</t>
  </si>
  <si>
    <t>Premia Sabja</t>
  </si>
  <si>
    <t>Premia Jeera Powder Deluxe</t>
  </si>
  <si>
    <t>Premia Sabudana Small</t>
  </si>
  <si>
    <t>Premia Black Pepper Powder</t>
  </si>
  <si>
    <t>Premia Shaha Jeera</t>
  </si>
  <si>
    <t>Premia Alsi</t>
  </si>
  <si>
    <t>Premia Bedgi Chilli</t>
  </si>
  <si>
    <t>Premia Chilli Kashmiri</t>
  </si>
  <si>
    <t>Amchur Powder</t>
  </si>
  <si>
    <t>Kolhapuri Surati Kurmura</t>
  </si>
  <si>
    <t>Premia Garam Masala Powder Deluxe</t>
  </si>
  <si>
    <t>Premia Jaipatri (Mace)</t>
  </si>
  <si>
    <t>Premia Tej Patta</t>
  </si>
  <si>
    <t>Premia Masala Elaichi</t>
  </si>
  <si>
    <t>Premia Dhania Powder</t>
  </si>
  <si>
    <t>Premia Sugar Crystals (Khadi Shakkar)</t>
  </si>
  <si>
    <t>Premia Dhania Jeera Mix Khandela</t>
  </si>
  <si>
    <t>Premia Jaifal</t>
  </si>
  <si>
    <t>4 pcs</t>
  </si>
  <si>
    <t>Premia Amsul Wet Kokam</t>
  </si>
  <si>
    <t>Laxmi Jaya Kurmura</t>
  </si>
  <si>
    <t>Laxmi</t>
  </si>
  <si>
    <t>Premia Malwani Masala Deluxe</t>
  </si>
  <si>
    <t>Premia Sugar Candy</t>
  </si>
  <si>
    <t>Premia Reshampatti Chilli Khandela</t>
  </si>
  <si>
    <t>Premia Til Black</t>
  </si>
  <si>
    <t>Premia Kokam Rind Lonavala</t>
  </si>
  <si>
    <t>Premia Eating Soda</t>
  </si>
  <si>
    <t>Premia Ginger Powder</t>
  </si>
  <si>
    <t>Premia Kalvanji</t>
  </si>
  <si>
    <t>Miki Maize (Makai) Poha</t>
  </si>
  <si>
    <t>Miki</t>
  </si>
  <si>
    <t>Premia Dry Ginger (Sunth)</t>
  </si>
  <si>
    <t>Premia Dinkh (Edible Gum)</t>
  </si>
  <si>
    <t>Premia Nimbu Phool (Citric Acid)</t>
  </si>
  <si>
    <t>Premia Dagad Phool (Black Stone Flower)</t>
  </si>
  <si>
    <t>Premia Sakariya</t>
  </si>
  <si>
    <t>Premia Sunday Mix Masala</t>
  </si>
  <si>
    <t>Premia Halim</t>
  </si>
  <si>
    <t>Fortune Sunlite Refined Sunflower Oil</t>
  </si>
  <si>
    <t>Fortune</t>
  </si>
  <si>
    <t xml:space="preserve"> Cooking Oil</t>
  </si>
  <si>
    <t>5 L</t>
  </si>
  <si>
    <t>Fortune Refined Sunflower Oil Tin</t>
  </si>
  <si>
    <t>15 L</t>
  </si>
  <si>
    <t>Sunrich Refined Sunflower Oil</t>
  </si>
  <si>
    <t>Sunrich</t>
  </si>
  <si>
    <t>Gemini Refined Sunflower Oil</t>
  </si>
  <si>
    <t>Gemini</t>
  </si>
  <si>
    <t>Gulab Sunflower Oil Jar</t>
  </si>
  <si>
    <t>Sunday Refined Sunflower Oil</t>
  </si>
  <si>
    <t>Sunday</t>
  </si>
  <si>
    <t>Swaad Refined Sunflower Oil</t>
  </si>
  <si>
    <t>Swaad</t>
  </si>
  <si>
    <t>Dhara Refined Sunflower Oil</t>
  </si>
  <si>
    <t>Dhara</t>
  </si>
  <si>
    <t>Nature Fresh Refined Sunflower Oil Pouch</t>
  </si>
  <si>
    <t>Nature Fresh</t>
  </si>
  <si>
    <t>Dalda Refined Sunflower Oil</t>
  </si>
  <si>
    <t>Dalda</t>
  </si>
  <si>
    <t>Sundrop Superlite Advanced Sunflower Oil</t>
  </si>
  <si>
    <t>Sundrop</t>
  </si>
  <si>
    <t>Sunny Sun Lite Refined Sunflower Oil</t>
  </si>
  <si>
    <t>Sunny</t>
  </si>
  <si>
    <t>Gulab Sunflower Oil</t>
  </si>
  <si>
    <t>Gemini Refined Sunflower Oil - 15 L</t>
  </si>
  <si>
    <t>Godrej Refined Sunflower Oil</t>
  </si>
  <si>
    <t>Godrej</t>
  </si>
  <si>
    <t>Aadhaar Refined Sunflower Oil Pouch</t>
  </si>
  <si>
    <t>Aadhaar</t>
  </si>
  <si>
    <t>Saffola Gold Oil</t>
  </si>
  <si>
    <t>Saffola Active Oil</t>
  </si>
  <si>
    <t>Saffola Total Oil</t>
  </si>
  <si>
    <t>Fortune Xpert Blended Oil</t>
  </si>
  <si>
    <t>Hudson Canola Oil</t>
  </si>
  <si>
    <t>Hudson</t>
  </si>
  <si>
    <t>Svity Kolam Refined Rice Bran Oil</t>
  </si>
  <si>
    <t>Svity Kolam</t>
  </si>
  <si>
    <t>Fortune Rice Bran Health Oil</t>
  </si>
  <si>
    <t>Premia Refined Rice Bran Oil</t>
  </si>
  <si>
    <t>Riso Ricebran Oil</t>
  </si>
  <si>
    <t>RiSO</t>
  </si>
  <si>
    <t>Dhara Refined Rice Bran Oil</t>
  </si>
  <si>
    <t>5  L</t>
  </si>
  <si>
    <t>Ricela Refined Rice Bran Oil</t>
  </si>
  <si>
    <t>Ricela</t>
  </si>
  <si>
    <t>Gemini Rice Bran Oil</t>
  </si>
  <si>
    <t>Dhara Life Refined Rice Bran Oil Jar</t>
  </si>
  <si>
    <t>Gulab Filtered Groundnut Oil</t>
  </si>
  <si>
    <t>Gulab</t>
  </si>
  <si>
    <t>Guinea Filtered Groundnut Oil</t>
  </si>
  <si>
    <t>Guinea</t>
  </si>
  <si>
    <t>Dhara Filtered Groundnut Oil Pouch</t>
  </si>
  <si>
    <t>RRO Primio Gold Filtered Groundnut Oil</t>
  </si>
  <si>
    <t>RRO</t>
  </si>
  <si>
    <t>Gulab Groundnut Oil</t>
  </si>
  <si>
    <t>RRO Primio Refined Groundnut Oil</t>
  </si>
  <si>
    <t>RRO Primio</t>
  </si>
  <si>
    <t>Gramiyaa Wood Cold Pressed Groundnut Oil</t>
  </si>
  <si>
    <t>Gramiyaa</t>
  </si>
  <si>
    <t>Guinea Lite Groundnut Oil</t>
  </si>
  <si>
    <t>Gramiyaa Wood Cold Pressed Coconut Oil</t>
  </si>
  <si>
    <t>500 ml</t>
  </si>
  <si>
    <t>Del Monte Extra Light Olive Oil</t>
  </si>
  <si>
    <t>Del Monte</t>
  </si>
  <si>
    <t>2 L</t>
  </si>
  <si>
    <t>Borges Extra Light Olive Oil</t>
  </si>
  <si>
    <t>Borges</t>
  </si>
  <si>
    <t>Figaro Olive Oil Tin</t>
  </si>
  <si>
    <t>Figaro</t>
  </si>
  <si>
    <t>200 ml</t>
  </si>
  <si>
    <t>Borges Extra Virgin Olive Oil</t>
  </si>
  <si>
    <t>250 ml</t>
  </si>
  <si>
    <t>Leonardo Olive Pomace Oil</t>
  </si>
  <si>
    <t>Leonardo</t>
  </si>
  <si>
    <t>Bertolli Extra Light Tasting Olive Oil</t>
  </si>
  <si>
    <t>Bertolli</t>
  </si>
  <si>
    <t>Figaro Extra Virgin Olive Oil Bottle</t>
  </si>
  <si>
    <t>Borges Pure Olive Oil - Classic</t>
  </si>
  <si>
    <t>Leonardo Extra Light Olive Oil</t>
  </si>
  <si>
    <t>Patanjali Kachi Ghani Mustard Oil</t>
  </si>
  <si>
    <t>Patanjali</t>
  </si>
  <si>
    <t>Fortune Kachi Ghani Mustard Oil Bottle</t>
  </si>
  <si>
    <t>Dhara Kachighani (Mustard) Oil</t>
  </si>
  <si>
    <t>Patanjali Kachi Ghani Mustard Oil Pouch</t>
  </si>
  <si>
    <t>Fortune Kachi Ghani Mustard Oil</t>
  </si>
  <si>
    <t>Tez Mustard Kachchi Ghani Oil Bottle</t>
  </si>
  <si>
    <t>Tez</t>
  </si>
  <si>
    <t>RRO Premium Mustard Oil</t>
  </si>
  <si>
    <t>RRO Mastdil Premium Mustard Oil Bottle</t>
  </si>
  <si>
    <t>Tez Mustard Kachchi Ghani Oil Pouch</t>
  </si>
  <si>
    <t>Gemini Refined Soyabean Oil</t>
  </si>
  <si>
    <t>Swaad Soyabean Oil</t>
  </si>
  <si>
    <t>Idhayam Gingelly Oil</t>
  </si>
  <si>
    <t>Idhayam</t>
  </si>
  <si>
    <t>KLF Coconut Oil</t>
  </si>
  <si>
    <t>KLF</t>
  </si>
  <si>
    <t>RRO Til Dil Premium Til Oil Bottle</t>
  </si>
  <si>
    <t>Tilsona Til Oil Bottle</t>
  </si>
  <si>
    <t>Tilsona</t>
  </si>
  <si>
    <t>Fortune Plus Soya Health Oil</t>
  </si>
  <si>
    <t>KPL Shudhi Coconut Oil</t>
  </si>
  <si>
    <t>KPL Shudhi</t>
  </si>
  <si>
    <t>Hair Care</t>
  </si>
  <si>
    <t>Idhayam Sesame Oil Bottle</t>
  </si>
  <si>
    <t>Fortune Xpert Pro Immunity Jar</t>
  </si>
  <si>
    <t>Gramiyaa Wood Cold Pressed Sesame Oil</t>
  </si>
  <si>
    <t>Fortune Raag Gold Refined Palm Oil</t>
  </si>
  <si>
    <t>Amul Pure Ghee Pouch</t>
  </si>
  <si>
    <t>Amul</t>
  </si>
  <si>
    <t>Gowardhan Pure Cow Ghee Pouch</t>
  </si>
  <si>
    <t>Gowardhan</t>
  </si>
  <si>
    <t>2x1L</t>
  </si>
  <si>
    <t>Amul Cow Ghee Pouch</t>
  </si>
  <si>
    <t>Aabad Cow Ghee Pouch</t>
  </si>
  <si>
    <t>Aabad</t>
  </si>
  <si>
    <t>Mother Dairy Pure Cow Ghee</t>
  </si>
  <si>
    <t>Mother Dairy</t>
  </si>
  <si>
    <t>Sagar Pure Ghee Pouch</t>
  </si>
  <si>
    <t>Sagar</t>
  </si>
  <si>
    <t>Prabhat Dairy Cow Ghee Pouch</t>
  </si>
  <si>
    <t>Prabhat</t>
  </si>
  <si>
    <t>Chitale Dairy Cow Ghee Box</t>
  </si>
  <si>
    <t>Chitale Dairy</t>
  </si>
  <si>
    <t>Gowardhan Pure Cow Ghee Jar</t>
  </si>
  <si>
    <t>Dynamix Cow Ghee Pouch</t>
  </si>
  <si>
    <t>Dynamix</t>
  </si>
  <si>
    <t>Govind Pure Ghee Pouch</t>
  </si>
  <si>
    <t>Govind</t>
  </si>
  <si>
    <t>Amul Pure Ghee Tin</t>
  </si>
  <si>
    <t>Aabad Desi Ghee Pouch</t>
  </si>
  <si>
    <t>Chitale Dairy Ghee Box</t>
  </si>
  <si>
    <t>Sagar Pure Ghee Tin</t>
  </si>
  <si>
    <t>Aashirvaad Svasti Pure Cow Ghee Pouch</t>
  </si>
  <si>
    <t>Aashirvaad</t>
  </si>
  <si>
    <t>Parsi Dairy Farm Cow Ghee Jar</t>
  </si>
  <si>
    <t>Parsi Dairy Farm</t>
  </si>
  <si>
    <t>Dynamix Cow Ghee Jar</t>
  </si>
  <si>
    <t>Aabad Cow Ghee Jar</t>
  </si>
  <si>
    <t>Dynamix Cow Ghee Tin</t>
  </si>
  <si>
    <t>Haribol Desi Cow A2 Ghee</t>
  </si>
  <si>
    <t>Haribol</t>
  </si>
  <si>
    <t>225 ml</t>
  </si>
  <si>
    <t>Gourmet Food</t>
  </si>
  <si>
    <t>Parsi Dairy Farm Buffalo Ghee Jar</t>
  </si>
  <si>
    <t>Organic India Organic Cow Ghee</t>
  </si>
  <si>
    <t>Organic India</t>
  </si>
  <si>
    <t>Dalda Vanaspati</t>
  </si>
  <si>
    <t>Aashirvaad Superior MP Wheat Atta</t>
  </si>
  <si>
    <t>10 kg</t>
  </si>
  <si>
    <t>Aashirvaad Select Sharbati Wheat Atta</t>
  </si>
  <si>
    <t>Aashirvaad Multigrain Atta</t>
  </si>
  <si>
    <t>Pillsbury Chakki Fresh Wheat Atta</t>
  </si>
  <si>
    <t>Pillsbury</t>
  </si>
  <si>
    <t>Fortune Chakki Fresh Wheat Atta</t>
  </si>
  <si>
    <t>Nature Fresh Sampoorna Superior MP Wheat Atta</t>
  </si>
  <si>
    <t>Taste For Life MP Sihore Chapati Fine Wheat Atta</t>
  </si>
  <si>
    <t>Taste For Life</t>
  </si>
  <si>
    <t>Wheat Flour Chakki Atta</t>
  </si>
  <si>
    <t>Pillsbury Multi Grain Atta</t>
  </si>
  <si>
    <t>24 Mantra Organic Whole Wheat Atta</t>
  </si>
  <si>
    <t>5 Kg</t>
  </si>
  <si>
    <t>Rice Atta</t>
  </si>
  <si>
    <t>Organic Tattva Organic Wheat Flour</t>
  </si>
  <si>
    <t>24 Mantra Organic Ragi Flour</t>
  </si>
  <si>
    <t>24 Mantra Organic Jowar Flour</t>
  </si>
  <si>
    <t>Taste For Life Premium Khapli Wheat Atta</t>
  </si>
  <si>
    <t>Wheat Lokwan (Lokvan)</t>
  </si>
  <si>
    <t>Makai For Popcorn</t>
  </si>
  <si>
    <t>Nachni</t>
  </si>
  <si>
    <t>Satyam Sabudana</t>
  </si>
  <si>
    <t>Bajari</t>
  </si>
  <si>
    <t>Organic India Quinoa</t>
  </si>
  <si>
    <t>Satyam Lapsi Medium</t>
  </si>
  <si>
    <t>Satyam Barley</t>
  </si>
  <si>
    <t>Pink Harvest Farms White Quinoa</t>
  </si>
  <si>
    <t>Pink Harvest Farms</t>
  </si>
  <si>
    <t>Rava</t>
  </si>
  <si>
    <t>Besan</t>
  </si>
  <si>
    <t>Fortune Chana Dal Besan</t>
  </si>
  <si>
    <t>Satyam Rava</t>
  </si>
  <si>
    <t>Lapsi Rava Small Daliya</t>
  </si>
  <si>
    <t>Lapsi Rava / Daliya</t>
  </si>
  <si>
    <t>Tata Sampann Fine Besan</t>
  </si>
  <si>
    <t>Jawari Atta</t>
  </si>
  <si>
    <t>Bhagirathi Jowar Atta</t>
  </si>
  <si>
    <t>Bhagirathi</t>
  </si>
  <si>
    <t>Satyam Besan</t>
  </si>
  <si>
    <t>Blue Bird Corn Flour</t>
  </si>
  <si>
    <t>Blue Bird</t>
  </si>
  <si>
    <t>Satyam Maida</t>
  </si>
  <si>
    <t>Nachni Atta</t>
  </si>
  <si>
    <t>Bhagirathi Thalipeeth Bhajni</t>
  </si>
  <si>
    <t>Satyam Rajgira Flour</t>
  </si>
  <si>
    <t>Bhagirathi Nachani (Ragi) Atta</t>
  </si>
  <si>
    <t>Bhagirathi Rice Atta</t>
  </si>
  <si>
    <t>Bhagirathi Bajra Atta</t>
  </si>
  <si>
    <t>Bhagirathi Upwas Bhajani</t>
  </si>
  <si>
    <t>Organic Tattva Suji</t>
  </si>
  <si>
    <t>Bhagirathi Sattu Atta</t>
  </si>
  <si>
    <t>Bhagirathi Shingada Atta</t>
  </si>
  <si>
    <t>Bhagirathi Rajgira Atta</t>
  </si>
  <si>
    <t>Makai Atta</t>
  </si>
  <si>
    <t>Weikfield Corn Flour</t>
  </si>
  <si>
    <t>Weikfield</t>
  </si>
  <si>
    <t>Kokan Gem Thalipeeth Bhajani</t>
  </si>
  <si>
    <t>Bhagirathi Makai (Corn) Flour</t>
  </si>
  <si>
    <t>Satyam Rice Atta (Flour)</t>
  </si>
  <si>
    <t>Bhagirathi Multigrain Bhakari Atta</t>
  </si>
  <si>
    <t>Brown &amp; Polson Corn Flour</t>
  </si>
  <si>
    <t>Brown</t>
  </si>
  <si>
    <t>Kokan Gem Kulith Pith</t>
  </si>
  <si>
    <t>Bedekar Thalipith Bhajni</t>
  </si>
  <si>
    <t>Bedekar</t>
  </si>
  <si>
    <t>Bhagirathi Modak Atta</t>
  </si>
  <si>
    <t>Bedekar Bhajjia Mix</t>
  </si>
  <si>
    <t>K-Pra Ustav Modak Flour</t>
  </si>
  <si>
    <t>India Gate Basmati Rice Rozana</t>
  </si>
  <si>
    <t>India Gate</t>
  </si>
  <si>
    <t>Daawat Heritage Daily Feast Tukda Basmati Rice</t>
  </si>
  <si>
    <t>Daawat</t>
  </si>
  <si>
    <t>Daawat Devaaya Basmati Rice</t>
  </si>
  <si>
    <t>Daawat Rozana Super Basmati Rice</t>
  </si>
  <si>
    <t>India Gate Mini Mogra (Broken) Basmati Rice</t>
  </si>
  <si>
    <t>India Gate Super Basmati Rice</t>
  </si>
  <si>
    <t>Basmati Rice Mogra</t>
  </si>
  <si>
    <t>Dmart Rice</t>
  </si>
  <si>
    <t>Fortune Everyday Hamesha Basmati Rice</t>
  </si>
  <si>
    <t>Daawat Super Basmati Rice</t>
  </si>
  <si>
    <t>India Gate Basmati Rice - Mini Mogra-II - Kanki</t>
  </si>
  <si>
    <t>Daawat Rozana Gold Basmati Rice</t>
  </si>
  <si>
    <t>Rice Pulav Basmati</t>
  </si>
  <si>
    <t>India Gate Basmati Rice - Mogra</t>
  </si>
  <si>
    <t>Basmati Rice Mini Mogra (Broken)</t>
  </si>
  <si>
    <t>India Gate Basmati Rice - Classic</t>
  </si>
  <si>
    <t>Daawat Biryani Basmati Rice</t>
  </si>
  <si>
    <t>Basmati Rice Broken (Kani)</t>
  </si>
  <si>
    <t>Rice Basmati</t>
  </si>
  <si>
    <t>Fortune Biryani Special Basmati Rice</t>
  </si>
  <si>
    <t>India Gate Basmati Rice - Tibar</t>
  </si>
  <si>
    <t>Daawat Pulav Basmati Rice</t>
  </si>
  <si>
    <t>Daawat Sehat Mini Mogra (Broken) Basmati Rice</t>
  </si>
  <si>
    <t>Rice Basmati Tukda</t>
  </si>
  <si>
    <t>Biryani Rice</t>
  </si>
  <si>
    <t>null</t>
  </si>
  <si>
    <t>Devaaya Biryani Basmati Rice</t>
  </si>
  <si>
    <t>Devaaya</t>
  </si>
  <si>
    <t>Daawat Brown Basmati Rice</t>
  </si>
  <si>
    <t>Rice Tibar Basmati</t>
  </si>
  <si>
    <t>India Gate Basmati Rice - Dubar</t>
  </si>
  <si>
    <t>Daawat Traditional Basmati Rice</t>
  </si>
  <si>
    <t>Daawat Sehat Mogra Basmati Rice</t>
  </si>
  <si>
    <t>India Gate Regular Choice Basmati Rice</t>
  </si>
  <si>
    <t>Rice Basmati Wand : 5 kgs</t>
  </si>
  <si>
    <t>Mogra Basmati Rice</t>
  </si>
  <si>
    <t>Lal Qilla Traditional Basmati Rice</t>
  </si>
  <si>
    <t>Lal Qilla</t>
  </si>
  <si>
    <t>Lal Qilla Super Silverline Basmati Rice</t>
  </si>
  <si>
    <t>Lal Qilla Tibar Basmati Rice</t>
  </si>
  <si>
    <t>Lal Qilla Dubar Basmati Rice</t>
  </si>
  <si>
    <t>Lal Qilla Classic Whiteline Basmati Rice</t>
  </si>
  <si>
    <t>Lal Qilla Brown Basmati Rice</t>
  </si>
  <si>
    <t>Wada Kolam Rice</t>
  </si>
  <si>
    <t xml:space="preserve"> 5 kg</t>
  </si>
  <si>
    <t>Silky Kolam Rice</t>
  </si>
  <si>
    <t>HMT Kolam Rice</t>
  </si>
  <si>
    <t>Eco Kolam Jirasar Sorted Rice</t>
  </si>
  <si>
    <t>24 Mantra Organic Sonamasuri Brown Rice</t>
  </si>
  <si>
    <t>India Gate Brown Rice</t>
  </si>
  <si>
    <t>Tata Sampann Poha</t>
  </si>
  <si>
    <t>Satyam Poha Jada</t>
  </si>
  <si>
    <t>24 Mantra Organic Red Poha</t>
  </si>
  <si>
    <t>24 Mantra Organic Poha</t>
  </si>
  <si>
    <t>Satyam Poha (Powa) Patla</t>
  </si>
  <si>
    <t>Organic Tattva Red Poha</t>
  </si>
  <si>
    <t>Organic Tattva Poha</t>
  </si>
  <si>
    <t>Ambemohar Rice</t>
  </si>
  <si>
    <t>Idli Rice</t>
  </si>
  <si>
    <t>Red Rice</t>
  </si>
  <si>
    <t>Long Grain Rice</t>
  </si>
  <si>
    <t>IR Boiled Rice</t>
  </si>
  <si>
    <t>Masoori Boiled Rice</t>
  </si>
  <si>
    <t>Satyam Sama</t>
  </si>
  <si>
    <t>Satyam Jeera</t>
  </si>
  <si>
    <t>25 gm</t>
  </si>
  <si>
    <t>Premchand Gold Dhana Dal</t>
  </si>
  <si>
    <t>Premchand</t>
  </si>
  <si>
    <t>Satyam Kashmiri Chilly</t>
  </si>
  <si>
    <t>Satyam Miri (Black Pepper)</t>
  </si>
  <si>
    <t>Satyam Bedgi Chilly</t>
  </si>
  <si>
    <t>Masala Elaichi</t>
  </si>
  <si>
    <t>Satyam Pumpkin Seeds</t>
  </si>
  <si>
    <t>Premia Grated Dry Coconut</t>
  </si>
  <si>
    <t>Satyam Chia Seeds</t>
  </si>
  <si>
    <t>Satyam Elaichi</t>
  </si>
  <si>
    <t>Satyam Khobra (Coconut)</t>
  </si>
  <si>
    <t>Satyam Dhania</t>
  </si>
  <si>
    <t>24 Mantra Organic Flax Seeds</t>
  </si>
  <si>
    <t>Tamarind</t>
  </si>
  <si>
    <t>Satyam Elaichi Big</t>
  </si>
  <si>
    <t>Satyam Watermelon Seed</t>
  </si>
  <si>
    <t>Satyam Badishop</t>
  </si>
  <si>
    <t>Satyam Taj (Cassia Bark)</t>
  </si>
  <si>
    <t>Premia Chilli Guntur Stemless</t>
  </si>
  <si>
    <t>Satyam Sabja</t>
  </si>
  <si>
    <t>Satyam Sunflower Seeds</t>
  </si>
  <si>
    <t>Satyam Tamarind</t>
  </si>
  <si>
    <t>Satyam Rai</t>
  </si>
  <si>
    <t>Satyam Pandi Chilli</t>
  </si>
  <si>
    <t>Satyam Garam Masala Whole</t>
  </si>
  <si>
    <t>Satyam Lavang</t>
  </si>
  <si>
    <t>Satyam Bore Chilly</t>
  </si>
  <si>
    <t>Satyam Ajma</t>
  </si>
  <si>
    <t>Satyam Pumpkin Seeds Salted</t>
  </si>
  <si>
    <t>Satyam Methi</t>
  </si>
  <si>
    <t>Satyam Quinoa</t>
  </si>
  <si>
    <t>Premia Rai Red</t>
  </si>
  <si>
    <t>Amrut Dhana Dal</t>
  </si>
  <si>
    <t>Amrut</t>
  </si>
  <si>
    <t>Carnival Pumpkin Seeds</t>
  </si>
  <si>
    <t>Carnival Sunflower Seeds</t>
  </si>
  <si>
    <t>Carnival Watermelon Seeds</t>
  </si>
  <si>
    <t>Pink Harvest Farms Chia Seeds</t>
  </si>
  <si>
    <t>350 gm</t>
  </si>
  <si>
    <t>Pink Harvest Farms Tri-Colour Quinoa</t>
  </si>
  <si>
    <t>Pink Harvest</t>
  </si>
  <si>
    <t>Everest Kashmirilal Red Chilli Powder</t>
  </si>
  <si>
    <t>Everest</t>
  </si>
  <si>
    <t>Everest Tikhalal Chilli Powder</t>
  </si>
  <si>
    <t>Everest Garam Masala</t>
  </si>
  <si>
    <t>Ramdev Strong Hing</t>
  </si>
  <si>
    <t>Ramdev</t>
  </si>
  <si>
    <t>Premia Extra Strong Hing Powder</t>
  </si>
  <si>
    <t>Maggi Masala-A-Magic</t>
  </si>
  <si>
    <t>Maggi</t>
  </si>
  <si>
    <t>72 gm</t>
  </si>
  <si>
    <t>Everest Chaat Masala</t>
  </si>
  <si>
    <t>LG Hing</t>
  </si>
  <si>
    <t>Vandevi Hing Powder</t>
  </si>
  <si>
    <t>Vandevi</t>
  </si>
  <si>
    <t>Premia Yellow Hing Powder</t>
  </si>
  <si>
    <t>Everest Pav Bhaji Masala</t>
  </si>
  <si>
    <t>Everest Kitchen King Masala</t>
  </si>
  <si>
    <t>Everest Turmeric Powder</t>
  </si>
  <si>
    <t>Vandevi Hing 2001 Powder</t>
  </si>
  <si>
    <t>Everest Shahi Biryani Masala</t>
  </si>
  <si>
    <t>Everest Coriander Powder</t>
  </si>
  <si>
    <t>Everest Yellow Hing Powder</t>
  </si>
  <si>
    <t>MTR Sambar Powder</t>
  </si>
  <si>
    <t>MTR</t>
  </si>
  <si>
    <t>Everest Chhole Masala</t>
  </si>
  <si>
    <t>Premia Red Chilli Powder</t>
  </si>
  <si>
    <t>Everest Tea Masala</t>
  </si>
  <si>
    <t>Everest Chicken Masala</t>
  </si>
  <si>
    <t xml:space="preserve"> 50 gm</t>
  </si>
  <si>
    <t>Tata Sampann Turmeric Powder</t>
  </si>
  <si>
    <t>Everest Sambhar Masala</t>
  </si>
  <si>
    <t>Everest Meat Masala</t>
  </si>
  <si>
    <t>Suhana Paneer Tikka Mix Masala</t>
  </si>
  <si>
    <t>Suhana</t>
  </si>
  <si>
    <t>Snapin Chilli Flakes Spice</t>
  </si>
  <si>
    <t>Snapin</t>
  </si>
  <si>
    <t>35 gm</t>
  </si>
  <si>
    <t>Badshah Mumbai Bhaji Pav Masala</t>
  </si>
  <si>
    <t>Badshah Masala</t>
  </si>
  <si>
    <t>Suhana Paneer Butter Masala Mix</t>
  </si>
  <si>
    <t>Suhana Chicken Biryani Mix</t>
  </si>
  <si>
    <t>Nisarga Desiccated Coconut Powder</t>
  </si>
  <si>
    <t>Nisarga</t>
  </si>
  <si>
    <t>Ramdev Chilli Powder</t>
  </si>
  <si>
    <t>Everest Tandoori Chicken Masala</t>
  </si>
  <si>
    <t>Kubal Sunday Malvani Masala</t>
  </si>
  <si>
    <t>Kubal</t>
  </si>
  <si>
    <t>Badshah Hing Compounded</t>
  </si>
  <si>
    <t>MTR Idli/Dosa/Chilly Chutney Powder</t>
  </si>
  <si>
    <t>Pickles</t>
  </si>
  <si>
    <t>Jalaram Brand Cardamom Powder</t>
  </si>
  <si>
    <t>Jalaram Brand</t>
  </si>
  <si>
    <t>Shan Special Bombay Biryani Masala</t>
  </si>
  <si>
    <t>Shan</t>
  </si>
  <si>
    <t>60 gm</t>
  </si>
  <si>
    <t>Badshah Rajwadi Garam Masala</t>
  </si>
  <si>
    <t>Everest Pani Puri Masala</t>
  </si>
  <si>
    <t>Goldiee Kashmiri Mirch Powder</t>
  </si>
  <si>
    <t>Goldiee</t>
  </si>
  <si>
    <t>Maggi Masala Magic</t>
  </si>
  <si>
    <t>120 gm</t>
  </si>
  <si>
    <t>Suhana Mutter Paneer Mix Masala</t>
  </si>
  <si>
    <t>Ramdev Turmeric Powder</t>
  </si>
  <si>
    <t>Badshah Chat Masala</t>
  </si>
  <si>
    <t>Suhana Chicken Gravy Mix</t>
  </si>
  <si>
    <t>80 gm</t>
  </si>
  <si>
    <t>Badshah Biryani Pulav Masala</t>
  </si>
  <si>
    <t>Bedekar Ready Mix Pickle Masala</t>
  </si>
  <si>
    <t>Kubal SP Sunday Malvani Masala</t>
  </si>
  <si>
    <t>Suhana Paneer Makhanwala Mix Masala</t>
  </si>
  <si>
    <t>Ching's Schezwan Fried Rice Masala</t>
  </si>
  <si>
    <t>Ching's</t>
  </si>
  <si>
    <t>5 U</t>
  </si>
  <si>
    <t>Everest Kutilal Chilli Powder</t>
  </si>
  <si>
    <t>Kubal Chilli Powder</t>
  </si>
  <si>
    <t>Goldiee Garam Masala</t>
  </si>
  <si>
    <t>Everest Sabji Masala</t>
  </si>
  <si>
    <t>Ramdev Coriander Powder</t>
  </si>
  <si>
    <t>Suhana Butter Chicken Mix</t>
  </si>
  <si>
    <t>Badshah Black Pepper Powder</t>
  </si>
  <si>
    <t>Bedekar Goda Masala</t>
  </si>
  <si>
    <t>Goldiee Chat Masala</t>
  </si>
  <si>
    <t>Kapol Tea Masala</t>
  </si>
  <si>
    <t>Kapol</t>
  </si>
  <si>
    <t>Snapin Cardamom Powder Spice</t>
  </si>
  <si>
    <t>40 gm</t>
  </si>
  <si>
    <t>Kubal Turmeric Powder</t>
  </si>
  <si>
    <t>Badshah Kitchen King Masala</t>
  </si>
  <si>
    <t>Kapol Usal - Misal Masala</t>
  </si>
  <si>
    <t>Suhana Chicken Tandoori Mix Masala</t>
  </si>
  <si>
    <t>Goldiee Kitchen King Masala</t>
  </si>
  <si>
    <t>Suhana Mutton Gravy Mix</t>
  </si>
  <si>
    <t>Badshah Chicken Masala</t>
  </si>
  <si>
    <t>Badshah Punjabi Chhole Masala</t>
  </si>
  <si>
    <t>Goldiee Chicken Masala</t>
  </si>
  <si>
    <t>Jalaram Brand Cinnamon Powder</t>
  </si>
  <si>
    <t>Shan Chicken Tikka Masala</t>
  </si>
  <si>
    <t>Suhana Veg Kolhapuri Mix</t>
  </si>
  <si>
    <t>Snapin Ginger Garlic Mix Seasoning</t>
  </si>
  <si>
    <t>Badshah Dry Mango Powder</t>
  </si>
  <si>
    <t>Kubal Coriander Powder</t>
  </si>
  <si>
    <t>Jalaram Brand Nutmeg (Jaifal) Powder</t>
  </si>
  <si>
    <t>Kapol Sandwich Masala</t>
  </si>
  <si>
    <t>MDH Chunky Chat Masala</t>
  </si>
  <si>
    <t>MDH</t>
  </si>
  <si>
    <t>MDH Kitchen King Masala</t>
  </si>
  <si>
    <t>Shan Tandoori Barbeque Masala</t>
  </si>
  <si>
    <t>Jalaram Brand Tea Masala with Saffron</t>
  </si>
  <si>
    <t>MDH Garam Masala</t>
  </si>
  <si>
    <t>Goldiee Pavbhaji Masala</t>
  </si>
  <si>
    <t>MDH Deggi Mirch</t>
  </si>
  <si>
    <t>Kapol Dabeli Masala</t>
  </si>
  <si>
    <t>Shan Nihari Masala</t>
  </si>
  <si>
    <t>Kubal SP Mix Usal Masala</t>
  </si>
  <si>
    <t>Goldiee Sabji Masala</t>
  </si>
  <si>
    <t>Snapin Cinnamon Powder Spice</t>
  </si>
  <si>
    <t>Goldiee Meat Masala Special</t>
  </si>
  <si>
    <t>Jalaram Brand Black Pepper Powder</t>
  </si>
  <si>
    <t>Goldiee Biryani/Pulav Masala</t>
  </si>
  <si>
    <t>Goldiee Chhole Masala</t>
  </si>
  <si>
    <t>Jalaram Brand Kashmiri Milk Masala</t>
  </si>
  <si>
    <t>MDH Chana Masala</t>
  </si>
  <si>
    <t>Badshah Chana Masala</t>
  </si>
  <si>
    <t>Shan Achar Gosht Masala</t>
  </si>
  <si>
    <t>Ching's Chowmein Hakka Noodles Masala</t>
  </si>
  <si>
    <t>Tata I-Shakti Cooking Soda</t>
  </si>
  <si>
    <t>Badshah Kamal Tea Masala</t>
  </si>
  <si>
    <t>MDH Pav Bhaji Masala</t>
  </si>
  <si>
    <t>MDH Chicken Masala</t>
  </si>
  <si>
    <t>Blue Bird Test-Mi-Nov Monosodium Glutamate</t>
  </si>
  <si>
    <t>Catch Sprinklers Black Pepper</t>
  </si>
  <si>
    <t>Catch</t>
  </si>
  <si>
    <t>Catch Sprinklers Chat Masala</t>
  </si>
  <si>
    <t>Catch Sprinklers Dahi Masala</t>
  </si>
  <si>
    <t>Mother's Recipe Rozaana Ginger &amp; Garlic Paste</t>
  </si>
  <si>
    <t>Mother's Recipe</t>
  </si>
  <si>
    <t>700 gm</t>
  </si>
  <si>
    <t>Dabur Hommade Coconut Milk</t>
  </si>
  <si>
    <t>Dabur Hommade</t>
  </si>
  <si>
    <t>Smith &amp; Jones Ginger Garlic Paste</t>
  </si>
  <si>
    <t>Smith &amp; Jones</t>
  </si>
  <si>
    <t>Mother's Recipe Ginger Garlic Paste</t>
  </si>
  <si>
    <t>Maggi Magic Cubes - Vegetarian Masala</t>
  </si>
  <si>
    <t>Hommade Ginger Garlic Paste</t>
  </si>
  <si>
    <t>Hommade Tomato Puree</t>
  </si>
  <si>
    <t>Blue Bird Baking Powder</t>
  </si>
  <si>
    <t>Blue bird</t>
  </si>
  <si>
    <t>Weikfield Baking Powder</t>
  </si>
  <si>
    <t>Christopher Cocoa Baking Soda All Purpose</t>
  </si>
  <si>
    <t>Christopher Cocoa</t>
  </si>
  <si>
    <t>Christopher Cocoa Baking Powder</t>
  </si>
  <si>
    <t>Et-Mi Baking Powder</t>
  </si>
  <si>
    <t>Et-mi</t>
  </si>
  <si>
    <t>Blue Bird Baking Soda</t>
  </si>
  <si>
    <t>Jalaram Kesar (Saffron)</t>
  </si>
  <si>
    <t>Jalaram</t>
  </si>
  <si>
    <t>1 gm</t>
  </si>
  <si>
    <t>Snapin Oregano Herb</t>
  </si>
  <si>
    <t>Snapin Pizza Mix Seasoning</t>
  </si>
  <si>
    <t>45 gm</t>
  </si>
  <si>
    <t>Snapin Mixed Herbs</t>
  </si>
  <si>
    <t>Snapin Pasta Mix Seasoning</t>
  </si>
  <si>
    <t>Snapin Cheesy Garlic Bread Mix</t>
  </si>
  <si>
    <t>Snapin Piri Piri Mix</t>
  </si>
  <si>
    <t>Nutrivalue Moringa Oleifera Drum Stick Leaves Powder</t>
  </si>
  <si>
    <t>Nutrivalue</t>
  </si>
  <si>
    <t>Keya Wonder Hot Red Chilli Flakes</t>
  </si>
  <si>
    <t>Keya</t>
  </si>
  <si>
    <t>Keya Piri Piri</t>
  </si>
  <si>
    <t>Keya Oregano</t>
  </si>
  <si>
    <t>7 gm</t>
  </si>
  <si>
    <t>Keya Pizza Seasoning</t>
  </si>
  <si>
    <t>MDH Peacock Kasoori Methi</t>
  </si>
  <si>
    <t>Everest Kesari Milk Masala</t>
  </si>
  <si>
    <t>Rasoi Magic Paneer Tikka Masala Spice Mix</t>
  </si>
  <si>
    <t>Rasoi Magic</t>
  </si>
  <si>
    <t>Rasoi Magic Paneer Makhanwala Masala</t>
  </si>
  <si>
    <t>Suhana Kesari Milk Masala</t>
  </si>
  <si>
    <t>Mother's Recipe Kadhai Paneer Masala Mix</t>
  </si>
  <si>
    <t>75 gm</t>
  </si>
  <si>
    <t>Kapol Special Chhas Masala</t>
  </si>
  <si>
    <t>Rasoi Magic No Onion No Garlic Veg Kolhapuri Spice Mix</t>
  </si>
  <si>
    <t>Mother's Recipe Paneer Butter Masala Mix</t>
  </si>
  <si>
    <t>Rasoi Magic No Onion No Garlic Mutter Paneer Mix</t>
  </si>
  <si>
    <t>Mother's Recipe Chicken Biryani Mix</t>
  </si>
  <si>
    <t>Kubal Ready Mix Pickle Masala</t>
  </si>
  <si>
    <t>Real Thai Coconut Milk</t>
  </si>
  <si>
    <t>Real Thai</t>
  </si>
  <si>
    <t>Flying Bird Artificial Food Essence Shahi Biryani</t>
  </si>
  <si>
    <t>Flying Bird</t>
  </si>
  <si>
    <t>20 ml</t>
  </si>
  <si>
    <t>Tata Salt</t>
  </si>
  <si>
    <t>Puro Healthy Salt</t>
  </si>
  <si>
    <t>Puro</t>
  </si>
  <si>
    <t>Tata Salt Lite</t>
  </si>
  <si>
    <t>Tata Rock Salt Powder Pouch</t>
  </si>
  <si>
    <t>Aashirvaad Salt</t>
  </si>
  <si>
    <t>Rock Salt</t>
  </si>
  <si>
    <t>Tata SuperLite Salt : 1 kg</t>
  </si>
  <si>
    <t>Premia Yellow Chana</t>
  </si>
  <si>
    <t>Snacks</t>
  </si>
  <si>
    <t>Premia Tea Masala</t>
  </si>
  <si>
    <t>Beverages</t>
  </si>
  <si>
    <t>Premia Goda Masala</t>
  </si>
  <si>
    <t>DMart Grocery</t>
  </si>
  <si>
    <t>Premia Akrod Whole</t>
  </si>
  <si>
    <t>Premia Big Sakariya</t>
  </si>
  <si>
    <t>Shree Annapurna Jaggery Powder</t>
  </si>
  <si>
    <t>Annapurna</t>
  </si>
  <si>
    <t>GB Surti Kolam Sorted Rice</t>
  </si>
  <si>
    <t>DMart  Rice</t>
  </si>
  <si>
    <t>Amul Butter</t>
  </si>
  <si>
    <t>Dairy</t>
  </si>
  <si>
    <t>Society Tea</t>
  </si>
  <si>
    <t>Society</t>
  </si>
  <si>
    <t>Wagh Bakri Premium Leaf Tea Pouch</t>
  </si>
  <si>
    <t>Wagh Bakri</t>
  </si>
  <si>
    <t>Brooke Bond Red Label Tea</t>
  </si>
  <si>
    <t>Brooke Bond</t>
  </si>
  <si>
    <t>Tata Tea Agni</t>
  </si>
  <si>
    <t>Tata Tea</t>
  </si>
  <si>
    <t>1.5 kg</t>
  </si>
  <si>
    <t>Brooke Bond Red Label Natural Care Tea</t>
  </si>
  <si>
    <t>Girnar Royal Cup Tea</t>
  </si>
  <si>
    <t>Girnar</t>
  </si>
  <si>
    <t>Tata Tea Premium</t>
  </si>
  <si>
    <t>Taj Mahal Tea</t>
  </si>
  <si>
    <t>Taj Mahal</t>
  </si>
  <si>
    <t>Tata Tea Gold</t>
  </si>
  <si>
    <t>Society Masala Tea</t>
  </si>
  <si>
    <t>Wagh Bakri Navchetan Tea</t>
  </si>
  <si>
    <t>Nutralite Fat Spread</t>
  </si>
  <si>
    <t>Nutralite</t>
  </si>
  <si>
    <t>Tetley Lemon &amp; Honey Green Tea Bags</t>
  </si>
  <si>
    <t>Tetley</t>
  </si>
  <si>
    <t>25 Bags</t>
  </si>
  <si>
    <t>100 Bags</t>
  </si>
  <si>
    <t>Brooke Bond Taaza Tea</t>
  </si>
  <si>
    <t>Mother Dairy Pasteurized Butter</t>
  </si>
  <si>
    <t>Delicious Fat Spread</t>
  </si>
  <si>
    <t>Delicious</t>
  </si>
  <si>
    <t>Tata Tea Gold Care</t>
  </si>
  <si>
    <t>Lipton Green Tea Bags - Honey Lemon</t>
  </si>
  <si>
    <t>Lipton</t>
  </si>
  <si>
    <t>Society Masala Flavour Tea Pouch</t>
  </si>
  <si>
    <t>Amul Garlic &amp; Herbs Buttery Spread</t>
  </si>
  <si>
    <t>Tata Tea Teaveda</t>
  </si>
  <si>
    <t>Girnar Detox Desi Kahwa Green Tea</t>
  </si>
  <si>
    <t>10 Bags</t>
  </si>
  <si>
    <t>50 Bags</t>
  </si>
  <si>
    <t>Amul Butter School Pack</t>
  </si>
  <si>
    <t>Brooke Bond Taj Mahal Tea Bags</t>
  </si>
  <si>
    <t>Nutralite Fat Spread UKE</t>
  </si>
  <si>
    <t>Girnar Jumbo Gulabi CTC Leaf Tea</t>
  </si>
  <si>
    <t>Lipton Green Tea Bags - Pure &amp; Light</t>
  </si>
  <si>
    <t>Goodricke Super Cup Tea</t>
  </si>
  <si>
    <t>Goodricke</t>
  </si>
  <si>
    <t>Girnar Masala Instant Premix Chai</t>
  </si>
  <si>
    <t>140 gm</t>
  </si>
  <si>
    <t>Lipton Pure &amp; Light Green Tea</t>
  </si>
  <si>
    <t>Amul Lite Milk Fat Bread Spread</t>
  </si>
  <si>
    <t>Girnar Cardamom Instant Premix Chai</t>
  </si>
  <si>
    <t>Tetley Ginger Mint Lemon Green Tea</t>
  </si>
  <si>
    <t>Tea Country Honey &amp; Lemon Green Tea</t>
  </si>
  <si>
    <t>Tea Country</t>
  </si>
  <si>
    <t>President Premium Butter Salted</t>
  </si>
  <si>
    <t>President</t>
  </si>
  <si>
    <t>Amul White Butter Unsalted</t>
  </si>
  <si>
    <t>Lipton Green Tea - Lemon Zest</t>
  </si>
  <si>
    <t>Tetley Long Leaf Green Tea Powder</t>
  </si>
  <si>
    <t>Wagh Bakri Green Tea Honey Lemon</t>
  </si>
  <si>
    <t>Organic India Tulsi Green Tea - Lemon Ginger</t>
  </si>
  <si>
    <t>Wagh Bakri Premix Instant Tea</t>
  </si>
  <si>
    <t>168 gm</t>
  </si>
  <si>
    <t>Arbor Treat Assam CTC Tea</t>
  </si>
  <si>
    <t>Arbor Treat</t>
  </si>
  <si>
    <t>President Premium Butter Unsalted</t>
  </si>
  <si>
    <t>Wagh Bakri Green Tea Tulsi</t>
  </si>
  <si>
    <t>Wagh Bakri Premix Masala Instant Tea</t>
  </si>
  <si>
    <t>Tea Country Original Green Tea</t>
  </si>
  <si>
    <t>Wagh Bakri Premix Elaichi Instant Tea</t>
  </si>
  <si>
    <t>Wagh Bakri Green Tea Mint</t>
  </si>
  <si>
    <t>Wagh Bakri Green Tea Bags</t>
  </si>
  <si>
    <t>Society Cleanse Detox Kahwa Green Tea Premix</t>
  </si>
  <si>
    <t>TGL Co. Kashmiri Kahwa Green Tea</t>
  </si>
  <si>
    <t>TGL Co.</t>
  </si>
  <si>
    <t>16 Bags</t>
  </si>
  <si>
    <t>TGL Co. Mogo Mogo Green Tea</t>
  </si>
  <si>
    <t>Twinings Green Tea &amp; Lemon</t>
  </si>
  <si>
    <t>Twinings</t>
  </si>
  <si>
    <t>Twinings Green Tea &amp; Mint</t>
  </si>
  <si>
    <t>Twinings Origins Darjeeling Tea</t>
  </si>
  <si>
    <t>Society Premium Tea</t>
  </si>
  <si>
    <t>Society Masala Tea Pouch</t>
  </si>
  <si>
    <t>Amul Taaza Toned Milk</t>
  </si>
  <si>
    <t>Nandini Good Life Toned Milk</t>
  </si>
  <si>
    <t>Nandini</t>
  </si>
  <si>
    <t>Amul Gold Homogenised Standardised Milk</t>
  </si>
  <si>
    <t>Go Double Toned Milk</t>
  </si>
  <si>
    <t>Go</t>
  </si>
  <si>
    <t>Amul Slim-n-Trim Skimmed Milk</t>
  </si>
  <si>
    <t>Nestlé A+ Nourish Toned Milk</t>
  </si>
  <si>
    <t>Nestle</t>
  </si>
  <si>
    <t>Amul Kool Kesar Milk</t>
  </si>
  <si>
    <t>180 ml</t>
  </si>
  <si>
    <t>Amul Kool Badam Milk</t>
  </si>
  <si>
    <t>Amul Kool Café Milk</t>
  </si>
  <si>
    <t>Amul Kool Elaichi Milk</t>
  </si>
  <si>
    <t>Epigamia Milkshake Chocolate</t>
  </si>
  <si>
    <t>Epigamia</t>
  </si>
  <si>
    <t>Cavin's Chocolate Milkshake</t>
  </si>
  <si>
    <t>Cavin's</t>
  </si>
  <si>
    <t>Amul Kool Rose Milk</t>
  </si>
  <si>
    <t>Amul Lactose Free Milk</t>
  </si>
  <si>
    <t>Cavin's Vanilla Milkshake</t>
  </si>
  <si>
    <t>Epigamia Milkshake Strawberry</t>
  </si>
  <si>
    <t>Sofit Soya Drink Naturally Sugar Free</t>
  </si>
  <si>
    <t>Sofit</t>
  </si>
  <si>
    <t>Raw Pressery Almond Milk Plain (Unsweetened)</t>
  </si>
  <si>
    <t>Raw Pressery</t>
  </si>
  <si>
    <t>Sofit Soya Drink Chocolate</t>
  </si>
  <si>
    <t>Lipton Green Tea - Tulsi Natura</t>
  </si>
  <si>
    <t>1 L x 12 U</t>
  </si>
  <si>
    <t>Sofit Soya Drink Vanilla</t>
  </si>
  <si>
    <t>Tea Country Tulsi Green Tea</t>
  </si>
  <si>
    <t>Chitale Flavoured Milk Butterscotch</t>
  </si>
  <si>
    <t>Chitale</t>
  </si>
  <si>
    <t>Amul Basundi Kesar Elaichi</t>
  </si>
  <si>
    <t>Arbor Qahwa Green Tea With Herbs &amp; Spices</t>
  </si>
  <si>
    <t>Sofit Soya Drink Kesar Pista</t>
  </si>
  <si>
    <t>Chitale Flavoured Milk - Coffee</t>
  </si>
  <si>
    <t>Amul Cheese Chiplets </t>
  </si>
  <si>
    <t>Amul Processed Cheese</t>
  </si>
  <si>
    <t>Gowardhan Cheese Slice - 28 Slices</t>
  </si>
  <si>
    <t>476 gm</t>
  </si>
  <si>
    <t>Amul Processed Cheese Block</t>
  </si>
  <si>
    <t>Amul Cheese Slices</t>
  </si>
  <si>
    <t>750 gm</t>
  </si>
  <si>
    <t>Britannia Cheese Slices</t>
  </si>
  <si>
    <t>Britannia</t>
  </si>
  <si>
    <t>663 gm</t>
  </si>
  <si>
    <t>Amul Mozzarella Diced Pizza Cheese (Frozen)</t>
  </si>
  <si>
    <t>Amul Diced Mozzarella &amp; Cheddar Cheese Blend (Frozen)</t>
  </si>
  <si>
    <t>Gowardhan Processed Cheese</t>
  </si>
  <si>
    <t>Amul Cheese Spread Plain</t>
  </si>
  <si>
    <t>Britannia Cheese Block</t>
  </si>
  <si>
    <t>Britannia Cheese Cubes</t>
  </si>
  <si>
    <t>600 gm</t>
  </si>
  <si>
    <t>Britannia Cheeza Pizza Cheese</t>
  </si>
  <si>
    <t>Tetley Green Tea Ginger Mint &amp; Lemon</t>
  </si>
  <si>
    <t>Amul Easy To Grate Processed Cheese</t>
  </si>
  <si>
    <t>D'lecta Cheese Slices</t>
  </si>
  <si>
    <t>D'lecta</t>
  </si>
  <si>
    <t>Amul Diced Blend Cheese</t>
  </si>
  <si>
    <t>Gowardhan Go Cheese Slices - Plain</t>
  </si>
  <si>
    <t>Gowardhan Go</t>
  </si>
  <si>
    <t>Tetley Classic Immune Green Tea</t>
  </si>
  <si>
    <t>D'lecta Shredded Mozzarella Cheese</t>
  </si>
  <si>
    <t>D'lecta Cheese Cubes</t>
  </si>
  <si>
    <t>Mother Dairy Cheese Cubes</t>
  </si>
  <si>
    <t>180 gm</t>
  </si>
  <si>
    <t>Mother Dairy Cheese Slices</t>
  </si>
  <si>
    <t>Amul Mozzarella &amp; Cheddar Pizza Cheese</t>
  </si>
  <si>
    <t>D'lecta Cream Cheese</t>
  </si>
  <si>
    <t>D'lecta Processed Cheese Block</t>
  </si>
  <si>
    <t>D'lecta Natural Feta Salad Cheese</t>
  </si>
  <si>
    <t>Gowardhan Go Pizza Cheese</t>
  </si>
  <si>
    <t>D'lecta Cheese Spread</t>
  </si>
  <si>
    <t>D'lecta Natural Cheddar Cheese</t>
  </si>
  <si>
    <t>Amul Mozzarella Pizza Cheese (Frozen)</t>
  </si>
  <si>
    <t>D'lecta Frozen Shredded Mozzarella Cheese</t>
  </si>
  <si>
    <t>Gowardhan Processed Cheese Angles Plain</t>
  </si>
  <si>
    <t>160 gm</t>
  </si>
  <si>
    <t>D'lecta Natural Cheddar Cheese Slices</t>
  </si>
  <si>
    <t>Wagh Bakri Shudh Kahwa Green Tea</t>
  </si>
  <si>
    <t>Organic Tulsi Ginger Turmeric</t>
  </si>
  <si>
    <t>Organic</t>
  </si>
  <si>
    <t>Twinings Green Tea Lemon &amp; Honey</t>
  </si>
  <si>
    <t>Tea Culture Of The World Soothing Chamomile Exotic Tea</t>
  </si>
  <si>
    <t>Tea Culture Of The World</t>
  </si>
  <si>
    <t>20 Bag</t>
  </si>
  <si>
    <t>Tea Culture Of The World Moroccan Mint Exotic Tea</t>
  </si>
  <si>
    <t>Twinings Pure Green Tea</t>
  </si>
  <si>
    <t>Tea Culture Of The World Flowery Bouquet Exotic Tea</t>
  </si>
  <si>
    <t>Tea Culture Of World</t>
  </si>
  <si>
    <t>Tea Culture Of The World Kashmiri Kahwa Exotic Tea</t>
  </si>
  <si>
    <t>Tea Culture Of The World Tulsi Ritual Exotic Tea</t>
  </si>
  <si>
    <t>Twinings Darjeeling Loose Leaf Tea</t>
  </si>
  <si>
    <t>Britannia Diced Pizza Cheese Blend</t>
  </si>
  <si>
    <t>Bru Instant Coffee Pouch</t>
  </si>
  <si>
    <t>Bru</t>
  </si>
  <si>
    <t>Nescafé Classic Coffee</t>
  </si>
  <si>
    <t>Nescafe</t>
  </si>
  <si>
    <t>Le Café 100% Pure Instant Coffee</t>
  </si>
  <si>
    <t>Le Cafe</t>
  </si>
  <si>
    <t>Nestlé Everyday Dairy Whitener</t>
  </si>
  <si>
    <t>Gowardhan Paneer Classic Block</t>
  </si>
  <si>
    <t>Amul Masti Spiced Buttermilk</t>
  </si>
  <si>
    <t>Nescafé Sunrise Coffee</t>
  </si>
  <si>
    <t>Amul Fresh Paneer</t>
  </si>
  <si>
    <t>2x500 gm</t>
  </si>
  <si>
    <t>Nescafé Classic Coffee Jar</t>
  </si>
  <si>
    <t>95 gm</t>
  </si>
  <si>
    <t>48 gm</t>
  </si>
  <si>
    <t>Amul Fresh Cream</t>
  </si>
  <si>
    <t>Yakult Probiotic Health Drink</t>
  </si>
  <si>
    <t>Yakult</t>
  </si>
  <si>
    <t>5x65 ml</t>
  </si>
  <si>
    <t>House Instant Coffee</t>
  </si>
  <si>
    <t>House Coffee</t>
  </si>
  <si>
    <t>Amul Mithai Mate Sweetened Condensed Milk</t>
  </si>
  <si>
    <t>Nestlé Milkmaid</t>
  </si>
  <si>
    <t>380 gm</t>
  </si>
  <si>
    <t>Nescafe Gold Blend Coffee Jar</t>
  </si>
  <si>
    <t>Chitale Fresh Paneer</t>
  </si>
  <si>
    <t>Le Cafe Coffee Jar</t>
  </si>
  <si>
    <t>Le Café</t>
  </si>
  <si>
    <t>Continental Xtra Coffee Jar</t>
  </si>
  <si>
    <t>Continental</t>
  </si>
  <si>
    <t>Prabhat Malai Paneer</t>
  </si>
  <si>
    <t>Amul Malai Paneer (Frozen)</t>
  </si>
  <si>
    <t>Amul Frozen Rasmalai</t>
  </si>
  <si>
    <t>Continental Xtra Instant South Blend Coffee</t>
  </si>
  <si>
    <t>Colombian Brew Instant Coffee Original</t>
  </si>
  <si>
    <t>Colombian</t>
  </si>
  <si>
    <t>Id Natural Paneer</t>
  </si>
  <si>
    <t>Id</t>
  </si>
  <si>
    <t>Davidoff Coffee Espresso Intense</t>
  </si>
  <si>
    <t>Davidoff</t>
  </si>
  <si>
    <t>Epigamia Milkshake Vanilla</t>
  </si>
  <si>
    <t>Cothas Coffee Speciality Blend</t>
  </si>
  <si>
    <t>Cothas</t>
  </si>
  <si>
    <t>Davidoff Coffee Rich Aroma</t>
  </si>
  <si>
    <t>D'lecta Dairy Cream</t>
  </si>
  <si>
    <t>Colombian Brew Instant Coffee Nutty Hazelnut</t>
  </si>
  <si>
    <t>Le Café Instant Coffee</t>
  </si>
  <si>
    <t>Amul Rose Lassi</t>
  </si>
  <si>
    <t>Colombian Brew Cappuccino Coffee Premix</t>
  </si>
  <si>
    <t>Colombian Brew Coffee</t>
  </si>
  <si>
    <t>10 U</t>
  </si>
  <si>
    <t>Amul Lassi Rose Flavour</t>
  </si>
  <si>
    <t>Nescafe Chilled Latte Coffee &amp; Milk Beverage</t>
  </si>
  <si>
    <t>Colombian Brew Double Chocolate Mocha Coffee Premix</t>
  </si>
  <si>
    <t>Nescafe Cappuccino Flavour Instense Café</t>
  </si>
  <si>
    <t>Nescafe Iced Latte Flavoured Can</t>
  </si>
  <si>
    <t>Colombian Brew Hazelnut Coffee Premix</t>
  </si>
  <si>
    <t>Nescafe Hazelnut Flavour Coffee &amp; Milk Beverage</t>
  </si>
  <si>
    <t>Cavin's Strawberry Milkshake</t>
  </si>
  <si>
    <t>Yakult Light Health Drink</t>
  </si>
  <si>
    <t>Colombian Brew Instant Coffee Double Chocolate Mocha</t>
  </si>
  <si>
    <t>Nescafe Cappuccino Flavour Can</t>
  </si>
  <si>
    <t>Colombian Brew Vanilla Caramel Coffee Premix</t>
  </si>
  <si>
    <t>ID Instant Filter Coffee Bold</t>
  </si>
  <si>
    <t>ID</t>
  </si>
  <si>
    <t>150 ml</t>
  </si>
  <si>
    <t>Epigamia Artisanal Mishti Doi</t>
  </si>
  <si>
    <t>85 gm</t>
  </si>
  <si>
    <t>Colombian Brew Instant Coffee Wild Vanilla</t>
  </si>
  <si>
    <t>ID Instant Filter Coffee Strong</t>
  </si>
  <si>
    <t>Davidoff Coffee Fine Aroma</t>
  </si>
  <si>
    <t>Colombian Brew Instant Coffee Creamy Caramel</t>
  </si>
  <si>
    <t>Continental Speciale Coffee Pouch</t>
  </si>
  <si>
    <t>Davidoff Coffee Crema Intense</t>
  </si>
  <si>
    <t>90 gm</t>
  </si>
  <si>
    <t>D'lecta Dairy Whipping Cream</t>
  </si>
  <si>
    <t>Raw Pressery Milkshake Cold Coffee</t>
  </si>
  <si>
    <t>Amul Kesar Elaichi Basundi</t>
  </si>
  <si>
    <t>TGL Co. Euphoria Instant Coffee Powder</t>
  </si>
  <si>
    <t>Nescafé Classic Black Roast Coffee Jar</t>
  </si>
  <si>
    <t>Nescafé</t>
  </si>
  <si>
    <t>Chitale Keshar Flavoured Milk</t>
  </si>
  <si>
    <t>Nescafe Classic Coffee Jar</t>
  </si>
  <si>
    <t>Colombian Brew Green Coffee</t>
  </si>
  <si>
    <t>Cadbury Bournvita Health Drink Refill</t>
  </si>
  <si>
    <t>Cadbury Bournvita</t>
  </si>
  <si>
    <t>Pediasure Nutritional Powder - Premium Chocolate Flavour</t>
  </si>
  <si>
    <t>Pediasure</t>
  </si>
  <si>
    <t>Protinex Original Health Drink</t>
  </si>
  <si>
    <t>Protinex</t>
  </si>
  <si>
    <t>Protinex Chocolate Flavour Health Drink Tin</t>
  </si>
  <si>
    <t>Cadbury Bournvita 5 Star Magic Health Drink</t>
  </si>
  <si>
    <t>Protinex Original</t>
  </si>
  <si>
    <t>Proteinex</t>
  </si>
  <si>
    <t>Horlicks Health &amp; Nutrition Drink Refill - Chocolate</t>
  </si>
  <si>
    <t>Horlicks</t>
  </si>
  <si>
    <t>Amul Pro Whey Protein Malt Chocolate Drink</t>
  </si>
  <si>
    <t>Cadbury Bournvita Jar</t>
  </si>
  <si>
    <t>Horlicks Health &amp; Nutrition Drink Refill - Classic Malt</t>
  </si>
  <si>
    <t>Complan Chocolate Health Drink</t>
  </si>
  <si>
    <t>Complan</t>
  </si>
  <si>
    <t>Protinex Vanilla Flavour</t>
  </si>
  <si>
    <t>Pediasure Vanilla Delight</t>
  </si>
  <si>
    <t>Women's Horlicks Health &amp; Nutrition Drink - Chocolate</t>
  </si>
  <si>
    <t>Women's Horlicks Health &amp; Nutrition Drink Jar - Caramel</t>
  </si>
  <si>
    <t>Boost Refill Pack</t>
  </si>
  <si>
    <t>Boost</t>
  </si>
  <si>
    <t>Britannia Thick Dahi</t>
  </si>
  <si>
    <t>Amul Masti Dahi</t>
  </si>
  <si>
    <t>Cadbury Hot Chocolate Drinking Powder</t>
  </si>
  <si>
    <t>Cadbury Cocoa Beverages</t>
  </si>
  <si>
    <t>ID Creamy Thick Curd - Dahi</t>
  </si>
  <si>
    <t>Pediasure Nutritional Powder - Vanilla Delight Flavour</t>
  </si>
  <si>
    <t>Ensure Nutrition Powder - Vanilla Flavour</t>
  </si>
  <si>
    <t>Ensure</t>
  </si>
  <si>
    <t>Horlicks Classic Malt Jar</t>
  </si>
  <si>
    <t>Complan Kesar Badam Health Drink</t>
  </si>
  <si>
    <t>Horlicks Chocolate Delight Jar</t>
  </si>
  <si>
    <t>Protinex Health Drink Chocolate Flavour Tin</t>
  </si>
  <si>
    <t>Horlicks Chocolate Delight Health Drink Refill</t>
  </si>
  <si>
    <t>Hershey's Natural Unsweetened Cocoa Powder</t>
  </si>
  <si>
    <t>Hershey's</t>
  </si>
  <si>
    <t>225 gm</t>
  </si>
  <si>
    <t>Amul Premium Dahi</t>
  </si>
  <si>
    <t>Mother Dairy Mishti Doi</t>
  </si>
  <si>
    <t>Gaia Sport Whey Irish Chocolate Protein</t>
  </si>
  <si>
    <t>Gaia</t>
  </si>
  <si>
    <t>Hershey's Milk Booster Chocolate Flavor</t>
  </si>
  <si>
    <t>Christopher Dark Cocoa Powder For Baking &amp; Hot &amp; Cold Drinks</t>
  </si>
  <si>
    <t>Christopher</t>
  </si>
  <si>
    <t>Christopher Cocoa Original Drinking Cocoa</t>
  </si>
  <si>
    <t>Horlicks Chocolate Delight Flavour Jar</t>
  </si>
  <si>
    <t>Blue Bird Cocoa Powder</t>
  </si>
  <si>
    <t>Mirinda Orange</t>
  </si>
  <si>
    <t>Mirinda</t>
  </si>
  <si>
    <t>2.25 L</t>
  </si>
  <si>
    <t>Thums Up</t>
  </si>
  <si>
    <t>Thums up</t>
  </si>
  <si>
    <t>600 ml</t>
  </si>
  <si>
    <t>1.75 L</t>
  </si>
  <si>
    <t>Sprite</t>
  </si>
  <si>
    <t>Thums Up Bottle</t>
  </si>
  <si>
    <t>8x250 ml</t>
  </si>
  <si>
    <t>Coca-Cola Bottle</t>
  </si>
  <si>
    <t>Coca-Cola</t>
  </si>
  <si>
    <t>Pepsi</t>
  </si>
  <si>
    <t>Fanta Orange Flavour</t>
  </si>
  <si>
    <t>Fanta</t>
  </si>
  <si>
    <t>Bisleri Club Soda</t>
  </si>
  <si>
    <t>Bisleri</t>
  </si>
  <si>
    <t>750 ml</t>
  </si>
  <si>
    <t>7 Up</t>
  </si>
  <si>
    <t>Limca</t>
  </si>
  <si>
    <t>Xotik Jeeru Jeera Masala Drink</t>
  </si>
  <si>
    <t>Xotik Beverages</t>
  </si>
  <si>
    <t>Diet Coke Tin</t>
  </si>
  <si>
    <t>300 ml</t>
  </si>
  <si>
    <t>Duke's Club Soda</t>
  </si>
  <si>
    <t>Duke's</t>
  </si>
  <si>
    <t>Coolberg Assorted Non-Alcoholic Beer</t>
  </si>
  <si>
    <t>Coolberg</t>
  </si>
  <si>
    <t>6x330 ml</t>
  </si>
  <si>
    <t>Budweiser Green Apple Non-Alcoholic Beer Can</t>
  </si>
  <si>
    <t>Budweiser</t>
  </si>
  <si>
    <t>330 ml</t>
  </si>
  <si>
    <t>750  ml</t>
  </si>
  <si>
    <t>Cravova Classic Mojito</t>
  </si>
  <si>
    <t>Cravova</t>
  </si>
  <si>
    <t>Coolberg Cranberry Non-Alcoholic Beer</t>
  </si>
  <si>
    <t>Epigamia Low Fat Greek Yogurt Blueberry</t>
  </si>
  <si>
    <t>Cravova Peach Mojito</t>
  </si>
  <si>
    <t>Epigamia Low Fat Greek Yogurt Strawberry</t>
  </si>
  <si>
    <t>Cravova Green Apple Mojito</t>
  </si>
  <si>
    <t>Epigamia Greek Yogurt Natural</t>
  </si>
  <si>
    <t>Bisleri Limonata - With Lime Juice</t>
  </si>
  <si>
    <t>Coke Zero Sugar</t>
  </si>
  <si>
    <t>Cravova Watermelon Mojito</t>
  </si>
  <si>
    <t>Coolberg Peach Non-Alcoholic Beer</t>
  </si>
  <si>
    <t>Epigamia Low Fat Greek Yogurt Alphonso Mango</t>
  </si>
  <si>
    <t>Cravova Fresh Lemonade</t>
  </si>
  <si>
    <t>Epigamia Low Fat Greek Yogurt Wild Raspberry</t>
  </si>
  <si>
    <t>Coca-Cola Tin</t>
  </si>
  <si>
    <t>Coolberg Ginger Non-Alcoholic Beer</t>
  </si>
  <si>
    <t>Epigamia Greek Yogurt Zero Added Sugar Strawberry</t>
  </si>
  <si>
    <t>Bisleri Spyci - Masala Maar Ke</t>
  </si>
  <si>
    <t>Epigamia Greek Yogurt Smoothie - Blueberry</t>
  </si>
  <si>
    <t>Coolberg Malt Non-Alcoholic Beer</t>
  </si>
  <si>
    <t>Epigamia Greek Yogurt Smoothie - Strawberry</t>
  </si>
  <si>
    <t>Epigamia Greek Yogurt Zero Sugar Mixed Berry</t>
  </si>
  <si>
    <t>Epigamia Alphonso Mango Yogurt Smoothie</t>
  </si>
  <si>
    <t>Schweppes Indian Tonic Water Tin</t>
  </si>
  <si>
    <t>Schweppes</t>
  </si>
  <si>
    <t>Schweppes Original Ginger Ale</t>
  </si>
  <si>
    <t>Xotik Jeeru</t>
  </si>
  <si>
    <t>O'cean Fruit Drink - Peach &amp; Passion Fruit Flavour</t>
  </si>
  <si>
    <t>O'cean</t>
  </si>
  <si>
    <t>Maaza Mango Drink</t>
  </si>
  <si>
    <t>Maaza</t>
  </si>
  <si>
    <t>1.2 L</t>
  </si>
  <si>
    <t>Slice Mango Drink</t>
  </si>
  <si>
    <t>Slice</t>
  </si>
  <si>
    <t>Real Mixed Fruit</t>
  </si>
  <si>
    <t>Real</t>
  </si>
  <si>
    <t>Minute Maid Pulpy Orange Juice</t>
  </si>
  <si>
    <t>Minute Maid</t>
  </si>
  <si>
    <t>Frooti Mango Drink</t>
  </si>
  <si>
    <t>Frooti</t>
  </si>
  <si>
    <t>Mango Merry Mango Drink</t>
  </si>
  <si>
    <t>Mango Merry</t>
  </si>
  <si>
    <t>Real Fruit Power Orange</t>
  </si>
  <si>
    <t>B Natural Mixed Fruit Beverage</t>
  </si>
  <si>
    <t>B Natural</t>
  </si>
  <si>
    <t>Real Fruit Power Litchi</t>
  </si>
  <si>
    <t>B Natural Guava Fruit Beverage</t>
  </si>
  <si>
    <t>Real Fruit Power Guava</t>
  </si>
  <si>
    <t>Tropicana Mixed Fruit Delight</t>
  </si>
  <si>
    <t>Tropicana</t>
  </si>
  <si>
    <t>B Natural Litchi Fruit Beverage</t>
  </si>
  <si>
    <t>Raw Pressery Coconut Water</t>
  </si>
  <si>
    <t>Chitale Full Cream Shrikhand Amba</t>
  </si>
  <si>
    <t>Paper Boat Aamras</t>
  </si>
  <si>
    <t>Paper Boat</t>
  </si>
  <si>
    <t>Real Fruit Power Apple</t>
  </si>
  <si>
    <t>Real Fruit Power Masala Guava</t>
  </si>
  <si>
    <t>Real Fruit Power Masala Mixed Fruit</t>
  </si>
  <si>
    <t>Amul Amrakhand</t>
  </si>
  <si>
    <t>Amul Shrikhand Badam Pista</t>
  </si>
  <si>
    <t>Tropicana Apple Delight</t>
  </si>
  <si>
    <t>Paper Boat Chilli Guava</t>
  </si>
  <si>
    <t>Tropicana Orange Delight</t>
  </si>
  <si>
    <t>Tropicana Litchi Delight</t>
  </si>
  <si>
    <t>Paper Boat Alphonso Aam</t>
  </si>
  <si>
    <t>Amul Shrikhand Mango</t>
  </si>
  <si>
    <t>Amul Shrikhand Elaichi</t>
  </si>
  <si>
    <t>Paper Boat Jaljeera</t>
  </si>
  <si>
    <t>Chitale Full Cream Badam Pista Shrikhand</t>
  </si>
  <si>
    <t>Raw Pressery Orange Juice</t>
  </si>
  <si>
    <t>Amul Shrikhand Kesar</t>
  </si>
  <si>
    <t>Paper Boat Anar - 1 L</t>
  </si>
  <si>
    <t>Chitale Full Cream Keshar Shrikhand</t>
  </si>
  <si>
    <t>Baidyanath Amla Juice</t>
  </si>
  <si>
    <t>Baidyanath</t>
  </si>
  <si>
    <t>Raw Pressery Pomegranate Juice</t>
  </si>
  <si>
    <t>Baidyanath Aloevera Juice</t>
  </si>
  <si>
    <t>Raw Pressery Sugarcane</t>
  </si>
  <si>
    <t>Baidyanath Karela Jamun Juice</t>
  </si>
  <si>
    <t>Baidyanath Giloy Juice</t>
  </si>
  <si>
    <t>O'cean Pink Fruit Drink - Guava Flavour</t>
  </si>
  <si>
    <t>OCean</t>
  </si>
  <si>
    <t>Glucon-D Orange</t>
  </si>
  <si>
    <t>Glucon-D</t>
  </si>
  <si>
    <t>Red Bull Energy Drink</t>
  </si>
  <si>
    <t>Red Bull</t>
  </si>
  <si>
    <t>6x250 ml</t>
  </si>
  <si>
    <t>4x250 ml</t>
  </si>
  <si>
    <t>Glucon-D Nimbu Pani</t>
  </si>
  <si>
    <t>Monster Energy Drink Tin</t>
  </si>
  <si>
    <t>Monster</t>
  </si>
  <si>
    <t>350 ml</t>
  </si>
  <si>
    <t>Glucon-D Plain</t>
  </si>
  <si>
    <t>O'cean Natural Power Energy Drink</t>
  </si>
  <si>
    <t>Chetran's Tofu</t>
  </si>
  <si>
    <t>Chetran's</t>
  </si>
  <si>
    <t>Budweiser Beats Energy Drink</t>
  </si>
  <si>
    <t>Budweiser Beats</t>
  </si>
  <si>
    <t>Cipla Prolyte ORS - Orange Flavour</t>
  </si>
  <si>
    <t>Cipla</t>
  </si>
  <si>
    <t>Cipla Prolyte ORS - Apple Flavour</t>
  </si>
  <si>
    <t>Red Bull Sugarfree</t>
  </si>
  <si>
    <t>Rooh Afza</t>
  </si>
  <si>
    <t>Hamdard</t>
  </si>
  <si>
    <t>Mapro Coolz Rose Sharbat</t>
  </si>
  <si>
    <t>Mapro</t>
  </si>
  <si>
    <t>Guruji Kesaria Thandai</t>
  </si>
  <si>
    <t>Guruji</t>
  </si>
  <si>
    <t>Kokan Gem Kokam Syrup</t>
  </si>
  <si>
    <t>Mala's Rose Syrup</t>
  </si>
  <si>
    <t>Mala's</t>
  </si>
  <si>
    <t>Hershey's Chocolate Syrup</t>
  </si>
  <si>
    <t>623 gm</t>
  </si>
  <si>
    <t>Kokan Gem Kairi Panhe</t>
  </si>
  <si>
    <t>Mapro Cocktail Mixology Kit</t>
  </si>
  <si>
    <t>Home Made Lemon Pudina Fruit Squash</t>
  </si>
  <si>
    <t>Home Made</t>
  </si>
  <si>
    <t>Jimmy's Cocktails - Cosmopolitan Cocktail Mixer</t>
  </si>
  <si>
    <t>Jimmy's Cocktail</t>
  </si>
  <si>
    <t>Jimmy's Cocktails - Mango Chilli Mojito Cocktail Mixer</t>
  </si>
  <si>
    <t>Jimmy's Cocktails - SOTB Cocktail Mixer</t>
  </si>
  <si>
    <t>Jimmy's Cocktails - Margarita Cocktail Mixer</t>
  </si>
  <si>
    <t>Jimmy's Cocktails - Whiskey Sour Cocktail Mixer</t>
  </si>
  <si>
    <t>Home Made Real Variyali Syrup</t>
  </si>
  <si>
    <t>Jimmy's Cocktails - BM Cocktail Mixer</t>
  </si>
  <si>
    <t>Home Made Rose Falooda Syrup</t>
  </si>
  <si>
    <t>Home Made Masala Shikanji Syrup</t>
  </si>
  <si>
    <t>Monin Mojito Mint Flavoured Syrup</t>
  </si>
  <si>
    <t>Monin</t>
  </si>
  <si>
    <t>Home Made Anjeer Kesar Fruit Squash</t>
  </si>
  <si>
    <t>Guruji Rose Sharbat</t>
  </si>
  <si>
    <t>Monin Blue Curacao Flavoured Syrup</t>
  </si>
  <si>
    <t>Monin Green Apple Flavoured Syrup</t>
  </si>
  <si>
    <t>Monin Vanilla Flavoured Syrup</t>
  </si>
  <si>
    <t>Hershey's Strawberry Syrup</t>
  </si>
  <si>
    <t>Britannia Good Day Cashew Cookies</t>
  </si>
  <si>
    <t>Cookies</t>
  </si>
  <si>
    <t>Parle Hide &amp; Seek Chocolate Chip Cookies</t>
  </si>
  <si>
    <t>Parle</t>
  </si>
  <si>
    <t>Karachi's Fruit Biscuits</t>
  </si>
  <si>
    <t>Karachi's</t>
  </si>
  <si>
    <t>Parle Nutricrunch Digestive Cookies</t>
  </si>
  <si>
    <t>Sunfeast Dark Fantasy Yumfills Cake</t>
  </si>
  <si>
    <t>Sunfeast</t>
  </si>
  <si>
    <t>253 gm</t>
  </si>
  <si>
    <t>Britannia Good Day Chocochip Cookies</t>
  </si>
  <si>
    <t>Unibic Choco Chip Cookies</t>
  </si>
  <si>
    <t>Unibic</t>
  </si>
  <si>
    <t>Britannia Nice Time Coconut Biscuits</t>
  </si>
  <si>
    <t>143 gm</t>
  </si>
  <si>
    <t>Sunfeast Mom's Magic Cashew &amp; Almond Cookies</t>
  </si>
  <si>
    <t>Sunfeast Mom's Magic</t>
  </si>
  <si>
    <t>584 gm</t>
  </si>
  <si>
    <t>Parle 20-20 Gold Cashew Almond Cookies</t>
  </si>
  <si>
    <t>Unibic Fruit &amp; Nut Cookies</t>
  </si>
  <si>
    <t>Unibic Cashew Badam Cookies</t>
  </si>
  <si>
    <t>Britannia Little Hearts Classic Biscuits</t>
  </si>
  <si>
    <t>Britannia Tiger Krunch Chocochips Biscuits</t>
  </si>
  <si>
    <t>4X100 gm</t>
  </si>
  <si>
    <t>Patanjali Doodh Biscuits</t>
  </si>
  <si>
    <t>300 gm</t>
  </si>
  <si>
    <t>Unibic Choco Nut Cookies</t>
  </si>
  <si>
    <t>Unibic Choco Kiss Cookies</t>
  </si>
  <si>
    <t>Malkist Chocolate Flavoured Crunchy Layered Crackers</t>
  </si>
  <si>
    <t>Malkist</t>
  </si>
  <si>
    <t>138 gm</t>
  </si>
  <si>
    <t>Malkist Cheese Flavoured Crunchy Layered Crackers</t>
  </si>
  <si>
    <t>Sunfeast Nice Sugar Sprinkled Biscuits</t>
  </si>
  <si>
    <t>Sunfeast Nice</t>
  </si>
  <si>
    <t>Munchy's Cream Crackers</t>
  </si>
  <si>
    <t>Munchy's</t>
  </si>
  <si>
    <t>Munchy's Vege Crackers</t>
  </si>
  <si>
    <t>Cookie Man Almond Fingers</t>
  </si>
  <si>
    <t>Cookie Man</t>
  </si>
  <si>
    <t>Cookie Man Assorted Cookies Tin</t>
  </si>
  <si>
    <t>Cookie Man Hand Pound Chocolate Cookies</t>
  </si>
  <si>
    <t>Sunfeast Mom's Magic Butter Cookies</t>
  </si>
  <si>
    <t>Munchy's Wheat Crackers</t>
  </si>
  <si>
    <t>276 gm</t>
  </si>
  <si>
    <t>Munchy's Sugar Crackers</t>
  </si>
  <si>
    <t>Cookie Man Brownie Brittle</t>
  </si>
  <si>
    <t>Lotus Biscoff Biscuit</t>
  </si>
  <si>
    <t>Lotus Biscoff</t>
  </si>
  <si>
    <t>124 gm</t>
  </si>
  <si>
    <t>Malkist Sugar Crackers</t>
  </si>
  <si>
    <t>135 gm</t>
  </si>
  <si>
    <t>Cookie Man Brandy Snap Cookies</t>
  </si>
  <si>
    <t>Cookie Man Nutty Magic Cookies</t>
  </si>
  <si>
    <t>Tosita Baked Ragi Crackers</t>
  </si>
  <si>
    <t>Tosita</t>
  </si>
  <si>
    <t>Tosita Cheese Straws</t>
  </si>
  <si>
    <t>Tosita Baked Pita Chips Just Salted</t>
  </si>
  <si>
    <t>Unibic Snappers Potato Crackers - Indi Spice</t>
  </si>
  <si>
    <t>Unibic Snappers Potato Crackers - Cream N' Onion</t>
  </si>
  <si>
    <t>Unibic Sugarfree Butter Cookies</t>
  </si>
  <si>
    <t>Unibic Sugarfree Oatmeal Cookies</t>
  </si>
  <si>
    <t>Orion O'Rice Cracker</t>
  </si>
  <si>
    <t>Orion</t>
  </si>
  <si>
    <t>14x10.8 gm</t>
  </si>
  <si>
    <t>Britannia Good Day Harmony</t>
  </si>
  <si>
    <t>Good Day Harmony</t>
  </si>
  <si>
    <t>Parle-G Original Gluco Biscuits</t>
  </si>
  <si>
    <t>800 gm</t>
  </si>
  <si>
    <t>Parle-G Gold Biscuits</t>
  </si>
  <si>
    <t>Britannia Milk Bikis Biscuits</t>
  </si>
  <si>
    <t>190.5 gm</t>
  </si>
  <si>
    <t>Britannia Marie Gold Biscuits</t>
  </si>
  <si>
    <t>Britannia Vita Marie Gold Biscuits</t>
  </si>
  <si>
    <t>248 gm</t>
  </si>
  <si>
    <t>Sunfeast Marie Light Biscuit</t>
  </si>
  <si>
    <t>Parle Marie Biscuits</t>
  </si>
  <si>
    <t>McVitie's Wholewheat Marie Biscuits</t>
  </si>
  <si>
    <t>McVitie's</t>
  </si>
  <si>
    <t>Parle Monaco Classic Regular Biscuit</t>
  </si>
  <si>
    <t>Parle Krackjack Biscuits</t>
  </si>
  <si>
    <t>Britannia 50-50 Maska Chaska Biscuits</t>
  </si>
  <si>
    <t>105 gm</t>
  </si>
  <si>
    <t>Parle Monaco Cheeslings Classic</t>
  </si>
  <si>
    <t>Bellie Cream Crackers Biscuit</t>
  </si>
  <si>
    <t>Bellie</t>
  </si>
  <si>
    <t>Sunfeast Dark Fantasy Choco Fills Cookies</t>
  </si>
  <si>
    <t>Sunfeast Dark Fantasy</t>
  </si>
  <si>
    <t>Lotte Choco Pie</t>
  </si>
  <si>
    <t>504 gm</t>
  </si>
  <si>
    <t>Cadbury Oreo Original Biscuits - Value Pack</t>
  </si>
  <si>
    <t>Cadbury</t>
  </si>
  <si>
    <t>Bisky Bites Vanilla Magic Sandwich Biscuits</t>
  </si>
  <si>
    <t>Bisky Bites</t>
  </si>
  <si>
    <t>Britannia Jim Jam Cream Biscuits</t>
  </si>
  <si>
    <t>Britannia Bourbon Sandwich Flavoured Biscuits</t>
  </si>
  <si>
    <t>Cadbury Oreo Choco Crème Biscuits</t>
  </si>
  <si>
    <t>Cadbury Oreo</t>
  </si>
  <si>
    <t>Bisky Bites Chocolate Blast Sandwich Biscuits</t>
  </si>
  <si>
    <t>Bisky Bites Bourbon Sandwich Biscuits</t>
  </si>
  <si>
    <t>Sunfeast Dark Fantasy Choco Créme Biscuits</t>
  </si>
  <si>
    <t>Sunfeast Dark Fantasy Vanilla Créme Biscuits</t>
  </si>
  <si>
    <t>Dukes Bourbon Biscuits</t>
  </si>
  <si>
    <t>Cadbury Oreo Cadbury Dipped</t>
  </si>
  <si>
    <t>Parle Hide &amp; Seek Caffé Mocha Biscuits</t>
  </si>
  <si>
    <t>Cadbury Bournvita Chocolate Cookies</t>
  </si>
  <si>
    <t>Cadbury Bournvita Biscuits</t>
  </si>
  <si>
    <t>Bellie Cheese Cream Sandwich Biscuit</t>
  </si>
  <si>
    <t>190 gm</t>
  </si>
  <si>
    <t>Sunfeast Dark Fantasy Bourbon Biscuits</t>
  </si>
  <si>
    <t>Sunfeast Bourbon</t>
  </si>
  <si>
    <t>Cadbury Oreo Choco Cream Sandwich Biscuits Jumbo Pack</t>
  </si>
  <si>
    <t>Bellie Chocolate Cream Sandwich Biscuits</t>
  </si>
  <si>
    <t>Cadbury Oreo Red Velvet Biscuits</t>
  </si>
  <si>
    <t>Britannia NutriChoice Digestive Hi-Fibre Biscuits</t>
  </si>
  <si>
    <t>Sunfeast Farmlite 5 Grain Digestive Biscuit</t>
  </si>
  <si>
    <t>Mcvitie's Digestive Biscuits</t>
  </si>
  <si>
    <t>Mcvitie's</t>
  </si>
  <si>
    <t>Britannia Toastea Premium Bake Rusk</t>
  </si>
  <si>
    <t>654 gm</t>
  </si>
  <si>
    <t xml:space="preserve"> Bakery</t>
  </si>
  <si>
    <t>273 gm</t>
  </si>
  <si>
    <t>Parle Real Elaichi Premium Rusk</t>
  </si>
  <si>
    <t>Royal Toast</t>
  </si>
  <si>
    <t>Kwality Maska Khari</t>
  </si>
  <si>
    <t>Kwality</t>
  </si>
  <si>
    <t>Royal Maska Khari</t>
  </si>
  <si>
    <t>Royal Khari</t>
  </si>
  <si>
    <t>Kwality Jeera Butter</t>
  </si>
  <si>
    <t>Tosita Multi Grain Rusk</t>
  </si>
  <si>
    <t>Tosita Wheat Khari</t>
  </si>
  <si>
    <t>Tosita Milk Rusk</t>
  </si>
  <si>
    <t>Tosita Maska Khari</t>
  </si>
  <si>
    <t>Tosita Methi Khari</t>
  </si>
  <si>
    <t>Tosita Kaju Rusk</t>
  </si>
  <si>
    <t>Tosita Jeera Khari</t>
  </si>
  <si>
    <t>Tosita Wheat Rusk</t>
  </si>
  <si>
    <t>Tosita Bakery Maska Butter</t>
  </si>
  <si>
    <t>Tosita Jeera Butter Bites</t>
  </si>
  <si>
    <t>Tosita Baby Rusk Cheddar Cheese</t>
  </si>
  <si>
    <t>Tosita Baby Rusk Peri Peri</t>
  </si>
  <si>
    <t>Tosita Baby Rusk Tandoori Marinade</t>
  </si>
  <si>
    <t>Tosita Soupsticks</t>
  </si>
  <si>
    <t>Dukes Waffy Choco Roll</t>
  </si>
  <si>
    <t>Dukes</t>
  </si>
  <si>
    <t>Dukes Waffy Chocolate Flavoured Wafer Biscuits</t>
  </si>
  <si>
    <t>Pickwick Creamy Wafer Biscuits - Strawberry</t>
  </si>
  <si>
    <t>Pickwick</t>
  </si>
  <si>
    <t>Dukes Waffy Orange Flavoured Wafer Biscuits</t>
  </si>
  <si>
    <t>Dukes Waffy Strawberry Flavoured Wafer Biscuits</t>
  </si>
  <si>
    <t>Dukes Waffy Strawberry Roll</t>
  </si>
  <si>
    <t>Pickwick Creamy Wafer Biscuits - Chocolate</t>
  </si>
  <si>
    <t>Dukes Waffy Vanilla Flavoured Wafer Biscuits</t>
  </si>
  <si>
    <t>Pickwick Creamy Wafer Biscuits - Orange</t>
  </si>
  <si>
    <t>Loacker Quadratini Chocolate Wafer Cookies</t>
  </si>
  <si>
    <t>Loacker</t>
  </si>
  <si>
    <t>125 gm</t>
  </si>
  <si>
    <t>Loacker Quadratini Dark Chocolate Wafer Cookies</t>
  </si>
  <si>
    <t>Loacker Quadratini Napolitaner Wafer Cookies</t>
  </si>
  <si>
    <t>Loacker Quadratini Vanilla Wafer Cookies</t>
  </si>
  <si>
    <t>The Belgian Waffle Crisps - Chocolate</t>
  </si>
  <si>
    <t>The Belgian Waffle Co</t>
  </si>
  <si>
    <t>The Belgian Waffle Crisps - Double Chocolate</t>
  </si>
  <si>
    <t>Threptin Diskettes - Vanilla</t>
  </si>
  <si>
    <t>Threptin</t>
  </si>
  <si>
    <t>Personal Care</t>
  </si>
  <si>
    <t>Threptin Diskettes - Chocolate</t>
  </si>
  <si>
    <t>275 gm</t>
  </si>
  <si>
    <t>Threptin Biscuits Vanilla</t>
  </si>
  <si>
    <t>Nutrivalue Whole Ragi Health Vizkits Biscuits</t>
  </si>
  <si>
    <t>Nutrivalue Dibeck Health Biscuits</t>
  </si>
  <si>
    <t>Haldiram's Bhujia Sev</t>
  </si>
  <si>
    <t>Haldiram's</t>
  </si>
  <si>
    <t>Haldiram's Aloo Bhujia</t>
  </si>
  <si>
    <t>Chheda's Mix Farsan</t>
  </si>
  <si>
    <t>Chheda's</t>
  </si>
  <si>
    <t>Rajam Snacks Garlic Mixture</t>
  </si>
  <si>
    <t>Rajam Snacks</t>
  </si>
  <si>
    <t>Haldiram's Khatta Meetha</t>
  </si>
  <si>
    <t>Bikaji Bhujia</t>
  </si>
  <si>
    <t>Bikaji</t>
  </si>
  <si>
    <t>Chheda's Farali Potato Chivda</t>
  </si>
  <si>
    <t>170 gm</t>
  </si>
  <si>
    <t>Haldiram's Moong Dal</t>
  </si>
  <si>
    <t>Bikaji Soya Sticks</t>
  </si>
  <si>
    <t>Haldiram's Mixture</t>
  </si>
  <si>
    <t>Peppy Cheese Balls</t>
  </si>
  <si>
    <t>Peppy</t>
  </si>
  <si>
    <t>Peppy Tomato Discs</t>
  </si>
  <si>
    <t>Haldiram's Boondi</t>
  </si>
  <si>
    <t>Bikaneri Shree Ram Bhujia</t>
  </si>
  <si>
    <t>Shree Ram Bikaneri</t>
  </si>
  <si>
    <t>Jayshree Special Farsan</t>
  </si>
  <si>
    <t>Jayshree</t>
  </si>
  <si>
    <t>Chheda's Golden Mix</t>
  </si>
  <si>
    <t>Sitashree Laxminarayan Best Chiwda</t>
  </si>
  <si>
    <t>Laxminarayan</t>
  </si>
  <si>
    <t>Rajam Snacks Madras Mixture</t>
  </si>
  <si>
    <t>Chheda's Soya Snax</t>
  </si>
  <si>
    <t>Haldiram's Panchratan Mixture</t>
  </si>
  <si>
    <t>Rajam Mix Farsan</t>
  </si>
  <si>
    <t>Rajam</t>
  </si>
  <si>
    <t>Sitashree Laxminarayan Cornflakes Chiwda</t>
  </si>
  <si>
    <t>Chheda's Mora Sev</t>
  </si>
  <si>
    <t>Rajam Snacks Tikha Gathiya</t>
  </si>
  <si>
    <t>Garden Diet Bhel</t>
  </si>
  <si>
    <t>Garden</t>
  </si>
  <si>
    <t>Haldiram's Phalhari Chiwda</t>
  </si>
  <si>
    <t>Garden Raita Boondi</t>
  </si>
  <si>
    <t>Garden Diet Chivda</t>
  </si>
  <si>
    <t>Kurkure Masala Munch</t>
  </si>
  <si>
    <t>Kurkure</t>
  </si>
  <si>
    <t>77.2 gm</t>
  </si>
  <si>
    <t>Sitashree Laxminarayan Best Potato Chiwda</t>
  </si>
  <si>
    <t>Agrawal's 420 Khatta Meetha Mix</t>
  </si>
  <si>
    <t>Agrawal's 420</t>
  </si>
  <si>
    <t>Kurkure Green Chutney Style</t>
  </si>
  <si>
    <t>Charliee Masala Butter Chakli</t>
  </si>
  <si>
    <t>Charliee</t>
  </si>
  <si>
    <t>Garden Sabudana Chivda</t>
  </si>
  <si>
    <t>Kurkure Chilli Chatka</t>
  </si>
  <si>
    <t>81 gm</t>
  </si>
  <si>
    <t>Taali Protein Cheese &amp; Herbs Puffs</t>
  </si>
  <si>
    <t>Taali</t>
  </si>
  <si>
    <t>74 gm</t>
  </si>
  <si>
    <t>Taali Protein Masala Mania Puffs</t>
  </si>
  <si>
    <t>Agrawal's 420 Laung Sev</t>
  </si>
  <si>
    <t>Sun Special Masala Chakli</t>
  </si>
  <si>
    <t>Sun</t>
  </si>
  <si>
    <t>Agrawal's 420 Ujjaini Sev</t>
  </si>
  <si>
    <t>Rajam Snacks Golden Mix</t>
  </si>
  <si>
    <t>Taali Protein Cream &amp; Onion Puffs</t>
  </si>
  <si>
    <t>Taali Protein Tomato Basil Puffs</t>
  </si>
  <si>
    <t>Agrawal's 420 Cornflakes Mixture</t>
  </si>
  <si>
    <t>Sun Schezwan Sticks</t>
  </si>
  <si>
    <t>Chheda's Yellow Banana Chips</t>
  </si>
  <si>
    <t>Chheda's Golden Potato Chips - Lightly Salted</t>
  </si>
  <si>
    <t>Lays American Cream &amp; Onion Potato Chips</t>
  </si>
  <si>
    <t>Lay's</t>
  </si>
  <si>
    <t>73 gm</t>
  </si>
  <si>
    <t>104 gm</t>
  </si>
  <si>
    <t>174 gm</t>
  </si>
  <si>
    <t>Lay's Indian Magic Masala Potato Chips</t>
  </si>
  <si>
    <t>Chheda's Long Masala Banana Chips</t>
  </si>
  <si>
    <t>Chheda's Salt-N-Pepper Banana Chips</t>
  </si>
  <si>
    <t>Pringles Potato Chips - Original</t>
  </si>
  <si>
    <t>Pringles</t>
  </si>
  <si>
    <t>107 gm</t>
  </si>
  <si>
    <t>Pringles Potato Chips - Sour Cream &amp; Onion</t>
  </si>
  <si>
    <t>Motas Potato Chips</t>
  </si>
  <si>
    <t>Motas</t>
  </si>
  <si>
    <t>Lays Classic Salted</t>
  </si>
  <si>
    <t>Lay's Spanish Tomato Tango Potato Chips</t>
  </si>
  <si>
    <t>Chheda's Tomato Banana Chips</t>
  </si>
  <si>
    <t>Britannia Potazos Masti Masala</t>
  </si>
  <si>
    <t>71.5 gm</t>
  </si>
  <si>
    <t>Doritos Nacho Cheese Flavour</t>
  </si>
  <si>
    <t>Doritos</t>
  </si>
  <si>
    <t>153 gm</t>
  </si>
  <si>
    <t>Rajam Snacks Yellow Banana Chips</t>
  </si>
  <si>
    <t>Pringles Potato Chips - Peri Peri</t>
  </si>
  <si>
    <t>Balaji Cream &amp; Onion Wafers</t>
  </si>
  <si>
    <t>Balaji</t>
  </si>
  <si>
    <t>Balaji Wafers Simply Salted</t>
  </si>
  <si>
    <t>Balaji Sizzling Chilly Stack Up</t>
  </si>
  <si>
    <t>Lay's Hot 'N' Sweet Chilli Potato Chips</t>
  </si>
  <si>
    <t>78 gm</t>
  </si>
  <si>
    <t>Pringles Potato Chips - Desi Masala Tadka</t>
  </si>
  <si>
    <t>Cornitos Nacho Crisps - Cheese &amp; Herbs</t>
  </si>
  <si>
    <t>Cornitos</t>
  </si>
  <si>
    <t>Doritos Sweet Chilli Flavour Chips</t>
  </si>
  <si>
    <t>Garden Potato Chips - Premium Salted</t>
  </si>
  <si>
    <t>Bingo Mad Angles Achaari Masti</t>
  </si>
  <si>
    <t>Bingo</t>
  </si>
  <si>
    <t>130 gm</t>
  </si>
  <si>
    <t>Balaji Simply Salted Stack Up</t>
  </si>
  <si>
    <t>Makino Nacho Cheese Chips</t>
  </si>
  <si>
    <t>Makino</t>
  </si>
  <si>
    <t>Tastilo Cheesy Crispy Nacho Chips</t>
  </si>
  <si>
    <t>Tastilo</t>
  </si>
  <si>
    <t>Wayback Baked Moong Chips - Chees N Herbs</t>
  </si>
  <si>
    <t>Wayback</t>
  </si>
  <si>
    <t>Bingo Yumitos Chilli Sprinkled Potato Chips</t>
  </si>
  <si>
    <t>Cornitos Nacho Crisps- Sizzlin Jalapeno</t>
  </si>
  <si>
    <t>Lays Potato Chips - Sizzlin Hot</t>
  </si>
  <si>
    <t>Lays</t>
  </si>
  <si>
    <t>Balaji Tomato Flavour Potato Wafers</t>
  </si>
  <si>
    <t>Lays Maxx Potato Chips - Peppery Cheddar</t>
  </si>
  <si>
    <t>Lays Maxx</t>
  </si>
  <si>
    <t>57 gm</t>
  </si>
  <si>
    <t>Tastilo Spicy Jalapeno Nacho Chips</t>
  </si>
  <si>
    <t>Makino Nacho Jalapeno Chips</t>
  </si>
  <si>
    <t>Lay's Wafer Style Potato Chips - Salt With Pepper</t>
  </si>
  <si>
    <t>Lays Wafer Style</t>
  </si>
  <si>
    <t>52 gm</t>
  </si>
  <si>
    <t>Bingo Mad Angles Very Peri Peri</t>
  </si>
  <si>
    <t>Bin Gmo</t>
  </si>
  <si>
    <t>Wayback Baked Bajra Chips - Spezieitalian</t>
  </si>
  <si>
    <t>Wayback Baked Jowar Chips - Ginger Lemon</t>
  </si>
  <si>
    <t>Kurkure Puffcorn Yummy Cheese</t>
  </si>
  <si>
    <t>55 gm</t>
  </si>
  <si>
    <t>Wayback Baked Multigrain Chips - Tom Chi</t>
  </si>
  <si>
    <t>Lay's Wafer Style Potato Chips - Sundried Chilli</t>
  </si>
  <si>
    <t>Tastilo Nacho Chips - Cheesy Crispy</t>
  </si>
  <si>
    <t>Tastilo Nacho Chips - Peri Peri</t>
  </si>
  <si>
    <t>Makino Nacho Sweet Chilly Chips :  150 gms</t>
  </si>
  <si>
    <t>Wayback Baked Barley Chips- Desi Tadka</t>
  </si>
  <si>
    <t>Wingreens Naan Chips Butter Garlic</t>
  </si>
  <si>
    <t>Wingreens</t>
  </si>
  <si>
    <t>Tastilo Nacho Chips - Mexican Salsa</t>
  </si>
  <si>
    <t>Cornitos Nacho Crisps - Tomato Mexicana</t>
  </si>
  <si>
    <t>Tastilo Nacho Chips - Spicy Jalapeno</t>
  </si>
  <si>
    <t>Makino Corn Twist Tomato</t>
  </si>
  <si>
    <t>Makino Nacho Roasted Masala Chips</t>
  </si>
  <si>
    <t>Wayback Baked Bajra Chips- Salt N Pepper : 150 gms</t>
  </si>
  <si>
    <t>Makino Nacho Cream &amp; Onion Corn Chips</t>
  </si>
  <si>
    <t>Makino Red Chilli Chatka Corn Chips</t>
  </si>
  <si>
    <t>Wingreens Naan Chips Chatpata Pudina</t>
  </si>
  <si>
    <t>Makino Nacho Tomato Salsa Chips</t>
  </si>
  <si>
    <t>Too Yumm Style Cream &amp; Onion Potato Chips</t>
  </si>
  <si>
    <t>Too Yumm</t>
  </si>
  <si>
    <t>Too Yumm Indian Masala Potato Chips</t>
  </si>
  <si>
    <t>Shiv Shakti Sabudana Kurdai</t>
  </si>
  <si>
    <t>Shiv Shakti's</t>
  </si>
  <si>
    <t>Doritos Nacho Cheese Flavour Chips</t>
  </si>
  <si>
    <t>91 gm</t>
  </si>
  <si>
    <t>Too Yumm Classic Salted Potato Chips</t>
  </si>
  <si>
    <t>Bingo Mad Angles Cheese Nachos</t>
  </si>
  <si>
    <t>110 gm</t>
  </si>
  <si>
    <t>Makino Nacho Cheese Chips Can Pack</t>
  </si>
  <si>
    <t>Makino Nacho Jalapeno Chips Can Pack</t>
  </si>
  <si>
    <t>Chitale Bandhu Bakarwadi</t>
  </si>
  <si>
    <t>Chitale Bandhu</t>
  </si>
  <si>
    <t>Chheda's Diet Poha Chivda</t>
  </si>
  <si>
    <t>Charliee Butter Chakli</t>
  </si>
  <si>
    <t>Garden Nylon Sev</t>
  </si>
  <si>
    <t>Chheda's Kachori</t>
  </si>
  <si>
    <t>Kurkure Masala Munch Namkeen</t>
  </si>
  <si>
    <t>117 gm</t>
  </si>
  <si>
    <t>Rajam Snacks Murukku</t>
  </si>
  <si>
    <t>Panjwani's Skinwala Sing</t>
  </si>
  <si>
    <t>Panjwani</t>
  </si>
  <si>
    <t>Panjwani Roasted Brown Chana</t>
  </si>
  <si>
    <t>Rajam Snacks Masala Murukku</t>
  </si>
  <si>
    <t>Natural's Bite  Methi Masala Khakhra</t>
  </si>
  <si>
    <t>Natural's Bite</t>
  </si>
  <si>
    <t>Panjwani's White Sing</t>
  </si>
  <si>
    <t>Rajam Snacks Chakli</t>
  </si>
  <si>
    <t>Garden Mini Bhakarwadi</t>
  </si>
  <si>
    <t>145 gm</t>
  </si>
  <si>
    <t>Makhanawala's Roasted Makhana (Foxnuts) Pudina Punch</t>
  </si>
  <si>
    <t>Makhanawala's</t>
  </si>
  <si>
    <t>70 gm</t>
  </si>
  <si>
    <t>Agrawal's 420 Hing Chana Tasty</t>
  </si>
  <si>
    <t>Bikaji Falahari Mix</t>
  </si>
  <si>
    <t>Panjwani Roasted Black Chana</t>
  </si>
  <si>
    <t>Makhanawala's Roasted Makhana (Foxnuts) Peri-Peri</t>
  </si>
  <si>
    <t>Makhanawala's Roasted Makhana (Foxnuts) Cream &amp; Onion</t>
  </si>
  <si>
    <t>Makhanawala's Roasted Makhana (Foxnuts) Spicy Indiana</t>
  </si>
  <si>
    <t>Makhanawala's Roasted Makhana (Foxnuts) Himalayan Pink Salt</t>
  </si>
  <si>
    <t>Charliee Sev Puri</t>
  </si>
  <si>
    <t>185 gm</t>
  </si>
  <si>
    <t>Natural's Bite Jeera Masala Khakhra</t>
  </si>
  <si>
    <t>Charliee Yellow Chana</t>
  </si>
  <si>
    <t>Natural's Bite Multigrain Khakhra</t>
  </si>
  <si>
    <t>Tong Garden Party Snack</t>
  </si>
  <si>
    <t>Tong Garden</t>
  </si>
  <si>
    <t>Charliee Tea Time Puri</t>
  </si>
  <si>
    <t>Jabsons Methi Khakhra</t>
  </si>
  <si>
    <t>Jabsons</t>
  </si>
  <si>
    <t>Makhanawala's Roasted Makhana (Foxnuts) Spicy Black Salt</t>
  </si>
  <si>
    <t>Natural's Bite Ragi Khakhra</t>
  </si>
  <si>
    <t>Jaine Methi Masala Khakhra</t>
  </si>
  <si>
    <t>Jaine</t>
  </si>
  <si>
    <t>Natural's Bite Mahableshwar Chana</t>
  </si>
  <si>
    <t>Natural's</t>
  </si>
  <si>
    <t>Agrawal's 420 Fiki Nukti (Boondi)</t>
  </si>
  <si>
    <t>Jabsons Chilly Garlic Khakhra</t>
  </si>
  <si>
    <t>Jabsons Bajra Methi Khakhra</t>
  </si>
  <si>
    <t>Tong Garden Salted Sunflower Seeds</t>
  </si>
  <si>
    <t>30 gm</t>
  </si>
  <si>
    <t>Tong Garden Roasted Pumpkin Kernels</t>
  </si>
  <si>
    <t>Jaine Jeera Khakhra</t>
  </si>
  <si>
    <t>Jabsons Jeera Khakhra</t>
  </si>
  <si>
    <t>Jabsons Punjabi Masala Khakhra</t>
  </si>
  <si>
    <t>Jaine Masala Khakhra</t>
  </si>
  <si>
    <t>Tong Garden Paprika Pumpkin Seeds</t>
  </si>
  <si>
    <t>Too Yumm Karare Baked Masala Munchy</t>
  </si>
  <si>
    <t>Too Yumm Karare Baked Noodle Masala</t>
  </si>
  <si>
    <t>Tong Garden Roasted Sunflower Kernels</t>
  </si>
  <si>
    <t>Garden Yellow Banana Chips</t>
  </si>
  <si>
    <t>Tong Garden BBQ Sunflower Spicy</t>
  </si>
  <si>
    <t>Tong Garden Salted Peanuts</t>
  </si>
  <si>
    <t>Tong Garden Salted Pumpkin Seeds</t>
  </si>
  <si>
    <t>Tong Garden BBQ Flavour Coated Broad Bean</t>
  </si>
  <si>
    <t>Tong Garden Salted Cocktail Nuts</t>
  </si>
  <si>
    <t>Haldiram's Fine Bhel Sev</t>
  </si>
  <si>
    <t>Lijjat Udad Papad</t>
  </si>
  <si>
    <t>Lijjat</t>
  </si>
  <si>
    <t>Lijjat Garlic Papad</t>
  </si>
  <si>
    <t>Lijjat Punjabi Masala Papad</t>
  </si>
  <si>
    <t>Chheda's Bhel Mix</t>
  </si>
  <si>
    <t>Appu Appalam Papad</t>
  </si>
  <si>
    <t>Appu</t>
  </si>
  <si>
    <t>Lijjat Moong Papad</t>
  </si>
  <si>
    <t>Haldiram's Tasty Nuts</t>
  </si>
  <si>
    <t>Haldiram's Mini Bhakarwadi</t>
  </si>
  <si>
    <t>Royal Peanut Chikki</t>
  </si>
  <si>
    <t>Royal</t>
  </si>
  <si>
    <t>96 gm</t>
  </si>
  <si>
    <t>Lijjat Udad Mini Papad</t>
  </si>
  <si>
    <t>Royal Udad Papad Mini</t>
  </si>
  <si>
    <t>Sun Yellow Chana</t>
  </si>
  <si>
    <t>Rajam Snacks Mangalore Mixture</t>
  </si>
  <si>
    <t>Act II Classic Salted Popcorn</t>
  </si>
  <si>
    <t>ACT II</t>
  </si>
  <si>
    <t>Piknik Classic Tomato Chilli Sticks</t>
  </si>
  <si>
    <t>Piknik</t>
  </si>
  <si>
    <t>Act II Microwave Popcorn - Butter</t>
  </si>
  <si>
    <t>99 gm</t>
  </si>
  <si>
    <t>Rajam Snacks Tukda Masala Murukku</t>
  </si>
  <si>
    <t>Natural's Bite Pani Puri Papad</t>
  </si>
  <si>
    <t>Charliee Plain Salted Peanuts</t>
  </si>
  <si>
    <t>Act II Golden Sizzle Popcorn</t>
  </si>
  <si>
    <t>Sitashree Laxminarayan Mix Farsan</t>
  </si>
  <si>
    <t>Act II Butter Delite Popcorn</t>
  </si>
  <si>
    <t>Rajam Snacks Fry Masala Groundnut</t>
  </si>
  <si>
    <t>Makhanawala's Himalayan Pink Salt Makhana</t>
  </si>
  <si>
    <t>28 gm</t>
  </si>
  <si>
    <t>Jabsons Roasted Peanuts Classic Salted</t>
  </si>
  <si>
    <t>Natural's Bite Sabudana Upwas Papad</t>
  </si>
  <si>
    <t>Makhanawala's Peri-Peri Makhana</t>
  </si>
  <si>
    <t>Jabsons Roasted Peanuts Nimboo Pudina</t>
  </si>
  <si>
    <t>Charliee Rajgira Laddu</t>
  </si>
  <si>
    <t>Makhanawala's Cream &amp; Onion Makhana</t>
  </si>
  <si>
    <t>Sun Rajgira Chikki</t>
  </si>
  <si>
    <t>Shiv Shakti's Makhana</t>
  </si>
  <si>
    <t>Makhanawala's Roasted Salt-N-Pepper Foxnuts</t>
  </si>
  <si>
    <t>Makhanawala's Spicy Treat Makhana</t>
  </si>
  <si>
    <t>Jabsons Roasted Peanuts Spicy Masala</t>
  </si>
  <si>
    <t>Act II Butter Pepper Popcorn</t>
  </si>
  <si>
    <t>Natural's Bite Roasted Yellow Chana</t>
  </si>
  <si>
    <t>Jabsons Roasted Peanuts Hing Jeera</t>
  </si>
  <si>
    <t>Jabsons Roasted Peanuts Black Pepper</t>
  </si>
  <si>
    <t>Sitashree Laxminarayan Lite Chiwda</t>
  </si>
  <si>
    <t>Charliee Rajgira Chikki</t>
  </si>
  <si>
    <t>Sitashree Laxminarayan Shabuflakes Chiwda</t>
  </si>
  <si>
    <t>Mother's Recipe Sabudana Papad With Sendha Namak</t>
  </si>
  <si>
    <t>Mother's</t>
  </si>
  <si>
    <t>Act II Movie Theatre Butter Flavour Popcorn</t>
  </si>
  <si>
    <t>Act II</t>
  </si>
  <si>
    <t>Shiv Shakti's Sabudana Mini Papad</t>
  </si>
  <si>
    <t>Act II Tandoori Tadka Popcorn</t>
  </si>
  <si>
    <t>Act II Tomato Chilli Popcorn</t>
  </si>
  <si>
    <t>59 gm</t>
  </si>
  <si>
    <t>Act II Microwave Popcorn - Original</t>
  </si>
  <si>
    <t>Sitashree Laxminarayan Patal Poha Chiwda</t>
  </si>
  <si>
    <t>Charliee Peanut Laddu</t>
  </si>
  <si>
    <t>Shiv Shakti's Rice Papad</t>
  </si>
  <si>
    <t>Too Yumm Sour Cream &amp; Onion Veggie Stix</t>
  </si>
  <si>
    <t>65 gm</t>
  </si>
  <si>
    <t>Act II Cheese Flavour Popcorn</t>
  </si>
  <si>
    <t>210 gm</t>
  </si>
  <si>
    <t>Sun Mix Fryums</t>
  </si>
  <si>
    <t>Charliee Butter Scotch Chikki</t>
  </si>
  <si>
    <t>Charliee Kurmura Laddu</t>
  </si>
  <si>
    <t>Charliee 3 In 1 Peanut Chikki</t>
  </si>
  <si>
    <t>Rajam Snacks Tukda Murukku</t>
  </si>
  <si>
    <t>McCain French Fries</t>
  </si>
  <si>
    <t>McCain</t>
  </si>
  <si>
    <t>1.25 Kg</t>
  </si>
  <si>
    <t>420 gm</t>
  </si>
  <si>
    <t>Safal Green Peas (Frozen)</t>
  </si>
  <si>
    <t>Safal</t>
  </si>
  <si>
    <t>Freshezza Frozen Green Peas</t>
  </si>
  <si>
    <t>Freshezza</t>
  </si>
  <si>
    <t>Godrej Yummiez Frozen Green Peas</t>
  </si>
  <si>
    <t>McCain Potato Cheese Shotz</t>
  </si>
  <si>
    <t>McCain Chilli Garlic Potato Bites</t>
  </si>
  <si>
    <t>Godrej Yummiez French Fries</t>
  </si>
  <si>
    <t>425 gm</t>
  </si>
  <si>
    <t>McCain Veggie Fingers</t>
  </si>
  <si>
    <t>McCain Aloo Tikki</t>
  </si>
  <si>
    <t>760 gm</t>
  </si>
  <si>
    <t>McCain Smiles - Crispy Happy Potatoes</t>
  </si>
  <si>
    <t>415 gm</t>
  </si>
  <si>
    <t>McCain Chilli Cheesy Nuggets</t>
  </si>
  <si>
    <t>Mccain</t>
  </si>
  <si>
    <t>McCain Veggie Burger Patty</t>
  </si>
  <si>
    <t>360 gm</t>
  </si>
  <si>
    <t>Prasuma Mixed Veg Frozen Momos</t>
  </si>
  <si>
    <t>Prasuma</t>
  </si>
  <si>
    <t>15 Pcs</t>
  </si>
  <si>
    <t>Godrej Yummiez Green Peas</t>
  </si>
  <si>
    <t>Sumeru Piri Piri Masala French Fries - Crispy &amp; Spicy</t>
  </si>
  <si>
    <t>Sumeru</t>
  </si>
  <si>
    <t>McCain Variety Pack - 3 Packs Inside</t>
  </si>
  <si>
    <t>550 gm</t>
  </si>
  <si>
    <t>Prasuma Cheesy Spicy Veg Frozen Momos</t>
  </si>
  <si>
    <t>24 Pcs</t>
  </si>
  <si>
    <t>ITC Master Chef Veggie Pizza Pocket</t>
  </si>
  <si>
    <t>Master Chef</t>
  </si>
  <si>
    <t>340 gm</t>
  </si>
  <si>
    <t>Mccain Emotibites</t>
  </si>
  <si>
    <t>Godrej Yummiez Potato Cheese Bites</t>
  </si>
  <si>
    <t>ITC Master Chef Veg Burger Patty</t>
  </si>
  <si>
    <t>ITC</t>
  </si>
  <si>
    <t>540 gm</t>
  </si>
  <si>
    <t>Godrej Yummiez Crispy Veg Sticks</t>
  </si>
  <si>
    <t>320 gm</t>
  </si>
  <si>
    <t>ITC Master Chef Chilli Garlic Potato Shots</t>
  </si>
  <si>
    <t>Prasuma Vegetable Frozen Momos</t>
  </si>
  <si>
    <t>Godrej Yummiez Veg Masala Nuggets</t>
  </si>
  <si>
    <t>Sumeru Vegetable Spring Rolls</t>
  </si>
  <si>
    <t>1.24 kg</t>
  </si>
  <si>
    <t>Switz Samosa Dough Sheet</t>
  </si>
  <si>
    <t>Switz</t>
  </si>
  <si>
    <t>Safal Frozen Mixed Vegetables</t>
  </si>
  <si>
    <t>Switz Spring Roll Dough Sheet</t>
  </si>
  <si>
    <t>ID Wheat Lachha Paratha</t>
  </si>
  <si>
    <t>5 pcs</t>
  </si>
  <si>
    <t>Ready To Cook</t>
  </si>
  <si>
    <t>Godrej Yummiez Veg Burger Patty</t>
  </si>
  <si>
    <t>ITC Master Chef Cheesy Corn Triangles</t>
  </si>
  <si>
    <t>ITC Masterchef Lebanese Falafel Kebab</t>
  </si>
  <si>
    <t>230 gm</t>
  </si>
  <si>
    <t>Safal Hara Bhara Kabab</t>
  </si>
  <si>
    <t>Sumeru Malabar Paratha</t>
  </si>
  <si>
    <t>Safal Frozen French Fries</t>
  </si>
  <si>
    <t>Mccain Emoti Bites</t>
  </si>
  <si>
    <t>ITC Master Chef Hara Bhara Kebab 210 gms</t>
  </si>
  <si>
    <t>Sumeru Chilli Garlic Masala French Fries</t>
  </si>
  <si>
    <t>ITC Master Chef Alphabytes</t>
  </si>
  <si>
    <t>4700 BC Cheese Microwave Popcorn</t>
  </si>
  <si>
    <t>4700 BC Popcorn</t>
  </si>
  <si>
    <t>94 gm</t>
  </si>
  <si>
    <t>4700 BC Butter Microwave Popcorn</t>
  </si>
  <si>
    <t>4700 BC Himalayan Salt Caramel Gourmet Popcorn</t>
  </si>
  <si>
    <t>4700 BC</t>
  </si>
  <si>
    <t>Act II Butter Delite Flavour Popcorn</t>
  </si>
  <si>
    <t>4700 BC Nutty Tuxedo Chocolate Gourmet Popcorn</t>
  </si>
  <si>
    <t>4700 BC Barbeque Microwave Popcorn</t>
  </si>
  <si>
    <t>92 gm</t>
  </si>
  <si>
    <t>4700 BC Natural Microwave Popcorn</t>
  </si>
  <si>
    <t>4700 BC Instant Butter Popcorn</t>
  </si>
  <si>
    <t>4700 BC Instant Barbeque Popcorn</t>
  </si>
  <si>
    <t>4700 BC Instant Seven Spices Popcorn</t>
  </si>
  <si>
    <t>4700 BC Instant Natural Popcorn</t>
  </si>
  <si>
    <t>Kellogg's Corn Flakes Original</t>
  </si>
  <si>
    <t>Kellogg's</t>
  </si>
  <si>
    <t>875 gm</t>
  </si>
  <si>
    <t>Breakfast Cereals</t>
  </si>
  <si>
    <t>475 gm</t>
  </si>
  <si>
    <t>Kellogg's Chocos</t>
  </si>
  <si>
    <t>1.2 kg</t>
  </si>
  <si>
    <t>Nutri Delite Chocoflakes</t>
  </si>
  <si>
    <t>Nutri Delite</t>
  </si>
  <si>
    <t>1200 gm</t>
  </si>
  <si>
    <t>22 gm</t>
  </si>
  <si>
    <t>Kellogg's Chocos Variety Pack</t>
  </si>
  <si>
    <t>156 gm</t>
  </si>
  <si>
    <t>Bagrry's Corn Flakes</t>
  </si>
  <si>
    <t>Bagrry's</t>
  </si>
  <si>
    <t>Kellogg's Crunchy Granola Almonds &amp; Cranberries</t>
  </si>
  <si>
    <t>460 gm</t>
  </si>
  <si>
    <t>Kellogg's Chocos Fills</t>
  </si>
  <si>
    <t>Kellogg's Chocos Crunchy Bites</t>
  </si>
  <si>
    <t>375 gm</t>
  </si>
  <si>
    <t>Kellogg's All Bran Wheat Flakes</t>
  </si>
  <si>
    <t>Kellogg's Froot Loops Cereal</t>
  </si>
  <si>
    <t>285 gm</t>
  </si>
  <si>
    <t>Kwality Corn Flakes Pouch</t>
  </si>
  <si>
    <t>Soulfull Ragi Bites Choco Fills</t>
  </si>
  <si>
    <t>Soulfull</t>
  </si>
  <si>
    <t>Kwality Cornflakes Combi Pack</t>
  </si>
  <si>
    <t>Soulfull Ragi Bites Vanilla Fills</t>
  </si>
  <si>
    <t>Nutri Delite Variety Pack</t>
  </si>
  <si>
    <t>Quaker Oats</t>
  </si>
  <si>
    <t>Quaker</t>
  </si>
  <si>
    <t>Saffola Masala Oats Veggie Twist</t>
  </si>
  <si>
    <t>Bagrry's White Oats</t>
  </si>
  <si>
    <t>Kellogg's Oats</t>
  </si>
  <si>
    <t>Nutri Delite Oats</t>
  </si>
  <si>
    <t>Saffola Masala Oats Peppy Tomato</t>
  </si>
  <si>
    <t>Saffola Masala Oats Classic</t>
  </si>
  <si>
    <t>38 gm</t>
  </si>
  <si>
    <t>Yogabar Dark Chocolate Oats</t>
  </si>
  <si>
    <t>Yogabar</t>
  </si>
  <si>
    <t>Yogabar Veggies Masala Oats</t>
  </si>
  <si>
    <t>Kellogg's Muesli Fruit And Nut</t>
  </si>
  <si>
    <t>Gaia Crunchy Muesli</t>
  </si>
  <si>
    <t>Kellogg's Muesli Nuts Delight</t>
  </si>
  <si>
    <t>Gaia Crunchy Muesli Mixed Fruit</t>
  </si>
  <si>
    <t>Bagrry's Crunchy Muesli with Almonds-Raisins-Honey</t>
  </si>
  <si>
    <t>Yoga Bar Muesli Drk Choco Cranbery</t>
  </si>
  <si>
    <t>Yoga Bar</t>
  </si>
  <si>
    <t>Yoga Bar Muesli Fruits Nuts And Seeds</t>
  </si>
  <si>
    <t>Kellogg's Honey Almond Pumpkin Seeds Granola</t>
  </si>
  <si>
    <t>Yoga Bar Muesli - Almond + Quinoa Crunch</t>
  </si>
  <si>
    <t>Munchilicious Granola - Original</t>
  </si>
  <si>
    <t>Munchilicious Granola</t>
  </si>
  <si>
    <t>Munchilicious Granola - Dark Chocolate</t>
  </si>
  <si>
    <t>Munchilicious Granola - Dried Fruits</t>
  </si>
  <si>
    <t>Tata Soulfull Millet Muesli - Crunchy</t>
  </si>
  <si>
    <t>Tata Soulfull Millet Muesli</t>
  </si>
  <si>
    <t>Tata Soulfull Millet Muesli - Fruit and Nut</t>
  </si>
  <si>
    <t>Cadbury Dairy Milk Home Treats Chocolate</t>
  </si>
  <si>
    <t>Cadbury Dairy Milk</t>
  </si>
  <si>
    <t>126 gm</t>
  </si>
  <si>
    <t>Packaged Food</t>
  </si>
  <si>
    <t>Cadbury Choclairs Gold Pouch</t>
  </si>
  <si>
    <t>Cadbury Choclairs</t>
  </si>
  <si>
    <t>605 gm</t>
  </si>
  <si>
    <t>Sweets</t>
  </si>
  <si>
    <t>Amul Chocominis Chocolate Box</t>
  </si>
  <si>
    <t>Nestle Kitkat Chocolate</t>
  </si>
  <si>
    <t>119 gm</t>
  </si>
  <si>
    <t>Amul Dark Chocolate</t>
  </si>
  <si>
    <t>Cadbury Dairy Milk Silk Fruit &amp; Nut Chocolate</t>
  </si>
  <si>
    <t>Cadbury Dairy Milk Silk</t>
  </si>
  <si>
    <t>137 gm</t>
  </si>
  <si>
    <t>Cadbury 5 Star Home Treat Chocolate</t>
  </si>
  <si>
    <t>Cadbury 5 Star</t>
  </si>
  <si>
    <t>Nestle Munch Share Bag</t>
  </si>
  <si>
    <t>187.2 gm</t>
  </si>
  <si>
    <t>Cadbury Dairy Milk Silk Chocolate</t>
  </si>
  <si>
    <t>Ferrero Rocher - 16 Pieces</t>
  </si>
  <si>
    <t>Ferrero Rocher</t>
  </si>
  <si>
    <t>Cadbury Dairy Milk Silk Home Treats</t>
  </si>
  <si>
    <t>162 gm</t>
  </si>
  <si>
    <t>Amul Fruit 'N' Nut Dark Chocolate</t>
  </si>
  <si>
    <t>Cadbury Gems Minis</t>
  </si>
  <si>
    <t>142.2 gm</t>
  </si>
  <si>
    <t>Ferrero Rocher - 24 Pieces</t>
  </si>
  <si>
    <t>Cadbury Dairy Milk Chocolate</t>
  </si>
  <si>
    <t>24 gm</t>
  </si>
  <si>
    <t>Cadbury Dairy Milk Silk Bubbly Chocolate</t>
  </si>
  <si>
    <t>Morde Dark Compound (CO D15)</t>
  </si>
  <si>
    <t>Morde</t>
  </si>
  <si>
    <t>Parle Melody Chocolaty</t>
  </si>
  <si>
    <t>391 gm</t>
  </si>
  <si>
    <t>195.5 gm</t>
  </si>
  <si>
    <t>Bounty Miniatures Chocolate</t>
  </si>
  <si>
    <t>Bounty</t>
  </si>
  <si>
    <t>Amul India Twilight Tryst Dark Chocolate</t>
  </si>
  <si>
    <t>Snickers Veg Chocolate</t>
  </si>
  <si>
    <t>Snickers</t>
  </si>
  <si>
    <t>Kinder Joy Blue</t>
  </si>
  <si>
    <t>Kinder Joy</t>
  </si>
  <si>
    <t>Cadbury Fuse Home Treats</t>
  </si>
  <si>
    <t>108.5 gm</t>
  </si>
  <si>
    <t>Candyman Choco Double Eclairs</t>
  </si>
  <si>
    <t>Candyman</t>
  </si>
  <si>
    <t>Cadbury Gems Surprise - Ball</t>
  </si>
  <si>
    <t>15.8 gm</t>
  </si>
  <si>
    <t>Cadbury Dairy Milk Silk Oreo Chocolate</t>
  </si>
  <si>
    <t>Kinder Joy Pink</t>
  </si>
  <si>
    <t>Yoga Bar 20G Protein Bar - Almond Fudge</t>
  </si>
  <si>
    <t>Snickers Home Pack</t>
  </si>
  <si>
    <t>Yoga Bar Breakfast Protein Bar - Apricot Fig</t>
  </si>
  <si>
    <t>Didier &amp; Frank Crunchy Hazelnut Dark Chocolate</t>
  </si>
  <si>
    <t>Didier &amp; Frank</t>
  </si>
  <si>
    <t>Cadbury Dairy Milk Crackle Chocolate</t>
  </si>
  <si>
    <t>36 gm</t>
  </si>
  <si>
    <t>Morde Dark Chocolate (CH D45)</t>
  </si>
  <si>
    <t>Amul Almondo Chocolate Coated Almonds</t>
  </si>
  <si>
    <t>Nestle Kitkat Bar 4 Finger</t>
  </si>
  <si>
    <t>36.5 gm</t>
  </si>
  <si>
    <t>Yoga Bar Breakfast Protein Bar - Blueberry Pie</t>
  </si>
  <si>
    <t>Morde Milk Compound (CO M21 )</t>
  </si>
  <si>
    <t>Didier &amp; Frank Wicked Dark 85% Dark Chocolate</t>
  </si>
  <si>
    <t>Cadbury Dairy Milk Fruit &amp; Nut Chocolate</t>
  </si>
  <si>
    <t>Hershey's Kisses Almond Chocolate Pouch</t>
  </si>
  <si>
    <t>Hersheys</t>
  </si>
  <si>
    <t>100.8 gm</t>
  </si>
  <si>
    <t>Didier &amp; Frank Roasted Almond Dark Chocolate</t>
  </si>
  <si>
    <t>Hershey's Kisses Milk Chocolate Pouch</t>
  </si>
  <si>
    <t>108 gm</t>
  </si>
  <si>
    <t>Yoga Bar Multigrain Energy Bar - Nuts &amp; Seeds</t>
  </si>
  <si>
    <t>Ferrero Rocher - 4 Pieces</t>
  </si>
  <si>
    <t>Didier &amp; Frank Spanish Orange Dark Chocolate</t>
  </si>
  <si>
    <t>Yoga Bar Multigrain Energy Bar - Chocolate Chunk Nut</t>
  </si>
  <si>
    <t>Amul Milk Chocolate</t>
  </si>
  <si>
    <t>Morde White Compound (CO W33)</t>
  </si>
  <si>
    <t>27.5 gm</t>
  </si>
  <si>
    <t>Luvit Chocwich White Home Delight Pouch</t>
  </si>
  <si>
    <t>Luvit</t>
  </si>
  <si>
    <t>Didier &amp; Frank Intense Dark 75% Dark Chocolate</t>
  </si>
  <si>
    <t>Cadbury 5 Star Chocolate</t>
  </si>
  <si>
    <t>Flying Bird Vanilla Essence</t>
  </si>
  <si>
    <t>Bounty Chocolate</t>
  </si>
  <si>
    <t>Cadbury Dairy Milk Silk Bubbly Bubble Gum Chocolate</t>
  </si>
  <si>
    <t>Kinder Creamy Milky &amp; Crunchy</t>
  </si>
  <si>
    <t>19 gm</t>
  </si>
  <si>
    <t>Luvit Loca Choco Caramel Home Delights Pack</t>
  </si>
  <si>
    <t>20x10 gm</t>
  </si>
  <si>
    <t>Cadbury Gems DUO Pack</t>
  </si>
  <si>
    <t>25.28 gm</t>
  </si>
  <si>
    <t>Nestle Classic Home Treat Chocolate</t>
  </si>
  <si>
    <t>Hershey's Kisses Cookies &amp; Crème Chocolate Pouch</t>
  </si>
  <si>
    <t>Hershey's Blueberry &amp; Acai Flavored Chocolate</t>
  </si>
  <si>
    <t>Nestle Munch Chocolate</t>
  </si>
  <si>
    <t>20.1 gm</t>
  </si>
  <si>
    <t>Christopher Double Chocolate Hot Cocoa Mix</t>
  </si>
  <si>
    <t>Cadbury Perk Double Glucose Chocolate</t>
  </si>
  <si>
    <t>26 gm</t>
  </si>
  <si>
    <t>Luvit Chocwich Home Delights Pouch</t>
  </si>
  <si>
    <t>Toblerone Dark Chocolate</t>
  </si>
  <si>
    <t>Toblerone</t>
  </si>
  <si>
    <t>Didier &amp; Frank Crunchy Hazelnut Milk Chocolate</t>
  </si>
  <si>
    <t>Toblerone Fruit &amp; Nut Chocolate</t>
  </si>
  <si>
    <t>Didier &amp; Frank Rich &amp; Creamy Milk Chocolate</t>
  </si>
  <si>
    <t>Galaxy Milk Chocolate With Fruit &amp; Nut</t>
  </si>
  <si>
    <t>Galaxy</t>
  </si>
  <si>
    <t>Didier &amp; Frank Roasted Almond Milk Chocolate</t>
  </si>
  <si>
    <t>Didier &amp; Frank Hot Chocolate With Dark Chocolate Buttons</t>
  </si>
  <si>
    <t>Hershey's Dark Pomegranate Flavored Chocolate</t>
  </si>
  <si>
    <t>Hershey's Exotic Dark Almond Blackberry Flavor Chocolate</t>
  </si>
  <si>
    <t>Hershey's Exotic Dark Almond Guava Mexican Chili Flavor Chocolate</t>
  </si>
  <si>
    <t>Toblerone Crunchy Almonds Chocolate</t>
  </si>
  <si>
    <t>Galaxy Milk Chocolate With Cookie Crumble</t>
  </si>
  <si>
    <t>Ferrero Rocher Moments</t>
  </si>
  <si>
    <t>Ferrero</t>
  </si>
  <si>
    <t>139.2 gm</t>
  </si>
  <si>
    <t>69.6 gm</t>
  </si>
  <si>
    <t>Nestle L'Atelier Cranberries Almonds Dark Chocolate</t>
  </si>
  <si>
    <t>Nestle L'Atelier</t>
  </si>
  <si>
    <t>Christopher Cocoa White Chocolate Chips</t>
  </si>
  <si>
    <t>Hershey's Cookies N Crème Chocolate Bar</t>
  </si>
  <si>
    <t>Hershey's Whole Almonds Chocolate Bar</t>
  </si>
  <si>
    <t>Toblerone White Chocolate</t>
  </si>
  <si>
    <t>Hershey's Creamy Milk Chocolate Bar</t>
  </si>
  <si>
    <t>Toblerone Tiny Milk Chocolate Bag</t>
  </si>
  <si>
    <t>272 gm</t>
  </si>
  <si>
    <t>Toblerone Tiny Dark Chocolate Bag</t>
  </si>
  <si>
    <t>Cadbury Silk 24 Luxurious Pralines</t>
  </si>
  <si>
    <t>Cadbury Celebrations</t>
  </si>
  <si>
    <t>240 gm</t>
  </si>
  <si>
    <t>Cadbury Dairy Milk Silk 16 Luxurious Pralines</t>
  </si>
  <si>
    <t>Cadbury Dairy Milk Silk 24 Premium Miniatures</t>
  </si>
  <si>
    <t>130.9 gm</t>
  </si>
  <si>
    <t>59.8 gm</t>
  </si>
  <si>
    <t>Galaxy Shubh Avsar Miniatures</t>
  </si>
  <si>
    <t>148 gm</t>
  </si>
  <si>
    <t>Nature Valley Oats &amp; Dark Chocolate Granola Bar : 42 gms</t>
  </si>
  <si>
    <t>Nature Valley</t>
  </si>
  <si>
    <t>42 gm</t>
  </si>
  <si>
    <t>Nature Valley Roasted Almond Granola Bar : 42 gms</t>
  </si>
  <si>
    <t>Cadbury Celebrations Rich Dryfruit</t>
  </si>
  <si>
    <t>177 gm</t>
  </si>
  <si>
    <t>Medley Premium Chocolates Pack</t>
  </si>
  <si>
    <t>Medley</t>
  </si>
  <si>
    <t>Lindt Milk Ball Lindor</t>
  </si>
  <si>
    <t>Lindt</t>
  </si>
  <si>
    <t>Lindt Excellence Intense Orange Dark Chocolate</t>
  </si>
  <si>
    <t>Lindt Excellence 70% Cocoa Dark Chocolate</t>
  </si>
  <si>
    <t>Lindt Excellence 85% Cocoa Dark Chocolate</t>
  </si>
  <si>
    <t>Lindt Excellence 90% Cocoa Dark Chocolate</t>
  </si>
  <si>
    <t>Kinder Joy With Surprise</t>
  </si>
  <si>
    <t>Kinder</t>
  </si>
  <si>
    <t>Kinder Joy Gift Pack</t>
  </si>
  <si>
    <t>Milka Tablet Milka LU</t>
  </si>
  <si>
    <t>Milka</t>
  </si>
  <si>
    <t>87 gm</t>
  </si>
  <si>
    <t>Cadbury Dairy Milk Bites Almond Chocolates</t>
  </si>
  <si>
    <t>Cadbury Dairy Milk Bites Hazelnut Chocolates</t>
  </si>
  <si>
    <t>Kissan Fresh Tomato Ketchup</t>
  </si>
  <si>
    <t>Kissan</t>
  </si>
  <si>
    <t>Ketchup</t>
  </si>
  <si>
    <t>Home Chef Tomato Ketchup</t>
  </si>
  <si>
    <t>Home Chef</t>
  </si>
  <si>
    <t>Del Monte Tomato Ketchup</t>
  </si>
  <si>
    <t>950 gm</t>
  </si>
  <si>
    <t>Surabhi D-Lite Tomato Ketchup No Onion No Garlic</t>
  </si>
  <si>
    <t>Surabhi</t>
  </si>
  <si>
    <t>Maggi Rich Tomato Ketchup</t>
  </si>
  <si>
    <t>Veeba Tomato Ketchup</t>
  </si>
  <si>
    <t>Veeba</t>
  </si>
  <si>
    <t>Maggi Tomato Ketchup Pichkoo</t>
  </si>
  <si>
    <t>Veeba No Onion Garlic Tomato Ketchup</t>
  </si>
  <si>
    <t>Kissan Chotu Fresh Tomato Ketchup</t>
  </si>
  <si>
    <t>Veeba Truly Tomato Ketchup Bottle</t>
  </si>
  <si>
    <t>Maggi Hot &amp; Sweet Tomato Chilli Sauce</t>
  </si>
  <si>
    <t>Kissan No Onion No Garlic Tomato Sauce</t>
  </si>
  <si>
    <t>Ching's Red Chilli Sauce</t>
  </si>
  <si>
    <t>680 gm</t>
  </si>
  <si>
    <t>Ching's Soy Sauce</t>
  </si>
  <si>
    <t>Funfoods Pasta &amp; Pizza Sauce</t>
  </si>
  <si>
    <t>Funfoods</t>
  </si>
  <si>
    <t>325 gm</t>
  </si>
  <si>
    <t>Maggi Rich Tomato No Onion No Garlic Sauce</t>
  </si>
  <si>
    <t>Wingreens Pizza &amp; Pasta Sauce</t>
  </si>
  <si>
    <t>Wingreens Cheesy Sauce</t>
  </si>
  <si>
    <t>Ching's Green Chilli Sauce</t>
  </si>
  <si>
    <t>Veeba Pasta &amp; Pizza Sauce</t>
  </si>
  <si>
    <t>280 gm</t>
  </si>
  <si>
    <t>525 gm</t>
  </si>
  <si>
    <t>Knorr Schezwan Sauce Pouch</t>
  </si>
  <si>
    <t>Knorr</t>
  </si>
  <si>
    <t>Knorr Pizza &amp; Pasta Sauce Pouch</t>
  </si>
  <si>
    <t>Sriracha Hot Chili Sauce</t>
  </si>
  <si>
    <t>Sriracha</t>
  </si>
  <si>
    <t>255 gm</t>
  </si>
  <si>
    <t>Veeba Schezwan Stir Fry Sauce</t>
  </si>
  <si>
    <t>Tabasco Red Pepper Sauce</t>
  </si>
  <si>
    <t>Tabasco</t>
  </si>
  <si>
    <t>60 ml</t>
  </si>
  <si>
    <t>Amul Cheese Sauce Pizza</t>
  </si>
  <si>
    <t>American Garden BBQ Sauce Original</t>
  </si>
  <si>
    <t>American Garden</t>
  </si>
  <si>
    <t>510 gm</t>
  </si>
  <si>
    <t>Amul Cheese Sauce Green Chutney</t>
  </si>
  <si>
    <t>Tuong Ot</t>
  </si>
  <si>
    <t>481 gm</t>
  </si>
  <si>
    <t>Amul Cheese Sauce Jalapeno</t>
  </si>
  <si>
    <t>Tabasco Mild Green Pepper Sauce</t>
  </si>
  <si>
    <t>Ragu Traditional Pasta Sauce</t>
  </si>
  <si>
    <t>Ragu</t>
  </si>
  <si>
    <t>396 gm</t>
  </si>
  <si>
    <t>American Garden Pizza Sauce Jar</t>
  </si>
  <si>
    <t>397 gm</t>
  </si>
  <si>
    <t>Sriracha Chili Garlic Sauce</t>
  </si>
  <si>
    <t>226 gm</t>
  </si>
  <si>
    <t>Barilla Olive With 100% Italian Tomatoes</t>
  </si>
  <si>
    <t>Barilla</t>
  </si>
  <si>
    <t>Ragu Pizza Sauce</t>
  </si>
  <si>
    <t>Ragu Tomato Garlic &amp; Onion Pasta Sauce</t>
  </si>
  <si>
    <t>Ragu Garden Combination Chunky Sauce</t>
  </si>
  <si>
    <t>Ragu Super Chunky Mushroom Pasta Sauce</t>
  </si>
  <si>
    <t>Wingreens Tandoori Sauce Tube</t>
  </si>
  <si>
    <t>Wingreens Honey Mustard Tube</t>
  </si>
  <si>
    <t>Wingreens Mint Mayo Tube</t>
  </si>
  <si>
    <t>Wingreens Thousand Island Tube</t>
  </si>
  <si>
    <t>Wingreens Butter Garlic Naan Chip &amp; Makhani Dip</t>
  </si>
  <si>
    <t>Wingreens Tangy Cheese Pita Chips With Mexican Salsa Dip</t>
  </si>
  <si>
    <t>Wingreens Chatpata Pudina Naan Chip &amp; Tandoori Dip</t>
  </si>
  <si>
    <t>Naagin Indian Hot Sauce - Original</t>
  </si>
  <si>
    <t>Naagin</t>
  </si>
  <si>
    <t>Naagin Indian Hot Sauce - Smoky Bhoot</t>
  </si>
  <si>
    <t>Naagin Indian Hot Sauce - Kantha Bomb</t>
  </si>
  <si>
    <t>Ching's Schezwan Chutney</t>
  </si>
  <si>
    <t>Ruchira Special Khatti Mithhi Imli Chutney</t>
  </si>
  <si>
    <t>Ruchira</t>
  </si>
  <si>
    <t>Ruchira Special Chaupati Pani Puri Chutney</t>
  </si>
  <si>
    <t>Pravin Red Chilli Thecha Kolhapuri Style</t>
  </si>
  <si>
    <t>Pravin</t>
  </si>
  <si>
    <t>Veeba Garlic Chilli Chutney</t>
  </si>
  <si>
    <t>Ching's Chilli Vinegar</t>
  </si>
  <si>
    <t>170 ml</t>
  </si>
  <si>
    <t>Kalvert White Vinegar</t>
  </si>
  <si>
    <t>Kalvert</t>
  </si>
  <si>
    <t>Borges Apple Cider Vinegar With The Mother</t>
  </si>
  <si>
    <t>355 ml</t>
  </si>
  <si>
    <t>American Garden Apple Cider Vinegar</t>
  </si>
  <si>
    <t>473 ml</t>
  </si>
  <si>
    <t>Kalvert Red Vinegar</t>
  </si>
  <si>
    <t>Kissan Mixed Fruit Jam</t>
  </si>
  <si>
    <t>Jams</t>
  </si>
  <si>
    <t>Mala's Jambo Mix Fruit Jam Jar</t>
  </si>
  <si>
    <t>Meal Time Mixed Fruit Jam</t>
  </si>
  <si>
    <t>Meal Time</t>
  </si>
  <si>
    <t>Bhuira Strawberry Preserve</t>
  </si>
  <si>
    <t>Bhuira</t>
  </si>
  <si>
    <t>470 gm</t>
  </si>
  <si>
    <t>Bhuira Bitter Orange Preserve</t>
  </si>
  <si>
    <t>Bhuira Black Grape Preserve</t>
  </si>
  <si>
    <t>Bhuira Marmalade 3 Fruit Preserve</t>
  </si>
  <si>
    <t>Dana Mixed Fruit Jam</t>
  </si>
  <si>
    <t>Dana</t>
  </si>
  <si>
    <t>Nutella Hazelnut Spread with Cocoa</t>
  </si>
  <si>
    <t>Nutella Ferrero</t>
  </si>
  <si>
    <t>Hershey's Choco Spreads Cocoa With Almond</t>
  </si>
  <si>
    <t>Veeba Peanut Crunchy Butter</t>
  </si>
  <si>
    <t>925 gm</t>
  </si>
  <si>
    <t>Veeba Peanut Creamy Butter</t>
  </si>
  <si>
    <t>Hershey's Choco Spreads Cocoa</t>
  </si>
  <si>
    <t>Funfoods Peanut Butter Crunchy</t>
  </si>
  <si>
    <t>1.25 kg</t>
  </si>
  <si>
    <t>Funfoods Peanut Butter Creamy</t>
  </si>
  <si>
    <t>Pintola Peanut Butter Crunchy Unsweetened</t>
  </si>
  <si>
    <t>Pintola</t>
  </si>
  <si>
    <t>Pintola Peanut Butter Creamy Unsweetened</t>
  </si>
  <si>
    <t>Funfoods Chocolate Spread Fudge</t>
  </si>
  <si>
    <t>Veeba Cheese &amp; Chili Sandwich Spread</t>
  </si>
  <si>
    <t>Veeba Cheesy Spread &amp; Dressing</t>
  </si>
  <si>
    <t>Hershey's Spreads Cocoa With Cookies</t>
  </si>
  <si>
    <t>Pillsbury Milk Choco Spread Jar</t>
  </si>
  <si>
    <t>290 gm</t>
  </si>
  <si>
    <t>Lotus Biscoff Original Spread</t>
  </si>
  <si>
    <t>Lotus</t>
  </si>
  <si>
    <t>Lotus Biscoff Crunchy Spread</t>
  </si>
  <si>
    <t>Dabur Honey</t>
  </si>
  <si>
    <t>Dabur</t>
  </si>
  <si>
    <t>Dabur Honey Squeezy Pack</t>
  </si>
  <si>
    <t>Patanjali Honey</t>
  </si>
  <si>
    <t>Apis Himalaya Honey</t>
  </si>
  <si>
    <t>Saffola Honey Glass Jar</t>
  </si>
  <si>
    <t>Phondaghat Honey</t>
  </si>
  <si>
    <t>Phondaghat</t>
  </si>
  <si>
    <t>24 Mantra Organic Wild Honey</t>
  </si>
  <si>
    <t>Baidyanath Honey</t>
  </si>
  <si>
    <t>Organic India Multi Floral Honey</t>
  </si>
  <si>
    <t>Veeba Eggless Mayonnaise</t>
  </si>
  <si>
    <t>Funfoods Veg Mayonnaise</t>
  </si>
  <si>
    <t>1.2 Kg</t>
  </si>
  <si>
    <t>Wingreens Premium Veg Mayo</t>
  </si>
  <si>
    <t>Hellmann's Real Mayonnaise</t>
  </si>
  <si>
    <t>Hellmanns</t>
  </si>
  <si>
    <t>Del Monte Eggless Mayo Pouch</t>
  </si>
  <si>
    <t>Funfoods Veg Mayonnaise - Garlic</t>
  </si>
  <si>
    <t>Funfoods Eggless Mayonnaise for Burger</t>
  </si>
  <si>
    <t>Wingreens Italian Herb Mayo</t>
  </si>
  <si>
    <t>Veeba Mint Mayonnaise</t>
  </si>
  <si>
    <t>Veeba Eggless Garlic Mayonnaise</t>
  </si>
  <si>
    <t>Veeba Chipotle Southwest Dressing</t>
  </si>
  <si>
    <t>Veeba Thousand Island Dressing</t>
  </si>
  <si>
    <t>Veeba Peri Peri Sauce</t>
  </si>
  <si>
    <t>Funfoods Pizza Topping</t>
  </si>
  <si>
    <t>Veeba Cheese &amp; Jalapeno Dip</t>
  </si>
  <si>
    <t>Veeba Chilli Oregano Sauce</t>
  </si>
  <si>
    <t>Veeba Thousand Island Sandwich Spread</t>
  </si>
  <si>
    <t>American Garden U.S. Mustard Sauce</t>
  </si>
  <si>
    <t>227 gm</t>
  </si>
  <si>
    <t>Wingreens Cheesy Chipotle Sauce Tube</t>
  </si>
  <si>
    <t>St. Dalfour Wild Blueberry</t>
  </si>
  <si>
    <t>St. Dalfour</t>
  </si>
  <si>
    <t>284 gm</t>
  </si>
  <si>
    <t>St. Dalfour Four Fruits</t>
  </si>
  <si>
    <t>St. Dalfour Strawberry</t>
  </si>
  <si>
    <t>Dana Strawberry Jam</t>
  </si>
  <si>
    <t>Maggi Masala Veg Atta Noodles</t>
  </si>
  <si>
    <t>435 gm</t>
  </si>
  <si>
    <t>Noodles</t>
  </si>
  <si>
    <t>Sunfeast Yippee Noodles Magic Masala</t>
  </si>
  <si>
    <t>520 gm</t>
  </si>
  <si>
    <t>Top Ramen Masala Noodles</t>
  </si>
  <si>
    <t>Top Ramen</t>
  </si>
  <si>
    <t>480 gm</t>
  </si>
  <si>
    <t>Maggi Oats Masala Noodles</t>
  </si>
  <si>
    <t>Top Ramen Curry Noodles</t>
  </si>
  <si>
    <t>Nissin</t>
  </si>
  <si>
    <t>Maggi No Onion No Garlic Masala Noodles</t>
  </si>
  <si>
    <t>Maggi Special Masala Noodles</t>
  </si>
  <si>
    <t>Sunfeast Yippee Magic Masala Noodles</t>
  </si>
  <si>
    <t>Sunfeast Yippee</t>
  </si>
  <si>
    <t>Ching's Schezwan Instant Noodles</t>
  </si>
  <si>
    <t>Ching's Manchurian Instant Noodles</t>
  </si>
  <si>
    <t>Saffola Oodles Yummy Masala</t>
  </si>
  <si>
    <t>184 gm</t>
  </si>
  <si>
    <t>Ching's Hot Garlic Instant Noodles</t>
  </si>
  <si>
    <t>Inchi Veg Chow Mein Noodles</t>
  </si>
  <si>
    <t>Inchi</t>
  </si>
  <si>
    <t>46 gm</t>
  </si>
  <si>
    <t>Nongshim Shin Ramyun Korean Style Noodles</t>
  </si>
  <si>
    <t>Nongshim</t>
  </si>
  <si>
    <t>Nongshim Kimchi Ramyun Korean Style Noodles</t>
  </si>
  <si>
    <t>Nongshim Shin Red Super Spicy Korean Style Noodles</t>
  </si>
  <si>
    <t>Slurrp Farm Foxtail Millet Noodles</t>
  </si>
  <si>
    <t>Slurrp Farm</t>
  </si>
  <si>
    <t>192 gm</t>
  </si>
  <si>
    <t>Slurrp Farm Little Millet Noodles</t>
  </si>
  <si>
    <t>Maggi 2-Minute Masala Noodles</t>
  </si>
  <si>
    <t>560 gm</t>
  </si>
  <si>
    <t>Ching's Veg Hakka Noodles</t>
  </si>
  <si>
    <t>Inchi Veg Hakka Noodles</t>
  </si>
  <si>
    <t>Borges Penne Rigate Durum Wheat Pasta</t>
  </si>
  <si>
    <t>Borges Fusilli Durum Wheat Pasta</t>
  </si>
  <si>
    <t>Maggi Pazzta Cheese Macaroni</t>
  </si>
  <si>
    <t>Borges Spaghetti Durum Wheat Pasta</t>
  </si>
  <si>
    <t>Blue Bird Penne Pasta</t>
  </si>
  <si>
    <t>Maggi Pazzta Masala Penne</t>
  </si>
  <si>
    <t>Blue Bird Elbow Macaroni Pasta</t>
  </si>
  <si>
    <t>Homechef Macaroni Elbow Pasta</t>
  </si>
  <si>
    <t>Homechef</t>
  </si>
  <si>
    <t>Borges Farfalle Durum Wheat Pasta</t>
  </si>
  <si>
    <t>Blue Bird Fusilli Pasta</t>
  </si>
  <si>
    <t>Sunfeast Yippee Masala Pasta</t>
  </si>
  <si>
    <t>Sunfeast Yippee Pasta Cheese</t>
  </si>
  <si>
    <t>Sunfeast Pasta Treat</t>
  </si>
  <si>
    <t>Sunfeast Yippee Creamy Corn Tricolor Pasta</t>
  </si>
  <si>
    <t>Barilla Spaghetti</t>
  </si>
  <si>
    <t>Barilla Fusilli Pasta</t>
  </si>
  <si>
    <t>Home Chef Pasta Macaroni Elbow</t>
  </si>
  <si>
    <t>Barilla Penne Rigate</t>
  </si>
  <si>
    <t>Borges Mini Penne Rigate Durum Wheat Pasta</t>
  </si>
  <si>
    <t>Barilla Farfalle</t>
  </si>
  <si>
    <t>Borges Mini Fusilli Durum Wheat Pasta</t>
  </si>
  <si>
    <t>Pink Harvest Farms Chickpea Fusilli Pasta</t>
  </si>
  <si>
    <t>Pink Harvest Farms Red Lentil Penne Pasta</t>
  </si>
  <si>
    <t>MTR Vermicelli</t>
  </si>
  <si>
    <t>850 gm</t>
  </si>
  <si>
    <t>Bambino Roasted Vermicelli</t>
  </si>
  <si>
    <t>Home Chef Roasted Vermicelli</t>
  </si>
  <si>
    <t>Premium Seviyan Roasted</t>
  </si>
  <si>
    <t>Premium</t>
  </si>
  <si>
    <t>Bambino Plain Vermicelli</t>
  </si>
  <si>
    <t>Home Chef Vermicelli</t>
  </si>
  <si>
    <t>Concord Rice Sevai</t>
  </si>
  <si>
    <t>Concord</t>
  </si>
  <si>
    <t>MTR Roasted Vermicelli</t>
  </si>
  <si>
    <t>Royal Udad Papad</t>
  </si>
  <si>
    <t>Royal Punjabi Masala Papad</t>
  </si>
  <si>
    <t>Ganesh Bikaneri Special Moong Papad</t>
  </si>
  <si>
    <t>Ganesh</t>
  </si>
  <si>
    <t>Ganesh Chana Masala Papad</t>
  </si>
  <si>
    <t>Mother's Recipe Potato Papad</t>
  </si>
  <si>
    <t>Bikaneri Mahesh Papad</t>
  </si>
  <si>
    <t>Mahesh</t>
  </si>
  <si>
    <t>Ganesh Appalam Papad</t>
  </si>
  <si>
    <t>Ganesh Papad</t>
  </si>
  <si>
    <t>Ganesh Punjabi Masala Papad</t>
  </si>
  <si>
    <t>Ganesh Rice Crispie Jeera Papad</t>
  </si>
  <si>
    <t>Garden Mini Bhakharwadi</t>
  </si>
  <si>
    <t>Ganesh Mini Udad Papad</t>
  </si>
  <si>
    <t>Jain Moong Sada Papad</t>
  </si>
  <si>
    <t>Jain</t>
  </si>
  <si>
    <t>Ganesh Udad Papad</t>
  </si>
  <si>
    <t>Ganesh Garlic Papad</t>
  </si>
  <si>
    <t>Jain DLS Chana Masala Papad</t>
  </si>
  <si>
    <t>Ganesh Rice Crispie Garlic Papad</t>
  </si>
  <si>
    <t>Ganesh Rice Crispie Green Chilli Papad</t>
  </si>
  <si>
    <t>Sun Bulbul Fryums</t>
  </si>
  <si>
    <t>Ganesh Rice Crispie Red Chilli Papad</t>
  </si>
  <si>
    <t>Shiv Shakti's Tikha Potato Papad</t>
  </si>
  <si>
    <t>Shiv Shakti's Bulbul Fryums</t>
  </si>
  <si>
    <t>Shiv Shakti's Plain Potato Papad</t>
  </si>
  <si>
    <t>Talod Dahiwada Mix</t>
  </si>
  <si>
    <t>Talod</t>
  </si>
  <si>
    <t>Gits Gulab Jamun Mix</t>
  </si>
  <si>
    <t>Gits</t>
  </si>
  <si>
    <t>MTR Rava Idli Mix</t>
  </si>
  <si>
    <t>ID Idly &amp; Dosa Batter Mix</t>
  </si>
  <si>
    <t>Chitale Bandhu Instant Gulab Jamun Mix</t>
  </si>
  <si>
    <t>Chitale Foods</t>
  </si>
  <si>
    <t>Chitale Instant Khaman Mix</t>
  </si>
  <si>
    <t>Betty Crocker Complete Pancake Mix</t>
  </si>
  <si>
    <t>Betty Crocker</t>
  </si>
  <si>
    <t>Talod Nylon Khaman Mix Flour</t>
  </si>
  <si>
    <t>Talod's</t>
  </si>
  <si>
    <t>Et-Mi Falooda Mix Rose Flavour</t>
  </si>
  <si>
    <t>Et-Mi</t>
  </si>
  <si>
    <t>Gits Khaman Dhokla Mix</t>
  </si>
  <si>
    <t>Agrawal's 420 Moong Bhajiya (Pakodi) Instant Mix</t>
  </si>
  <si>
    <t>Talod Handwa Mix Flour</t>
  </si>
  <si>
    <t>Jalani Mini Pani Puri Magic</t>
  </si>
  <si>
    <t>Jalani</t>
  </si>
  <si>
    <t>MTR Multigrain Dosa Mix</t>
  </si>
  <si>
    <t>Harnik Caramel Pudding Mix</t>
  </si>
  <si>
    <t>Harnik</t>
  </si>
  <si>
    <t>MTR 3 Minute Breakfast Regular Poha</t>
  </si>
  <si>
    <t>MTR Dosa Mix</t>
  </si>
  <si>
    <t>MTR 3 Minute Breakfast Vegetable Upma</t>
  </si>
  <si>
    <t>Chitale Gulabjam Mix</t>
  </si>
  <si>
    <t>Chitale Khaman Mix</t>
  </si>
  <si>
    <t>200 Gm</t>
  </si>
  <si>
    <t>Aashirvaad Gulab Jamun Instant Mix</t>
  </si>
  <si>
    <t>Aashirvad</t>
  </si>
  <si>
    <t>Pillsbury Vanilla Flavoured Custard Powder</t>
  </si>
  <si>
    <t>Et-Mi Basundi Mix</t>
  </si>
  <si>
    <t>Gits Basundi Mix</t>
  </si>
  <si>
    <t>Blue Bird Custard Powder Vanilla</t>
  </si>
  <si>
    <t>ID Malabar Parota</t>
  </si>
  <si>
    <t>Weikfield Custard Powder Vanilla</t>
  </si>
  <si>
    <t>Chitale Bandhu Gulabjam</t>
  </si>
  <si>
    <t>Et-Mi Ice Cream Mix Kesar Pista Flavour</t>
  </si>
  <si>
    <t>MTR Upma Mix</t>
  </si>
  <si>
    <t>ID Homestyle Whole Wheat Paratha</t>
  </si>
  <si>
    <t>6 Pcs</t>
  </si>
  <si>
    <t>MTR Gulab Jamun Ready Mix</t>
  </si>
  <si>
    <t>Et-Mi Ice Cream Mix Vanilla Flavour</t>
  </si>
  <si>
    <t>Pillsbury Choco Cooker Cake Mix</t>
  </si>
  <si>
    <t>159 gm</t>
  </si>
  <si>
    <t>Pillsbury Rich Choco Oven Cake Mix Egg-Free</t>
  </si>
  <si>
    <t>270 gm</t>
  </si>
  <si>
    <t>MTR Vada Mix</t>
  </si>
  <si>
    <t>GoodDot Plant-Based Eggless Bhurji Kit : 100 gms</t>
  </si>
  <si>
    <t>GoodDot</t>
  </si>
  <si>
    <t>Blue Bird China Grass Kesar Pista</t>
  </si>
  <si>
    <t>Blue Bird Active Dry Yeast</t>
  </si>
  <si>
    <t>Betty Crocker Triple Choco Brownie Mix</t>
  </si>
  <si>
    <t>Bretty Croker</t>
  </si>
  <si>
    <t>GoodDot Plant-Based UnMutton</t>
  </si>
  <si>
    <t>Gits Kesar Kulfi Mix</t>
  </si>
  <si>
    <t>Christopher Cocoa Instant Active Dry Yeast</t>
  </si>
  <si>
    <t>Talod Gota Mix Flour</t>
  </si>
  <si>
    <t>Brown &amp; Polson Custard Powder - Vanilla</t>
  </si>
  <si>
    <t>Brown &amp; Polson</t>
  </si>
  <si>
    <t>Gooddot Vegetarian Biryani</t>
  </si>
  <si>
    <t>Gooddot Vegetarian Pulao</t>
  </si>
  <si>
    <t>GoodDot Plant-Based Eggless Bhurji Kit</t>
  </si>
  <si>
    <t>Satyam Rajgira Puff</t>
  </si>
  <si>
    <t>Real Thai Green Curry Paste</t>
  </si>
  <si>
    <t>Real Thai Red Curry Paste</t>
  </si>
  <si>
    <t>Veeba Salsa Tomato Sauce</t>
  </si>
  <si>
    <t>Heidi Dark Chocolate - Espresso</t>
  </si>
  <si>
    <t>Heidi</t>
  </si>
  <si>
    <t>Heidi Dark Vegan Chocolate - Extreme 85%</t>
  </si>
  <si>
    <t>Heidi Dark Vegan Chocolate - Cranberry</t>
  </si>
  <si>
    <t>Heidi Dark Chocolote - Lemon &amp; Mint</t>
  </si>
  <si>
    <t>Heidi Dark Chocolate - Orange</t>
  </si>
  <si>
    <t>Heidi Dark Vegan Chocolate - Intense 75%  :</t>
  </si>
  <si>
    <t>Karachi's Besan Mysore Pak</t>
  </si>
  <si>
    <t>Natural's Bite Aam Papad Cubes</t>
  </si>
  <si>
    <t>Chandan 4 In 1 Mix Mouth Freshener</t>
  </si>
  <si>
    <t>Chandan</t>
  </si>
  <si>
    <t>Luvit Chocorich Eclairs Party Pack</t>
  </si>
  <si>
    <t>384 gm</t>
  </si>
  <si>
    <t>Phondaghat Amla Candy</t>
  </si>
  <si>
    <t>Gula Gula Orange Candy</t>
  </si>
  <si>
    <t>Gula Gula</t>
  </si>
  <si>
    <t>Parle Grand Londonderry Caramelised Milk Candy</t>
  </si>
  <si>
    <t>198 gm</t>
  </si>
  <si>
    <t>Natural's Gulkand Shahi Paan</t>
  </si>
  <si>
    <t>Natural's Bite Honey Amla</t>
  </si>
  <si>
    <t>Jelly Mazza Fruity Pops Orange</t>
  </si>
  <si>
    <t>Jelly</t>
  </si>
  <si>
    <t>Jelly Mazza Fruity Strawberry Chews</t>
  </si>
  <si>
    <t>37 gm</t>
  </si>
  <si>
    <t>Parle Kismi Toffee</t>
  </si>
  <si>
    <t>294 gm</t>
  </si>
  <si>
    <t>Jelly Mazza Fruity Pops Grape</t>
  </si>
  <si>
    <t>Chandan Anardana Punch</t>
  </si>
  <si>
    <t>Natural's Bite Meetha Amla</t>
  </si>
  <si>
    <t>Gula Gula Lemon Candy</t>
  </si>
  <si>
    <t>Natural's Bite Meethi Imli</t>
  </si>
  <si>
    <t>Skittles Original Candies</t>
  </si>
  <si>
    <t>Skittles</t>
  </si>
  <si>
    <t>Jelly Mazza Guava Fruity Chews</t>
  </si>
  <si>
    <t>Jelly Mazza</t>
  </si>
  <si>
    <t>Gula Gula Kaccha Mango Flavour</t>
  </si>
  <si>
    <t>Frumato Pulpy Fruit Chew Strawberry</t>
  </si>
  <si>
    <t>Frumato</t>
  </si>
  <si>
    <t>137.5 gm</t>
  </si>
  <si>
    <t>Orbit Spearmint Sugar Free Chewing Gum</t>
  </si>
  <si>
    <t>Orbit</t>
  </si>
  <si>
    <t>Chandan Mango Tango</t>
  </si>
  <si>
    <t>Chandan Jamun Vati</t>
  </si>
  <si>
    <t>Alpenliebe Eclairs Choco Caramel Pouch</t>
  </si>
  <si>
    <t>Chocoliebe</t>
  </si>
  <si>
    <t>136 gm</t>
  </si>
  <si>
    <t>Wrigley's Orbit Mixed Fruit Sugar Free Chewing Gum</t>
  </si>
  <si>
    <t>Wrigley</t>
  </si>
  <si>
    <t>Skittles Wild Berry Candies</t>
  </si>
  <si>
    <t>Chandan Grape Tangy</t>
  </si>
  <si>
    <t>Natural's Bite Mint Variyali</t>
  </si>
  <si>
    <t>Kopiko Cappuccino Coffee Candies</t>
  </si>
  <si>
    <t>Kopiko</t>
  </si>
  <si>
    <t>Wrigley's Double Pepper Mints</t>
  </si>
  <si>
    <t>Wrigleys</t>
  </si>
  <si>
    <t>32.5 gm</t>
  </si>
  <si>
    <t>Wrigley's Double Lemon Mints</t>
  </si>
  <si>
    <t>32.55 gm</t>
  </si>
  <si>
    <t>Tic Tac Mint</t>
  </si>
  <si>
    <t>Tic</t>
  </si>
  <si>
    <t>7.2 gm</t>
  </si>
  <si>
    <t>Tic Tac Apple Treat</t>
  </si>
  <si>
    <t>Tic Tac Orange Flavoured</t>
  </si>
  <si>
    <t>Tic Tac Saunf Flavour</t>
  </si>
  <si>
    <t>Orbit Raw Mango Flavour Sugar Free Chewing Gum Tube</t>
  </si>
  <si>
    <t>Haldiram's Soan Papdi</t>
  </si>
  <si>
    <t>Haldiram's Rasgulla</t>
  </si>
  <si>
    <t>Haldiram's Gulab Jamun</t>
  </si>
  <si>
    <t>Bikaji Rasgulla Gol-Matol</t>
  </si>
  <si>
    <t>Bikaji Gulab Jamun Gol-M-Gol</t>
  </si>
  <si>
    <t>Royal Gulab Jamun</t>
  </si>
  <si>
    <t>Lal Dharwad Peda</t>
  </si>
  <si>
    <t>Lal</t>
  </si>
  <si>
    <t>Shri Ram Soan Papdi</t>
  </si>
  <si>
    <t>Shri Ram</t>
  </si>
  <si>
    <t>Lal Premium Mysore Pak</t>
  </si>
  <si>
    <t>Haldiram's Besan Ladoo</t>
  </si>
  <si>
    <t>Amul Kaju Katri</t>
  </si>
  <si>
    <t>Bikaneri Madhuras Rasgulla</t>
  </si>
  <si>
    <t>Bikaneri</t>
  </si>
  <si>
    <t>Royal Rasgulla</t>
  </si>
  <si>
    <t>Lal Besan Laddoo</t>
  </si>
  <si>
    <t>Phondaghat Pravalyukta Gulkand</t>
  </si>
  <si>
    <t>Bikaji Manbhavan Soan Papdi</t>
  </si>
  <si>
    <t>Crave Eatables Bachubhai's Soan Papdi</t>
  </si>
  <si>
    <t>Crave Eatables</t>
  </si>
  <si>
    <t>Crave Eatables Bachubhai's Rasgulla</t>
  </si>
  <si>
    <t>Crave Eatables Bachubhai's Besan Laddu</t>
  </si>
  <si>
    <t>Haldiram's Badam Halwa</t>
  </si>
  <si>
    <t>Lal Shahi Mysore Pak</t>
  </si>
  <si>
    <t>Amul Kesar Peda</t>
  </si>
  <si>
    <t>Sun Shengh Chikki</t>
  </si>
  <si>
    <t>Madhuras Soan Papdi</t>
  </si>
  <si>
    <t>Madhuras</t>
  </si>
  <si>
    <t>Lal Bombay Halwa</t>
  </si>
  <si>
    <t>Amul Malai Peda</t>
  </si>
  <si>
    <t>Divya Gulkand</t>
  </si>
  <si>
    <t>Divya</t>
  </si>
  <si>
    <t>Vaidehi Premium Dink Ladoo</t>
  </si>
  <si>
    <t>Vaidehi</t>
  </si>
  <si>
    <t>Crave Eatables Bachubhai's Gulab Jamun</t>
  </si>
  <si>
    <t>Amul Milk Cake</t>
  </si>
  <si>
    <t>Vaidehi Premium Ragi Ladoo</t>
  </si>
  <si>
    <t>Vaidehi Premium Multi Grain Ladoo</t>
  </si>
  <si>
    <t>Ghasitaram's Rasmalai Tin</t>
  </si>
  <si>
    <t>Ghasitaram's</t>
  </si>
  <si>
    <t>Vaidehi Premium Rava Besan Ladoo</t>
  </si>
  <si>
    <t>Vaidehi Premium Methi Ladoo</t>
  </si>
  <si>
    <t>Vaidehi Premium Moong Ladoo</t>
  </si>
  <si>
    <t>Vaidehi Premium Besan Ladoo</t>
  </si>
  <si>
    <t>Ghasitaram's Rassogulla With Natural Sweetener Tin</t>
  </si>
  <si>
    <t>Madhur Bikaneri Rasgulla</t>
  </si>
  <si>
    <t>Madhur</t>
  </si>
  <si>
    <t>Kokan Gem Kaju Modak - 21 Pieces</t>
  </si>
  <si>
    <t>Kokan Gem Hapus Amba Modak - 21 Pieces</t>
  </si>
  <si>
    <t>Chitale Kaju Katli</t>
  </si>
  <si>
    <t>Bedekar Tasty Foods Moog Dal Halwa</t>
  </si>
  <si>
    <t>Bedekar Besan Ladu</t>
  </si>
  <si>
    <t>Pravin Mango Pickle</t>
  </si>
  <si>
    <t>Mother's Recipe Mango Pickle - Jar</t>
  </si>
  <si>
    <t>Pravin Mango Pickle - Pouch</t>
  </si>
  <si>
    <t>Shree Siddhivinayak Mango Pickle</t>
  </si>
  <si>
    <t>Shree Siddhivinayak</t>
  </si>
  <si>
    <t>Bedekar Mango Pickle</t>
  </si>
  <si>
    <t>Shree Siddhivinayak Sweet Mango Pickle</t>
  </si>
  <si>
    <t>Mother's Recipe Mango Pickle - Pouch</t>
  </si>
  <si>
    <t>Kubal Mango Pickle Pouch</t>
  </si>
  <si>
    <t>Shree Siddhivinayak Sweet Lime Pickle</t>
  </si>
  <si>
    <t>Shree Siddhivinayak Lime Pickle</t>
  </si>
  <si>
    <t>Bedekar Lime Pickle (Sweet)</t>
  </si>
  <si>
    <t>Bedekar Lime Pickle</t>
  </si>
  <si>
    <t>Mother's Recipe Mixed Pickle Jar</t>
  </si>
  <si>
    <t>Pravin Mixed Pickle</t>
  </si>
  <si>
    <t>Bedekar Mixed Pickle</t>
  </si>
  <si>
    <t>Mother's Recipe Mixed Pickle Pouch</t>
  </si>
  <si>
    <t>Shree Siddhivinayak Mixed Pickle</t>
  </si>
  <si>
    <t>Kubal Mix Pickle Pouch</t>
  </si>
  <si>
    <t>Pravin Green Chilli Pickle - Pouch</t>
  </si>
  <si>
    <t>Shree Siddhivinayak Chilly Pickle</t>
  </si>
  <si>
    <t>Bedekar Green Chilli Pickle</t>
  </si>
  <si>
    <t>Jain DLS Marwadi Mirchi Red Pickle</t>
  </si>
  <si>
    <t>Jain DLS Marwadi Mirchi Green Pickle</t>
  </si>
  <si>
    <t>Inchi Schezwan Chutney</t>
  </si>
  <si>
    <t>Nasle Shenga (Groundnut) Chutney</t>
  </si>
  <si>
    <t>Nasle</t>
  </si>
  <si>
    <t>Bedekar Garlic Chutney</t>
  </si>
  <si>
    <t>Vaidehi Lasun Chutney</t>
  </si>
  <si>
    <t>Bedekar Groundnut (Singdana) Chutney</t>
  </si>
  <si>
    <t>Mother's Recipe Gujarati Choondo Pickle</t>
  </si>
  <si>
    <t>Jain DLS Ker Sangri Pickle</t>
  </si>
  <si>
    <t>Jain Ker Ka Achar</t>
  </si>
  <si>
    <t>Mother's Recipe Gujarati Gorkeri Pickle</t>
  </si>
  <si>
    <t>Sugar Free Gold Pellets</t>
  </si>
  <si>
    <t>Sugar Free</t>
  </si>
  <si>
    <t>300 Pellets</t>
  </si>
  <si>
    <t>500 Pellets</t>
  </si>
  <si>
    <t>Dabur Chyawanprash Awaleha</t>
  </si>
  <si>
    <t>Sugar Free Gold Powder</t>
  </si>
  <si>
    <t>Sugar Free Natura Pellets</t>
  </si>
  <si>
    <t>Hamdard Roghan Badam Shirin Sweet Almond Oil</t>
  </si>
  <si>
    <t>50 ml</t>
  </si>
  <si>
    <t>Patanjali Saffron Chyawanprash</t>
  </si>
  <si>
    <t>RiteBite Max Protein Daily Choco Almond Bar</t>
  </si>
  <si>
    <t>RiteBite</t>
  </si>
  <si>
    <t>Horlicks Chocolate Delight Flavour</t>
  </si>
  <si>
    <t>2x500gm</t>
  </si>
  <si>
    <t>Dabur Chyawanprakash Sugarfree</t>
  </si>
  <si>
    <t>RiteBite Max Protein Daily Choco Berry Bar</t>
  </si>
  <si>
    <t>Sugar Free Natura Powder</t>
  </si>
  <si>
    <t>RiteBite Max Protein Daily Choco Classic Bar</t>
  </si>
  <si>
    <t>Saffola Immuniveda Chyawanprash</t>
  </si>
  <si>
    <t>Sugar Free Natura Diet Sugar</t>
  </si>
  <si>
    <t>Baidyanath Sugarfree Chyawan-Fit</t>
  </si>
  <si>
    <t>Hamdard Safi Natural Blood Purifier</t>
  </si>
  <si>
    <t>Safi</t>
  </si>
  <si>
    <t>Sugar Free Green Stevia Powder</t>
  </si>
  <si>
    <t>Baidyanath Chyawanprash Special</t>
  </si>
  <si>
    <t>Sugar Free Natura Sweet Drops</t>
  </si>
  <si>
    <t>200 Drops</t>
  </si>
  <si>
    <t>RiteBite Sports Snack Bar</t>
  </si>
  <si>
    <t>RiteBite Peanut Butter Snack Bar</t>
  </si>
  <si>
    <t>Sugar Free Gold Sachets</t>
  </si>
  <si>
    <t>25 Sachets</t>
  </si>
  <si>
    <t>Nutrivalue Stevia Leaves - Natural Sweetener</t>
  </si>
  <si>
    <t>Baidyanath Kesari Kalp</t>
  </si>
  <si>
    <t>Baidyanath Shankha Pushpi Syrup</t>
  </si>
  <si>
    <t>Organic India Chyawanprash</t>
  </si>
  <si>
    <t>Bean To Bark Milk Chocolate - Granola Munch</t>
  </si>
  <si>
    <t>Bean to Bark</t>
  </si>
  <si>
    <t>Bean To Bark Dark Chocolate - Quinoa Crackle</t>
  </si>
  <si>
    <t>Dhootapapeshwar Shatavari Kalpa Granules</t>
  </si>
  <si>
    <t>Dhootapapeshwar</t>
  </si>
  <si>
    <t>Dhootapapeshwar Shilapravang Special Tablet</t>
  </si>
  <si>
    <t>30 U</t>
  </si>
  <si>
    <t>Dhootapapeshwar Swamala Chywanprash</t>
  </si>
  <si>
    <t>Dhootapapeshwar Shatavari Kalpa Granules - Elaichi</t>
  </si>
  <si>
    <t>Knorr Thick Tomato Soup</t>
  </si>
  <si>
    <t>53 gm</t>
  </si>
  <si>
    <t>Knorr Corn Veg Soup</t>
  </si>
  <si>
    <t>44 gm</t>
  </si>
  <si>
    <t>Knorr Instant Tomato Chatpata Cup A Soup</t>
  </si>
  <si>
    <t>14 gm</t>
  </si>
  <si>
    <t>Knorr Manchow Veg Cup-A-Soup</t>
  </si>
  <si>
    <t>12 gm</t>
  </si>
  <si>
    <t>Knorr Hot &amp; Sour Veg Soup</t>
  </si>
  <si>
    <t>41 gm</t>
  </si>
  <si>
    <t>Knorr Mixed Vegetable Soup</t>
  </si>
  <si>
    <t>Knorr Hot &amp; Sour Veg Cup-A-Soup</t>
  </si>
  <si>
    <t>11 gm</t>
  </si>
  <si>
    <t>Ching's Manchow Instant Soup</t>
  </si>
  <si>
    <t>15 gm</t>
  </si>
  <si>
    <t>Knorr Sweet Corn Chicken Soup</t>
  </si>
  <si>
    <t>Knorr Sweet Corn Veg Cup-A-Soup</t>
  </si>
  <si>
    <t>Knorr International Shanghai Hot &amp; Sour Chicken Soup</t>
  </si>
  <si>
    <t>Knorr International Hong Kong Manchow Noodle Soup</t>
  </si>
  <si>
    <t>Ching's Hot &amp; Sour Instant Soup</t>
  </si>
  <si>
    <t>Knorr Mixed Vegetable Cup-A-Soup</t>
  </si>
  <si>
    <t>Knorr International Mexican Tomato Corn Soup</t>
  </si>
  <si>
    <t>Ching's Mix Veg Instant Soup</t>
  </si>
  <si>
    <t>Ching's Sweet Corn Veg Instant Soup</t>
  </si>
  <si>
    <t>Chandan Shehanshahi Paan Mix</t>
  </si>
  <si>
    <t>Chandan Super Green Mix</t>
  </si>
  <si>
    <t>Chandan Regal Rose Mix</t>
  </si>
  <si>
    <t>Chandan Parampara Paan Mix</t>
  </si>
  <si>
    <t>Satyam Mukhwas Seven Seeds</t>
  </si>
  <si>
    <t>Chandan Jeera Goli</t>
  </si>
  <si>
    <t>Et-mi Saunf Mukhwas</t>
  </si>
  <si>
    <t>Chandan Elaichi Fennel Mix</t>
  </si>
  <si>
    <t>Chandan Coated Fennel Mix</t>
  </si>
  <si>
    <t>Chandan Fresh Minty Mix</t>
  </si>
  <si>
    <t>Nature's Treat Omega Natural Mix</t>
  </si>
  <si>
    <t>Nature's Treat</t>
  </si>
  <si>
    <t>Chandan Chatpat Awla</t>
  </si>
  <si>
    <t>Chandan Natkhat Imli</t>
  </si>
  <si>
    <t>Fisherman's Friend Mint Flavour Lozenges</t>
  </si>
  <si>
    <t>Fishermans</t>
  </si>
  <si>
    <t>Fresh Watermelon (Tarbooj)</t>
  </si>
  <si>
    <t>1 pc</t>
  </si>
  <si>
    <t>Fruits &amp; Vegetables</t>
  </si>
  <si>
    <t>Fresh Pomegranate (Anar)</t>
  </si>
  <si>
    <t>Apple Royal Gala (Seb)</t>
  </si>
  <si>
    <t>4 Pcs</t>
  </si>
  <si>
    <t>Fresh Pear (Nashpati)</t>
  </si>
  <si>
    <t>Fresh Muskmelon (Kharbooja)</t>
  </si>
  <si>
    <t>Fresh Banana (Kela) Elaichi</t>
  </si>
  <si>
    <t>Fresh Orange (Santra) Imported</t>
  </si>
  <si>
    <t>Apple Red Delicious</t>
  </si>
  <si>
    <t>Apple</t>
  </si>
  <si>
    <t>Fresh Kiwi</t>
  </si>
  <si>
    <t>3 pcs</t>
  </si>
  <si>
    <t>Fresh Papaya (Papita)</t>
  </si>
  <si>
    <t>Fresh Apple Green</t>
  </si>
  <si>
    <t>4 U</t>
  </si>
  <si>
    <t>Fresh Raw Mango</t>
  </si>
  <si>
    <t>Fresh Sweet Lime (Mosambi)</t>
  </si>
  <si>
    <t>Fresh Dragon Fruit (Pitaya)</t>
  </si>
  <si>
    <t>Fresh Guava (Peru)</t>
  </si>
  <si>
    <t>Fresh Indian Gooseberry (Amla)</t>
  </si>
  <si>
    <t>Sweet Tamarind (Thailand)</t>
  </si>
  <si>
    <t>Fresh Apple (Seb) Washington</t>
  </si>
  <si>
    <t>Fresh Sapota (Chikku)</t>
  </si>
  <si>
    <t>6 pcs</t>
  </si>
  <si>
    <t>Robusta Banana (Kela)</t>
  </si>
  <si>
    <t>Raw Banana (Kela) Madras</t>
  </si>
  <si>
    <t>Fresh Pear - Indian</t>
  </si>
  <si>
    <t>Apple Shimla (Seb)</t>
  </si>
  <si>
    <t>Plum Indian</t>
  </si>
  <si>
    <t>Malgudi</t>
  </si>
  <si>
    <t>Fresh Onion (Pyaaj)</t>
  </si>
  <si>
    <t>3 kg</t>
  </si>
  <si>
    <t>Fresh Potato (Aloo)</t>
  </si>
  <si>
    <t>2 kg</t>
  </si>
  <si>
    <t>Coconut</t>
  </si>
  <si>
    <t>1 U</t>
  </si>
  <si>
    <t>Garlic (Lahsun)</t>
  </si>
  <si>
    <t>Fresh Tomato (Tamaatar)</t>
  </si>
  <si>
    <t>Fresh Lemon (Nimboo)</t>
  </si>
  <si>
    <t>Ginger (Adrak)</t>
  </si>
  <si>
    <t>Fresh Button Mushrooms</t>
  </si>
  <si>
    <t>Tender Coconut</t>
  </si>
  <si>
    <t>Fresh Cucumber White (Safed Kakdi)</t>
  </si>
  <si>
    <t>Fresh Lady Finger (Bhendi)</t>
  </si>
  <si>
    <t>Cauliflower (Ful Gobi)</t>
  </si>
  <si>
    <t>Fresh Capsicum Green (Shimla Mirch)</t>
  </si>
  <si>
    <t>Fresh English Carrot (Gajar)</t>
  </si>
  <si>
    <t>Sweet Potato (Ratala)</t>
  </si>
  <si>
    <t>Fresh Groundnut (Mungfali)</t>
  </si>
  <si>
    <t>Malgudi Garlic Peeled</t>
  </si>
  <si>
    <t>Sambhar Onion (Madras Onion)</t>
  </si>
  <si>
    <t>Fresh Avocado</t>
  </si>
  <si>
    <t>Fresh Green Chilli (Mirchi)</t>
  </si>
  <si>
    <t>Bottle Gourd (Dudhi)</t>
  </si>
  <si>
    <t>Fresh Green Cucumber (Kakdi)</t>
  </si>
  <si>
    <t>Fresh Brinjal (Bharta Baingan)</t>
  </si>
  <si>
    <t>Fresh Beetroot (Chukandar)</t>
  </si>
  <si>
    <t>Cabbage (Patta Gobi)</t>
  </si>
  <si>
    <t>Fresh Sweet Corn</t>
  </si>
  <si>
    <t>2 pcs</t>
  </si>
  <si>
    <t>Drumsticks (Shevgyacha Shenga)</t>
  </si>
  <si>
    <t>Fresh Capsicum Red &amp; Yellow</t>
  </si>
  <si>
    <t>2 U</t>
  </si>
  <si>
    <t>Fresh Baby Potato (Dum Aloo)</t>
  </si>
  <si>
    <t>Fresh Elephant Foot Yam (Suran)</t>
  </si>
  <si>
    <t>Fresh Baby Corn</t>
  </si>
  <si>
    <t>Bitter Gourd (Karela)</t>
  </si>
  <si>
    <t>Fresh Colocasia (Arbi)</t>
  </si>
  <si>
    <t>French Beans (Faliya)</t>
  </si>
  <si>
    <t>Fresh Brinjal Round (Kateri Wangi)</t>
  </si>
  <si>
    <t>Fresh Sponge Gourd (Ghosale)</t>
  </si>
  <si>
    <t>Fresh Disco Pumpkin (Kaddu/Bhopla)</t>
  </si>
  <si>
    <t>Fresh Brinjal Small</t>
  </si>
  <si>
    <t>Fresh Cluster Beans (Gavar)</t>
  </si>
  <si>
    <t>Fresh Sprouts Mixed Gram</t>
  </si>
  <si>
    <t>Zucchini Green</t>
  </si>
  <si>
    <t>Malgudi Fried Rice/Noodles Mix</t>
  </si>
  <si>
    <t>Fresh Lemon Grass</t>
  </si>
  <si>
    <t>Fresh Cabbage - Red</t>
  </si>
  <si>
    <t>Broad Beans (Papadi)</t>
  </si>
  <si>
    <t>Zucchini Yellow</t>
  </si>
  <si>
    <t>Malgudi Sambar Mix</t>
  </si>
  <si>
    <t>Malgudi Coconut Chutney</t>
  </si>
  <si>
    <t>Malgudi Sugarcane Cubes</t>
  </si>
  <si>
    <t>Malgudi Thai Curry Mix Vegetables</t>
  </si>
  <si>
    <t>Malgudi Biryani/Pulav Mix</t>
  </si>
  <si>
    <t>Fresh Sprouts Moong Green</t>
  </si>
  <si>
    <t>Surf Excel Easy Wash Detergent Powder</t>
  </si>
  <si>
    <t>Surf Excel</t>
  </si>
  <si>
    <t xml:space="preserve"> Fabric Care</t>
  </si>
  <si>
    <t>Tide Plus Detergent Powder Jasmine &amp; Rose</t>
  </si>
  <si>
    <t>Tide</t>
  </si>
  <si>
    <t>6 kg</t>
  </si>
  <si>
    <t>Ariel Matic Top Load Detergent Washing Powder</t>
  </si>
  <si>
    <t>Ariel</t>
  </si>
  <si>
    <t>4 kg</t>
  </si>
  <si>
    <t>Rin Advanced Detergent Powder</t>
  </si>
  <si>
    <t>Rin</t>
  </si>
  <si>
    <t>7 Kg</t>
  </si>
  <si>
    <t>Star Bright Detergent Powder</t>
  </si>
  <si>
    <t>Star Bright</t>
  </si>
  <si>
    <t>Surf Excel Matic Front Load Detergent Powder</t>
  </si>
  <si>
    <t>Surf Excel Matic Top Load Detergent Powder</t>
  </si>
  <si>
    <t>Ariel Matic Front Load Detergent Washing Powder</t>
  </si>
  <si>
    <t>Tide Plus Detergent Powder - Lemon &amp; Mint</t>
  </si>
  <si>
    <t>Ariel Complete Detergent Powder</t>
  </si>
  <si>
    <t>4 Kg</t>
  </si>
  <si>
    <t>Wheel Green Lemon &amp; Jasmine Detergent Powder</t>
  </si>
  <si>
    <t>Wheel</t>
  </si>
  <si>
    <t>Surf Excel Quick Wash Detergent Powder</t>
  </si>
  <si>
    <t>Ghadi Detergent Powder</t>
  </si>
  <si>
    <t>Ghadi</t>
  </si>
  <si>
    <t>Rin Refresh Lemon &amp; Rose Detergent Powder</t>
  </si>
  <si>
    <t>Wheel Active Blue Powder</t>
  </si>
  <si>
    <t>More Light Detergent Powder</t>
  </si>
  <si>
    <t>More Light</t>
  </si>
  <si>
    <t>Tide Naturals Detergent Powder Lemon &amp; Chandan</t>
  </si>
  <si>
    <t>Vanish Oxi Action Fabric Powder</t>
  </si>
  <si>
    <t>Vanish</t>
  </si>
  <si>
    <t>Wipro Safewash Top Load Liquid Detergent Pouch</t>
  </si>
  <si>
    <t>Wipro Safewash</t>
  </si>
  <si>
    <t>Mr. White Detergent Powder</t>
  </si>
  <si>
    <t>Mr. White</t>
  </si>
  <si>
    <t>Henko Stain Champion Oxygen Power Washing Powder</t>
  </si>
  <si>
    <t>Henko</t>
  </si>
  <si>
    <t>Wipro Safewash Front Load Liquid Detergent Pouch</t>
  </si>
  <si>
    <t>Ariel Colour Care Detergent</t>
  </si>
  <si>
    <t>Henko Matic Lintelligent Front Load Detergent Washing Powder</t>
  </si>
  <si>
    <t>Henko Matic Lintelligent Top Load Powder</t>
  </si>
  <si>
    <t>Rin Detergent Bar</t>
  </si>
  <si>
    <t>4x250 gm</t>
  </si>
  <si>
    <t>6x250 gm</t>
  </si>
  <si>
    <t>Surf Excel Detergent Bar</t>
  </si>
  <si>
    <t>4x200 gm</t>
  </si>
  <si>
    <t>Star Light Detergent Bar</t>
  </si>
  <si>
    <t>Star Light</t>
  </si>
  <si>
    <t>Tide Detergent Bar</t>
  </si>
  <si>
    <t>5x200 gm</t>
  </si>
  <si>
    <t>Sunlight Detergent Bar</t>
  </si>
  <si>
    <t>Sunlight</t>
  </si>
  <si>
    <t>Dhanthak's BB Soap</t>
  </si>
  <si>
    <t>BB</t>
  </si>
  <si>
    <t>Ghadi Detergent Cake</t>
  </si>
  <si>
    <t>Surf Excel Top Load Matic Liquid</t>
  </si>
  <si>
    <t>Surf Excel Matic Liquid Detergent Front Load Pouch</t>
  </si>
  <si>
    <t>1.8 L</t>
  </si>
  <si>
    <t>Comfort After Wash Fabric Conditioner - Lily Fresh</t>
  </si>
  <si>
    <t>Comfort</t>
  </si>
  <si>
    <t>430 ml</t>
  </si>
  <si>
    <t>860 ml</t>
  </si>
  <si>
    <t>1.6 L</t>
  </si>
  <si>
    <t>Comfort After Wash Lily Fresh Fabric Conditioner Pouch</t>
  </si>
  <si>
    <t>Rin Ala Fabric Whitener</t>
  </si>
  <si>
    <t>Star Light Fabric Whitener</t>
  </si>
  <si>
    <t>Ariel Matic Top Load Liquid Detergent Refill: 2 Litres</t>
  </si>
  <si>
    <t>Ariel Matic Front Load Liquid Detergent Refill: 2 Litres</t>
  </si>
  <si>
    <t>Genteel Liquid Detergent</t>
  </si>
  <si>
    <t>Genteel</t>
  </si>
  <si>
    <t>Comfort After Wash Anti Bacterial Fabric Conditioner</t>
  </si>
  <si>
    <t>Vanish Liquid Stain Remover</t>
  </si>
  <si>
    <t>800 ml</t>
  </si>
  <si>
    <t>Ariel Matic Front Load Liquid Detergent</t>
  </si>
  <si>
    <t>Ariel Matic Top Load Liquid Detergent</t>
  </si>
  <si>
    <t>Godrej Ezee Liquid Detergent Bottle + Refill</t>
  </si>
  <si>
    <t>Ezee</t>
  </si>
  <si>
    <t>Ujala Supreme Fabric Whitener</t>
  </si>
  <si>
    <t>Ujala</t>
  </si>
  <si>
    <t>Revive Liquid Stiffener</t>
  </si>
  <si>
    <t>Revive</t>
  </si>
  <si>
    <t>Sof N Fluffy Fabric Conditioner</t>
  </si>
  <si>
    <t>Sof</t>
  </si>
  <si>
    <t>Wipro Softouch 2x French Perfume Fabric Conditioner</t>
  </si>
  <si>
    <t>Wipro</t>
  </si>
  <si>
    <t>Wipro Softouch 2X Royal Perfume Fabric Conditioner</t>
  </si>
  <si>
    <t>Wipro Softouch</t>
  </si>
  <si>
    <t>Wipro Softouch Fabric Conditioner Ocean Breeze</t>
  </si>
  <si>
    <t>Wipro Softouch Fabric Conditioner Garden Bouquet</t>
  </si>
  <si>
    <t>Lizol Disinfectant Surface Cleaner - Citrus</t>
  </si>
  <si>
    <t>Lizol</t>
  </si>
  <si>
    <t>Cleaners</t>
  </si>
  <si>
    <t>Sparkle Disinfectant Floor Cleaner - Citrus</t>
  </si>
  <si>
    <t>Sparkle</t>
  </si>
  <si>
    <t>Sunny Premium Green Cleaner</t>
  </si>
  <si>
    <t>Phenox Strong Disinfectant Cleaner</t>
  </si>
  <si>
    <t>Phenox</t>
  </si>
  <si>
    <t>Lizol Disinfectant Surface Cleaner - Floral</t>
  </si>
  <si>
    <t>Dettol Antiseptic Liquid</t>
  </si>
  <si>
    <t>Dettol</t>
  </si>
  <si>
    <t>550 ml</t>
  </si>
  <si>
    <t>Lizol Disinfectant Surface Cleaner - Lavender</t>
  </si>
  <si>
    <t>Colin Glass Cleaner Pump</t>
  </si>
  <si>
    <t>Colin</t>
  </si>
  <si>
    <t>Domex Disinfectant Floor Cleaner</t>
  </si>
  <si>
    <t>Domex</t>
  </si>
  <si>
    <t>Harpic Bathroom Cleaner - Floral</t>
  </si>
  <si>
    <t>Harpic</t>
  </si>
  <si>
    <t>Kli-Nol Premium Floor Cleaner</t>
  </si>
  <si>
    <t>Kli-Nol</t>
  </si>
  <si>
    <t>Glito 3 In 1 Perfumed Floor-Surface-Dish Cleaner</t>
  </si>
  <si>
    <t>Glito</t>
  </si>
  <si>
    <t>Glito Lime Perfumed Floor Cleaner</t>
  </si>
  <si>
    <t>Sparkle Disinfectant Floor Cleaner - Floral</t>
  </si>
  <si>
    <t>Sparkle Disinfectant Floor Cleaner - Lavender</t>
  </si>
  <si>
    <t>Glito Lavender Perfumed Floor Cleaner</t>
  </si>
  <si>
    <t>Glito Jasmine Bliss Perfumed Cleaner</t>
  </si>
  <si>
    <t>Wipro Max Kleen Floral Bliss Disinfectant Floor Cleaner</t>
  </si>
  <si>
    <t>1.25 L</t>
  </si>
  <si>
    <t>Wipro Max Kleen Citrus Joy Disinfectant Floor Cleaner</t>
  </si>
  <si>
    <t>Wipro Maxkleen Disinfectant Floor Cleaner - Floral Bliss</t>
  </si>
  <si>
    <t>Wipro Maxkleen</t>
  </si>
  <si>
    <t>Wipro Maxkleen Disinfectant Floor Cleaner - Citrus Joy</t>
  </si>
  <si>
    <t>Nimyle Herbal Anti-Bacterial Floor Cleaner</t>
  </si>
  <si>
    <t>Nimyle</t>
  </si>
  <si>
    <t>975 ml</t>
  </si>
  <si>
    <t>Nimyle Lemongrass Anti-Bacterial Floor Cleaner</t>
  </si>
  <si>
    <t>Harpic Power Plus Toilet Cleaner - Original</t>
  </si>
  <si>
    <t>Harpic Bathroom Cleaner - Lemon</t>
  </si>
  <si>
    <t>Force 10 Bathroom Cleaner</t>
  </si>
  <si>
    <t>Force 10</t>
  </si>
  <si>
    <t xml:space="preserve"> 1 L</t>
  </si>
  <si>
    <t>Force 10 Power Max Toilet Cleaner</t>
  </si>
  <si>
    <t>Harpic Floral Bathroom Cleaner</t>
  </si>
  <si>
    <t>Harpic Flushmatic Toilet Cleaner Marine</t>
  </si>
  <si>
    <t>Glito Super Thick  Toilet Cleaner</t>
  </si>
  <si>
    <t>Sani Fresh Toilet Cleaner</t>
  </si>
  <si>
    <t>Sani Fresh</t>
  </si>
  <si>
    <t>Harpic Hygienic Toilet Rim Block - Lavender</t>
  </si>
  <si>
    <t>Harpic Hygienic Toilet Citrus Rim Block</t>
  </si>
  <si>
    <t>Harpic Hygienic Toilet Rim Block - Jasmine</t>
  </si>
  <si>
    <t>Harpic Floral Delight Toilet Rim Block</t>
  </si>
  <si>
    <t>Harpic Marine Splash Toilet Rim Block</t>
  </si>
  <si>
    <t>Domex Disinfectant Toilet Cleaner - Lime Fresh Guard</t>
  </si>
  <si>
    <t>Domex Disinfectant Toilet Cleaner - Ocean Fresh Guard</t>
  </si>
  <si>
    <t>Dettol Disinfectant Spray - Original Pine</t>
  </si>
  <si>
    <t>Pitambari Shining Powder</t>
  </si>
  <si>
    <t>Pitambari</t>
  </si>
  <si>
    <t>Pitambari Rooperi Silver Shine</t>
  </si>
  <si>
    <t>Mr. Muscle Kiwi Dranex Drain Cleaner</t>
  </si>
  <si>
    <t>Mr Muscle</t>
  </si>
  <si>
    <t>Drenfix Drain Cleaner</t>
  </si>
  <si>
    <t>Drenfix</t>
  </si>
  <si>
    <t>CIF Creams Cleaner Lemon</t>
  </si>
  <si>
    <t>CIF</t>
  </si>
  <si>
    <t>Sparkle Disinfectant Glass Cleaner Refill</t>
  </si>
  <si>
    <t>Glito Glass Cleaner</t>
  </si>
  <si>
    <t>CIF Sprays Cleaner Oven &amp; Grill</t>
  </si>
  <si>
    <t>435 ml</t>
  </si>
  <si>
    <t>CIF Creams Cleaner Original</t>
  </si>
  <si>
    <t>Sparkle Disinfectant Glass Cleaner</t>
  </si>
  <si>
    <t>CIF Sprays Cleaner LimeScale</t>
  </si>
  <si>
    <t>Cif Multipurpose Cream Cleaner Pink Flower</t>
  </si>
  <si>
    <t>Chamak Dhamak Shining Powder</t>
  </si>
  <si>
    <t>Chamak Dhamak</t>
  </si>
  <si>
    <t>CIF Sprays Cleaner Stainless Steel</t>
  </si>
  <si>
    <t>Pidilite WD-40 Multiple Maintenance Spray</t>
  </si>
  <si>
    <t>Pidilite</t>
  </si>
  <si>
    <t>Vim Dishwash Bar</t>
  </si>
  <si>
    <t>Vim</t>
  </si>
  <si>
    <t>3x200 gm</t>
  </si>
  <si>
    <t>Specials</t>
  </si>
  <si>
    <t>Reflect Lemon Power Dishwash Round Bar</t>
  </si>
  <si>
    <t>Reflect</t>
  </si>
  <si>
    <t>Vim Dishwash Liquid Gel - Lemon</t>
  </si>
  <si>
    <t>900 ml</t>
  </si>
  <si>
    <t>Reflect Super Lemon Power Concentrated Gel</t>
  </si>
  <si>
    <t>Vim Dishwash Liquid Gel Can - Lemon</t>
  </si>
  <si>
    <t>Exo Ant Bacterial Round Dish Wash Bar</t>
  </si>
  <si>
    <t>Exo</t>
  </si>
  <si>
    <t>Home Kitchen</t>
  </si>
  <si>
    <t>2x700 gm</t>
  </si>
  <si>
    <t>Vim Dishwash Bar Anti Smell With Pudina</t>
  </si>
  <si>
    <t>Reflect Dishwash Liquid Bottle</t>
  </si>
  <si>
    <t>Reflect Jugmug Metal Shining Powder</t>
  </si>
  <si>
    <t>Pril Lime Liquid</t>
  </si>
  <si>
    <t>Pril</t>
  </si>
  <si>
    <t>Vim Anti Bac With Neem Dishwash Bar</t>
  </si>
  <si>
    <t>VIM</t>
  </si>
  <si>
    <t>115 gm</t>
  </si>
  <si>
    <t>Patanjali Super Dishwash Bar</t>
  </si>
  <si>
    <t>Giffy Lemon &amp; Active Salt Dish Wash Gel</t>
  </si>
  <si>
    <t>Giffy</t>
  </si>
  <si>
    <t>Gala Kitchen Sponge Wipe</t>
  </si>
  <si>
    <t>Gala</t>
  </si>
  <si>
    <t>Pack of 5</t>
  </si>
  <si>
    <t>Cleaning Tools</t>
  </si>
  <si>
    <t>Pril Dishwash Bar</t>
  </si>
  <si>
    <t>3x360 gm</t>
  </si>
  <si>
    <t>Scotch Brite Steel Scrubber</t>
  </si>
  <si>
    <t>Scotch-Brite</t>
  </si>
  <si>
    <t>Pack of 3</t>
  </si>
  <si>
    <t>Gala Super Scrub</t>
  </si>
  <si>
    <t>Pack of 2</t>
  </si>
  <si>
    <t>Glito Liquid Dish Wash Lemon Frgn</t>
  </si>
  <si>
    <t>Pril Perfect Tamarind Dishwash Liquid</t>
  </si>
  <si>
    <t>Finish Dishwasher Powerball Super Charged</t>
  </si>
  <si>
    <t>Finish</t>
  </si>
  <si>
    <t>24 Tablets</t>
  </si>
  <si>
    <t>Giffy Concentrated Dish Wash Gel</t>
  </si>
  <si>
    <t>Pidilite Wd-40 Multiple Maintenance Spray</t>
  </si>
  <si>
    <t>63.8 gm</t>
  </si>
  <si>
    <t>Hit For Hidden Cockroaches</t>
  </si>
  <si>
    <t>Hit</t>
  </si>
  <si>
    <t>625 ml</t>
  </si>
  <si>
    <t>Freshener</t>
  </si>
  <si>
    <t>400 ml</t>
  </si>
  <si>
    <t>Hit Spray Mosquitoes and Flies</t>
  </si>
  <si>
    <t>Good Knight Power Activ + Refill</t>
  </si>
  <si>
    <t>Good Knight</t>
  </si>
  <si>
    <t>45 ml</t>
  </si>
  <si>
    <t>2x45 ml</t>
  </si>
  <si>
    <t>4x45 ml</t>
  </si>
  <si>
    <t>Good knight Gold Flash Twin Pack</t>
  </si>
  <si>
    <t>Good knight</t>
  </si>
  <si>
    <t>Odonil Air Freshener Multi Piece Pack</t>
  </si>
  <si>
    <t>Odonil</t>
  </si>
  <si>
    <t>4x48 gm</t>
  </si>
  <si>
    <t>4x72 gm</t>
  </si>
  <si>
    <t>Hit Spray Flying Insect Killer - Lime Fragrance</t>
  </si>
  <si>
    <t>Hit Anti-Roach Gel</t>
  </si>
  <si>
    <t>All Out Ultra Day &amp; Night Protection - Refill</t>
  </si>
  <si>
    <t>All Out</t>
  </si>
  <si>
    <t>6x45 ml</t>
  </si>
  <si>
    <t>Mangalam Campure Camphor Cone - Original</t>
  </si>
  <si>
    <t>Mangalam</t>
  </si>
  <si>
    <t>Godrej Aer Bathroom Fragrance Berry Rush Pocket</t>
  </si>
  <si>
    <t>Good knight Gold Flash Liquid Vapouriser Lavender</t>
  </si>
  <si>
    <t>Good Knight Gold Flash (1 Machine + 2 Refills x 45 ml)</t>
  </si>
  <si>
    <t>1 Unit</t>
  </si>
  <si>
    <t>D Homes Rechargeable Mosquito Racket With Torch</t>
  </si>
  <si>
    <t>DHomes</t>
  </si>
  <si>
    <t>Godrej Aer Bathroom Fragrance Sea Breeze Pocket</t>
  </si>
  <si>
    <t>Rechargeable Mosquito Racket</t>
  </si>
  <si>
    <t>D Homes</t>
  </si>
  <si>
    <t>Godrej Aer Bathroom Fragrance Fresh Blossom Pocket</t>
  </si>
  <si>
    <t>Godrej Aer Spray - Cool Surf Blue</t>
  </si>
  <si>
    <t>Godrej Aer</t>
  </si>
  <si>
    <t>220 ml</t>
  </si>
  <si>
    <t>Godrej Aer Morning Spray</t>
  </si>
  <si>
    <t>Nippo Rechargeable Mosquito Bat</t>
  </si>
  <si>
    <t>Nippo</t>
  </si>
  <si>
    <t>Godrej HIT Anti Mosquito Racquet</t>
  </si>
  <si>
    <t>Everfresh Round Sanicubes Air Freshener</t>
  </si>
  <si>
    <t>Everfresh</t>
  </si>
  <si>
    <t>Meadows Air Freshener Citrus Fresh</t>
  </si>
  <si>
    <t>Meadows</t>
  </si>
  <si>
    <t>Odonil Blissful Citrus Air Freshener Zipper</t>
  </si>
  <si>
    <t>Godrej Aer Bathroom Fragrance Lavender Bloom Pocket</t>
  </si>
  <si>
    <t>Winall Naphthalene Balls</t>
  </si>
  <si>
    <t>Winall</t>
  </si>
  <si>
    <t>Everfresh Napthalene Balls</t>
  </si>
  <si>
    <t>Odonil Lavender Mist Room Freshener</t>
  </si>
  <si>
    <t>Odonil Joyful Lavender Air Freshener Zipper</t>
  </si>
  <si>
    <t>Mangalam Campure Camphor Cone - Sandalwood</t>
  </si>
  <si>
    <t>Good knight Gold Flash</t>
  </si>
  <si>
    <t>Meadows Air Freshener Jasmine Glow</t>
  </si>
  <si>
    <t>All Out 1 Machine + 2 Refills</t>
  </si>
  <si>
    <t>Ambi Pur Lavender Bouquet Air Freshener Spray</t>
  </si>
  <si>
    <t>Ambi Pur</t>
  </si>
  <si>
    <t>Mortein 2 In 1 Insect Killer</t>
  </si>
  <si>
    <t>Mortein</t>
  </si>
  <si>
    <t>Odonil Soulful Jasmine Air Freshener</t>
  </si>
  <si>
    <t>Godrej Aer Bathroom Fragrance Pocket</t>
  </si>
  <si>
    <t>3x10 gm</t>
  </si>
  <si>
    <t>Godrej Aer Twist Cool Car Fragrance</t>
  </si>
  <si>
    <t>Mangalam Campure Camphor Cone - Lavender</t>
  </si>
  <si>
    <t>Mangalam Campure Camphor Cone - Jasmine</t>
  </si>
  <si>
    <t>Good Knight Gold Flash Machine &amp; Refill</t>
  </si>
  <si>
    <t>Godrej Aer Power Pocket Floral Delight</t>
  </si>
  <si>
    <t>Godrej Aer Relax Aroma Effects Spray</t>
  </si>
  <si>
    <t>Aer</t>
  </si>
  <si>
    <t>Winall Premium Sanicubes</t>
  </si>
  <si>
    <t>Mangalam Campure Camphor Cone - Rose</t>
  </si>
  <si>
    <t>Khatnil</t>
  </si>
  <si>
    <t>Odonil Jasmine Room Freshener</t>
  </si>
  <si>
    <t>Winall French Lavender Air Freshener</t>
  </si>
  <si>
    <t>Godrej Aer Alive Aroma Effects Spray</t>
  </si>
  <si>
    <t>Odomos Naturals Non-Sticky Mosquito Repellent Cream</t>
  </si>
  <si>
    <t>Odomos</t>
  </si>
  <si>
    <t>Meadows Air Freshener Lavender Blossom</t>
  </si>
  <si>
    <t>Good Knight Fabric Roll On</t>
  </si>
  <si>
    <t>8 ml</t>
  </si>
  <si>
    <t>Odonil Scintillating Rose Zipper</t>
  </si>
  <si>
    <t>Godrej Aer Passion Aroma Effects Spray</t>
  </si>
  <si>
    <t>240 ml</t>
  </si>
  <si>
    <t>Mangalam Campure Camphor Cone - Bhimseni</t>
  </si>
  <si>
    <t>Campure</t>
  </si>
  <si>
    <t>Winall Jasmine Bliss Air Freshener</t>
  </si>
  <si>
    <t>Ambi Pur Sweet Berries Air Freshener Spray</t>
  </si>
  <si>
    <t>Good knight Gold Flash Liquid Vapouriser Lavender (Machine 1U+Refill 45ml)</t>
  </si>
  <si>
    <t>Winall Bouquet Fresh Air Freshener</t>
  </si>
  <si>
    <t>Meadows Air Freshener Rose Wonder</t>
  </si>
  <si>
    <t>Winall Exotic Rose Air Freshener</t>
  </si>
  <si>
    <t>Meadows Rose Wonder Air Freshener</t>
  </si>
  <si>
    <t>Absorbia Moisture Absorber Charcoal</t>
  </si>
  <si>
    <t>Absorbia</t>
  </si>
  <si>
    <t>Original Laxmanrekhaa Chalks</t>
  </si>
  <si>
    <t>Laxmanrekhaa</t>
  </si>
  <si>
    <t>Lovin Luxury Air Freshener Lemon</t>
  </si>
  <si>
    <t>Lovin</t>
  </si>
  <si>
    <t>Lovin Air Freshener SandalLovin Luxury Air Freshener Sandalwood</t>
  </si>
  <si>
    <t>Godrej Aer Matic Automatic Air Freshener - Violet Valley Bloom</t>
  </si>
  <si>
    <t>Good Knight Fabric Roll-On Mosquito Repellent Mild Bloom</t>
  </si>
  <si>
    <t>Goodknight</t>
  </si>
  <si>
    <t>Ambi Pur Room Fresh Gel - Love Bouquet</t>
  </si>
  <si>
    <t>Ambi Pur Room Fresh Gel - Relax &amp; Unwind</t>
  </si>
  <si>
    <t>Mortein Cockroach Killer Spray</t>
  </si>
  <si>
    <t>425 ml</t>
  </si>
  <si>
    <t>Mortein Mosquito Killer Spray</t>
  </si>
  <si>
    <t>Cortina 3 Seater Jacquard Sofa Cover (185-230 cm) Brown</t>
  </si>
  <si>
    <t>Cortina</t>
  </si>
  <si>
    <t>Furniture</t>
  </si>
  <si>
    <t>Cortina 3 Seater Jacquard Sofa Cover (185-230 cm) Navy Blue</t>
  </si>
  <si>
    <t>Navy Blue</t>
  </si>
  <si>
    <t>MHF Sofa Slip Cover Cloud Coffee - Coffee</t>
  </si>
  <si>
    <t>Manish Handloom</t>
  </si>
  <si>
    <t>Pack of 6</t>
  </si>
  <si>
    <t>MHF Sofa Slip Cover Cloud Aqua - Aqua</t>
  </si>
  <si>
    <t>MHF Sofa Slip Cover Jazz 06 - Gold Maroon</t>
  </si>
  <si>
    <t>Jazz 04</t>
  </si>
  <si>
    <t>MHF Sofa Slip Cover Knitted Net Fabric Denver 02 - Silver</t>
  </si>
  <si>
    <t>MHF Sofa Slip Cover Knitted Net Fabric Cotton Embose 14 - Beige</t>
  </si>
  <si>
    <t>MHF Sofa Slip Cover Cloud Navy Blue - Navy Blue</t>
  </si>
  <si>
    <t>MHF Sofa Slip Cover Knitted Net Fabric Pile Border 01 - Multicolour</t>
  </si>
  <si>
    <t>Cortina 1 Seater Jacquard Sofa Cover (90-145 cm) Navy Blue</t>
  </si>
  <si>
    <t>MHF Sofa Slip Cover Knitted Net Fabric Cotton Embose 11 - Beige</t>
  </si>
  <si>
    <t>Cortina 2 Seater Jacquard Sofa Cover (145-185 cm) Beige</t>
  </si>
  <si>
    <t>Beige</t>
  </si>
  <si>
    <t>Cortina 2 Seater Jacquard Sofa Cover (145-185 cm) Brown</t>
  </si>
  <si>
    <t>MHF Sofa Slip Cover Knitted Net Fabric Galaxy 05 - White</t>
  </si>
  <si>
    <t>Cortina Elastic Chair Cover - Jacquard</t>
  </si>
  <si>
    <t>Maroon</t>
  </si>
  <si>
    <t>Chair Cushion Pad</t>
  </si>
  <si>
    <t>Nilkamal Route Folding Storage Ottoman</t>
  </si>
  <si>
    <t>Nilkamal</t>
  </si>
  <si>
    <t>Nilkamal Church Folding Storage Ottoman</t>
  </si>
  <si>
    <t>Shares Vireo Silver Look Wall Clock</t>
  </si>
  <si>
    <t>Shades</t>
  </si>
  <si>
    <t>Shades Vireo Mandala Wall Clock</t>
  </si>
  <si>
    <t>Shades Vireo Abstract Wall Clock</t>
  </si>
  <si>
    <t>Shades Vireo Wooden Tiles Wall Clock</t>
  </si>
  <si>
    <t>Shares Vireo White Rabbit Wall Clock</t>
  </si>
  <si>
    <t>Shades Wooden Step Wall Clock</t>
  </si>
  <si>
    <t>Shades Track Wall Clock - Yellow</t>
  </si>
  <si>
    <t>Shades Wall Clock - Grey &amp; Black</t>
  </si>
  <si>
    <t>Shades Blue Shine Wall Clock</t>
  </si>
  <si>
    <t>Shades Roman Bearing Wall Clock</t>
  </si>
  <si>
    <t>Shades Number Bearing Wall Clock</t>
  </si>
  <si>
    <t>Shades Pink Parrot Mukut Table Runner - 30x182 cm</t>
  </si>
  <si>
    <t>Nilkamal Freedom Mini Shoe Cabinet</t>
  </si>
  <si>
    <t>Dettol Disinfectant Multi-Use Hygiene Liquid</t>
  </si>
  <si>
    <t>Disinfectants</t>
  </si>
  <si>
    <t>Savlon Surface Disinfectant Spray</t>
  </si>
  <si>
    <t>Savlon</t>
  </si>
  <si>
    <t>Dettol Disinfectant Spray Spring Blossom</t>
  </si>
  <si>
    <t>Philips UV-C Disinfection System</t>
  </si>
  <si>
    <t>Philips</t>
  </si>
  <si>
    <t>Asahi Kasei Premium Cling Film Wrap</t>
  </si>
  <si>
    <t>Asahi Kasei</t>
  </si>
  <si>
    <t>22 cm x 20 M</t>
  </si>
  <si>
    <t>Asahi Kasei Aluminium Frying Pan Foil</t>
  </si>
  <si>
    <t>30 cm x 3 M</t>
  </si>
  <si>
    <t>Asahi Kasei Zipper Bag Large - 27x28 cm</t>
  </si>
  <si>
    <t>15 U</t>
  </si>
  <si>
    <t>Asahi Kasei Cooking Sheet Baking Paper</t>
  </si>
  <si>
    <t>30 cm x 5 M</t>
  </si>
  <si>
    <t>Hindalco Freshwrapp Aluminium Foil</t>
  </si>
  <si>
    <t>Hindalco Freshwrapp</t>
  </si>
  <si>
    <t>72 mtr</t>
  </si>
  <si>
    <t>Tissue Paper</t>
  </si>
  <si>
    <t>6 mtr</t>
  </si>
  <si>
    <t>Hindalco Superwrap Standard Aluminium Foil</t>
  </si>
  <si>
    <t>Superwrap</t>
  </si>
  <si>
    <t>30 cm x 20 metres</t>
  </si>
  <si>
    <t>Asahi Kasei Zipper Bag Medium - 18x20 cm</t>
  </si>
  <si>
    <t>20 U</t>
  </si>
  <si>
    <t>CleanPlus Face Tissues</t>
  </si>
  <si>
    <t>Cleanplus</t>
  </si>
  <si>
    <t>200 U</t>
  </si>
  <si>
    <t>Origami So Soft Face Tissue</t>
  </si>
  <si>
    <t>Origami</t>
  </si>
  <si>
    <t>Premier Face Tissue Pack</t>
  </si>
  <si>
    <t>Premier</t>
  </si>
  <si>
    <t>100 U</t>
  </si>
  <si>
    <t>Origami So Soft Aloe Vera Wet Wipes</t>
  </si>
  <si>
    <t>25 U</t>
  </si>
  <si>
    <t>Fresh Ones Soft &amp; Silky Facial Tissues</t>
  </si>
  <si>
    <t>Fresh Ones</t>
  </si>
  <si>
    <t>Origami So Soft Wet Wipes Rose</t>
  </si>
  <si>
    <t>25 Wipes</t>
  </si>
  <si>
    <t>Unigreen Compostable Green Garbage Bag 19X21 Inches</t>
  </si>
  <si>
    <t>Blue</t>
  </si>
  <si>
    <t>Green</t>
  </si>
  <si>
    <t>Compostable Blue Garbage Bag - 19x21 cms</t>
  </si>
  <si>
    <t>Earth Mate</t>
  </si>
  <si>
    <t>Earthmate Compostable Garbage Bag 25x30 Inches</t>
  </si>
  <si>
    <t>Earthmate</t>
  </si>
  <si>
    <t>Clean Plus Kitchen Roll 60 Pulls</t>
  </si>
  <si>
    <t>Clean Plus</t>
  </si>
  <si>
    <t>4 Units</t>
  </si>
  <si>
    <t>Origami So Soft Godya 2-In-1 Kitchen Tissue Towel</t>
  </si>
  <si>
    <t>Premier Kitchen Towel</t>
  </si>
  <si>
    <t>Cleanplus Party Tissues</t>
  </si>
  <si>
    <t>Taina Cocktail Napkins</t>
  </si>
  <si>
    <t>Taina</t>
  </si>
  <si>
    <t>Jackson Party Tissue Papers</t>
  </si>
  <si>
    <t>Jackson</t>
  </si>
  <si>
    <t>Royal Cutie Tissue</t>
  </si>
  <si>
    <t>90 U</t>
  </si>
  <si>
    <t>Bio Compostable Green Garbage Bag - 19X21 Inches</t>
  </si>
  <si>
    <t>Pack of 15</t>
  </si>
  <si>
    <t>Origami So Soft 2 Ply Tissues</t>
  </si>
  <si>
    <t>50 U</t>
  </si>
  <si>
    <t>Origami So Soft 1 Ply Plain Napkins (Tissue)</t>
  </si>
  <si>
    <t>Premier Toilet 2 Ply Tissue Roll</t>
  </si>
  <si>
    <t>Origami So Soft 3 Ply Tissue Rolls</t>
  </si>
  <si>
    <t>6 U</t>
  </si>
  <si>
    <t>Taina Eco-Friendly 2 Ply Toilet Roll</t>
  </si>
  <si>
    <t>CleanPlus Toilet Rolls</t>
  </si>
  <si>
    <t>Jackson Toilet Rolls</t>
  </si>
  <si>
    <t>Japa Denim Kitchen Apron - A2-717</t>
  </si>
  <si>
    <t>Japa</t>
  </si>
  <si>
    <t>Kitchen Aprons</t>
  </si>
  <si>
    <t>Japa Denim Kitchen Apron - A3-718</t>
  </si>
  <si>
    <t>Japa Denim Kitchen Apron - A4-719</t>
  </si>
  <si>
    <t>Scotch-Brite Scrub Net Sponge</t>
  </si>
  <si>
    <t>Scotch Brite</t>
  </si>
  <si>
    <t>Naag Brand 505 Grass Broom</t>
  </si>
  <si>
    <t>Naag</t>
  </si>
  <si>
    <t>Gala No-Dust Plastic Broom</t>
  </si>
  <si>
    <t>Gala Kingkong Grass Broom</t>
  </si>
  <si>
    <t>Gala Chandra Kharata Broom</t>
  </si>
  <si>
    <t>Gala No Dust Broom XL</t>
  </si>
  <si>
    <t>Scotch Brite No Dust Broom</t>
  </si>
  <si>
    <t>Spotzero Zero Dust Broom XL</t>
  </si>
  <si>
    <t>Spotzero</t>
  </si>
  <si>
    <t>Gala Dust Pan - Medium</t>
  </si>
  <si>
    <t>Gala Laxmi Grass Broom</t>
  </si>
  <si>
    <t>Gala Extendable No Dust Broom 2 in 1</t>
  </si>
  <si>
    <t>Gala Modular No Dust Broom</t>
  </si>
  <si>
    <t>Joyo Square Pedal Dust-Bin</t>
  </si>
  <si>
    <t>Joyo</t>
  </si>
  <si>
    <t>10 L</t>
  </si>
  <si>
    <t>Dustpan And Brush With Handle</t>
  </si>
  <si>
    <t>Beezy 2 In 1 Soap Dispenser With Sponge Holder</t>
  </si>
  <si>
    <t>Beezy</t>
  </si>
  <si>
    <t>Scotch Brite Scrub Sponge Large</t>
  </si>
  <si>
    <t>Scotch Brite Spone Wipe Saver</t>
  </si>
  <si>
    <t>Scotch Brite Stainless Steel Scrubber + Scrub Pad Combo</t>
  </si>
  <si>
    <t>Gala Swash Stain Steel Scourer - 1 Pc</t>
  </si>
  <si>
    <t>Gala Double Hockey Brush</t>
  </si>
  <si>
    <t>Scotch Brite Silver Spark Scrub Pads</t>
  </si>
  <si>
    <t>Champion 2 In 1 Soap Dispenser With Sponge Holder</t>
  </si>
  <si>
    <t>Scotch Brite Scrub Pad</t>
  </si>
  <si>
    <t>Pack of 10</t>
  </si>
  <si>
    <t>Gala Double Hockey Antibacterial Toilet Brush</t>
  </si>
  <si>
    <t>Gala Cloth Brush</t>
  </si>
  <si>
    <t>Scotch-Brite Jet Scrubber</t>
  </si>
  <si>
    <t>Gala Scrub Pad</t>
  </si>
  <si>
    <t>Gala Toilex Square Brush with Square Container</t>
  </si>
  <si>
    <t>Reflect Sponge Wipe</t>
  </si>
  <si>
    <t>Scotch-Brite Scrub Sponge 10 cm X 6 cm</t>
  </si>
  <si>
    <t>Scotch Brite Power Scrub</t>
  </si>
  <si>
    <t>Scotch Brite Double Side Toilet Brush</t>
  </si>
  <si>
    <t>Gala Stylo Sink Brush</t>
  </si>
  <si>
    <t>Gala Toilean Toilet Brush</t>
  </si>
  <si>
    <t>Gala Toilet &amp; Kitchen Plunger Medium</t>
  </si>
  <si>
    <t>Gala Iron Bull Scrub Pad</t>
  </si>
  <si>
    <t>Force 10 Handle Scrubber</t>
  </si>
  <si>
    <t>Lock &amp; Lock Water Bottle Cleaning Brush - ETM113 (Green)</t>
  </si>
  <si>
    <t>Lock &amp; Lock</t>
  </si>
  <si>
    <t>Orange</t>
  </si>
  <si>
    <t>Gala Chandra Gold Plastic Cloth Brush</t>
  </si>
  <si>
    <t>Gala Scrub Sponge Utensil Cleaner</t>
  </si>
  <si>
    <t>Scotch Brite Premium Toilet Brush</t>
  </si>
  <si>
    <t>Scotch Brite Antibacterial Scrub Pad</t>
  </si>
  <si>
    <t>3 U</t>
  </si>
  <si>
    <t>Scotch Brite Sponge Wipes - 17.5 cm x 15 cm</t>
  </si>
  <si>
    <t>Pack of 4</t>
  </si>
  <si>
    <t>Gala Microfiber Cleaning Cloth</t>
  </si>
  <si>
    <t>Kitchen Napkin Pink 240 GSM - 45x45 cm</t>
  </si>
  <si>
    <t>Athom Trendz</t>
  </si>
  <si>
    <t>Pink</t>
  </si>
  <si>
    <t>Scotch Brite Sponge Wipe</t>
  </si>
  <si>
    <t>MST Big Floor Duster</t>
  </si>
  <si>
    <t>MST</t>
  </si>
  <si>
    <t>Gala Sponge Wipe Set</t>
  </si>
  <si>
    <t>Scotch-Brite Sponge Wipe 20 cm X 17.5 cm</t>
  </si>
  <si>
    <t>MST Duster Monochex Set - Maroon</t>
  </si>
  <si>
    <t>Red</t>
  </si>
  <si>
    <t>Glass Cloth Towel White 220 GSM - 58x58 cm</t>
  </si>
  <si>
    <t>Gala Advanced Floor Cloth</t>
  </si>
  <si>
    <t>2 Units</t>
  </si>
  <si>
    <t>Scotch Brite Floor Cleaning Cloth Pocha - 48x53 cm</t>
  </si>
  <si>
    <t>Gala Actifiber Sponge Cloth</t>
  </si>
  <si>
    <t>3 Pcs</t>
  </si>
  <si>
    <t>Gala Microfiber Multipurpose Cloth</t>
  </si>
  <si>
    <t>Scotch Brite Microfiber Kitchen Wipe</t>
  </si>
  <si>
    <t>1 Wipe</t>
  </si>
  <si>
    <t>Handy Plus Household Gloves</t>
  </si>
  <si>
    <t>Flocklined Household Gloves</t>
  </si>
  <si>
    <t>Gala Quick Spin Mop</t>
  </si>
  <si>
    <t>Gala Double Lip Bathroom Wiper</t>
  </si>
  <si>
    <t>Gala Deck Mop With Handle</t>
  </si>
  <si>
    <t>Gala Turbo Spin Mop Set</t>
  </si>
  <si>
    <t>Gala Microfiber Twist Mop</t>
  </si>
  <si>
    <t>Gala Ezee Squeezee</t>
  </si>
  <si>
    <t>Gala Clip N Fit Cotton Mop</t>
  </si>
  <si>
    <t>Scotch Brite Floor Squeegee</t>
  </si>
  <si>
    <t>Gala Spin Mop Rod Spare Rod</t>
  </si>
  <si>
    <t>D Homes Mop Pad Refill</t>
  </si>
  <si>
    <t>Scotch Brite Cotton Handle Mop</t>
  </si>
  <si>
    <t>Gala High Quality Quick-Spin Mop Refill</t>
  </si>
  <si>
    <t>Scotch-Brite Bathroom Squeegee - 99 cm X 30 cm</t>
  </si>
  <si>
    <t>Gala Clip N Fit Mop Refill</t>
  </si>
  <si>
    <t>Gala Power Mop Refill</t>
  </si>
  <si>
    <t>Scotch Brite Butterfly Mop</t>
  </si>
  <si>
    <t>DHomes Aqua Easy Clean Mop &amp; Bucket Set - Assorted</t>
  </si>
  <si>
    <t>Eureka Super Clean Vacuum Cleaner</t>
  </si>
  <si>
    <t>800 W</t>
  </si>
  <si>
    <t>Home Appliances</t>
  </si>
  <si>
    <t>Pigeon Handy Chopper Pro Mini - 400 ml</t>
  </si>
  <si>
    <t>Pigeon</t>
  </si>
  <si>
    <t>Sealing Clip Bag</t>
  </si>
  <si>
    <t>12 U</t>
  </si>
  <si>
    <t>Dr.WaterR Stainless Steel Milk Frother</t>
  </si>
  <si>
    <t>Dr.WaterR</t>
  </si>
  <si>
    <t>Pigeon Stainless Steel Knife Set</t>
  </si>
  <si>
    <t>Paras Stainless Steel Flexi 2 Layer Lunch Box - Assorted</t>
  </si>
  <si>
    <t>Stainless Steel Champ Fridge Bottle - 1000 ml</t>
  </si>
  <si>
    <t>Anjali Stainless Steel Gas Lighter Dura</t>
  </si>
  <si>
    <t>Anjali</t>
  </si>
  <si>
    <t>DHomes Multi Tool Set - 6 Pieces</t>
  </si>
  <si>
    <t>Stainless Steel Tea Strainer</t>
  </si>
  <si>
    <t>Wonderchef Classic String Chopper</t>
  </si>
  <si>
    <t>Wonderchef</t>
  </si>
  <si>
    <t>Anjali Tadkavati Wire Handle No. 5</t>
  </si>
  <si>
    <t>Stainless Steel Masala Spice Box</t>
  </si>
  <si>
    <t>Anjali Gas Round Trolley - Super</t>
  </si>
  <si>
    <t>Joyo Oil Can - Blue</t>
  </si>
  <si>
    <t>Joyo Plastics</t>
  </si>
  <si>
    <t>Wonderchef Nutri-Blend Black</t>
  </si>
  <si>
    <t>400 W</t>
  </si>
  <si>
    <t>Anjali Kitchenware Utility Set Super</t>
  </si>
  <si>
    <t>Joyo Chop-N-Store Cutting Board With Tray &amp; Strainer - Green</t>
  </si>
  <si>
    <t>Pigeon Handy Chopper - Value Pack</t>
  </si>
  <si>
    <t>Dhomes Scissor Set (Jinda)</t>
  </si>
  <si>
    <t>2 Pcs</t>
  </si>
  <si>
    <t>Stainless Steel Grill Jali With Wooden Handle</t>
  </si>
  <si>
    <t>Ambition Stainless Steel Push &amp; Chop Chopper</t>
  </si>
  <si>
    <t>Beezy Gas Lighter Peeler &amp; Knife</t>
  </si>
  <si>
    <t>Prestige Kitchenware Utility Set</t>
  </si>
  <si>
    <t>Prestige</t>
  </si>
  <si>
    <t>Stainless Steel Cloth Clip</t>
  </si>
  <si>
    <t>Om White Polpat (Roti Roller / Chakla)</t>
  </si>
  <si>
    <t>Stainless Steel Round Potato Masher With Wooden Handle</t>
  </si>
  <si>
    <t>Nova Stainless Steel Baby Spoon Set</t>
  </si>
  <si>
    <t>Stainless Steel Pav Bhaji Plate - Oval Shape</t>
  </si>
  <si>
    <t>Anjali Stainless Steel Gas Trolley</t>
  </si>
  <si>
    <t>Steel Royal Foody Lunch Box Set</t>
  </si>
  <si>
    <t>Anjali Manual Hand Juicer Ras Dhara</t>
  </si>
  <si>
    <t>Veer Stainless Steel Bidding Tope Set</t>
  </si>
  <si>
    <t>D Homes 10 Pieces Egg Saver Box - Assorted</t>
  </si>
  <si>
    <t>Measuring Cup Set - Multicolour</t>
  </si>
  <si>
    <t>Set of 6</t>
  </si>
  <si>
    <t>Anjali Kitchen Express Gripper With 12 Jalis</t>
  </si>
  <si>
    <t>Joyo Knit Basket with Jali - Light Brown</t>
  </si>
  <si>
    <t>Set Of 3</t>
  </si>
  <si>
    <t>Stainless Steel Round Table Ring</t>
  </si>
  <si>
    <t>DLS</t>
  </si>
  <si>
    <t>Anjali Knife &amp; Peeler Set (3 Knives + 1 Peeler)</t>
  </si>
  <si>
    <t>Anjali Coconut Scraper - Sleekmate</t>
  </si>
  <si>
    <t>Gokul Stainless Steel Fancy Water Jug</t>
  </si>
  <si>
    <t>Gokul</t>
  </si>
  <si>
    <t>1.5 Litres</t>
  </si>
  <si>
    <t>Aluminium Cake Baking Mould - Assorted Shapes</t>
  </si>
  <si>
    <t>Joyo Cooking Oil Dispenser</t>
  </si>
  <si>
    <t>Stainless Steel Serving Tong (Chimata)</t>
  </si>
  <si>
    <t>Stainless Steel Damru Glass - 320 ml : 3 Pieces</t>
  </si>
  <si>
    <t>Aluminium Lemon Squeezer</t>
  </si>
  <si>
    <t>Anjali Fantastique Deluxe Vegetable Cutter</t>
  </si>
  <si>
    <t>Dhomes Scissor Set (Xinyi)</t>
  </si>
  <si>
    <t>Stainless Steel Lifter (Pakkad)</t>
  </si>
  <si>
    <t>Crystal Cut Peel &amp; Slice (Value Pack)</t>
  </si>
  <si>
    <t>Crystal</t>
  </si>
  <si>
    <t>Nova Stainless Steel Baby Fork Set</t>
  </si>
  <si>
    <t>Stainless Steel Juice Strainer</t>
  </si>
  <si>
    <t>Godrej Cartini Knife Set - Assorted</t>
  </si>
  <si>
    <t>Om Wooden Teak Punjabi Belan</t>
  </si>
  <si>
    <t>Boss Apexx B125 Hand Blender</t>
  </si>
  <si>
    <t>Boss</t>
  </si>
  <si>
    <t>125 W</t>
  </si>
  <si>
    <t>Crystal Stainless Steel Pizza Cutter</t>
  </si>
  <si>
    <t>Stainless Steel Serving Mukta Bowl</t>
  </si>
  <si>
    <t>Anjali Cut &amp; Wash Chopping Board - Deluxe</t>
  </si>
  <si>
    <t>Anjali Pizza Cutter</t>
  </si>
  <si>
    <t>Anjali Coconut Scraper - Premier</t>
  </si>
  <si>
    <t>Candy Plastic Ice Tray</t>
  </si>
  <si>
    <t>Unknown Product</t>
  </si>
  <si>
    <t>Anjali Juicy Lemon Squeezer With Opener</t>
  </si>
  <si>
    <t>Wonderchef Egg Boiler</t>
  </si>
  <si>
    <t>350 W</t>
  </si>
  <si>
    <t>Eureka Aquasure Cartridge - 4000 Litres</t>
  </si>
  <si>
    <t>Water Purifiers &amp; Accessories</t>
  </si>
  <si>
    <t>Stainless Steel Gas Round Trolley</t>
  </si>
  <si>
    <t>Beezy Oil Pump - Assorted</t>
  </si>
  <si>
    <t>Scotch Multi-purpose Scissors</t>
  </si>
  <si>
    <t>Beezy Aluminium Puri Press No.5</t>
  </si>
  <si>
    <t>Dr. WaterR Stainless Steel Tumbler With Straw</t>
  </si>
  <si>
    <t>Dr. WaterR</t>
  </si>
  <si>
    <t>Dr. WaterR Stainless Steel Straw With Cleaning Brush Set</t>
  </si>
  <si>
    <t>Beezy Stainless Steel Push Chopper</t>
  </si>
  <si>
    <t>Joyo Better Home Homio Kitchen Basket</t>
  </si>
  <si>
    <t>Joyo Knit Masala Box - Sky Dark Grey</t>
  </si>
  <si>
    <t>Joyo Knit Masala Box - Brown</t>
  </si>
  <si>
    <t>Joyo Fridge Storage Tray</t>
  </si>
  <si>
    <t>Command Medium Designer Hooks</t>
  </si>
  <si>
    <t>Command</t>
  </si>
  <si>
    <t>Command Micro Hooks</t>
  </si>
  <si>
    <t>Command Clear DacorClips</t>
  </si>
  <si>
    <t>20 Pcs</t>
  </si>
  <si>
    <t>Command Small Wire Hooks</t>
  </si>
  <si>
    <t>Joyo Better Home Bucket - Blue</t>
  </si>
  <si>
    <t>Bed &amp; Bath</t>
  </si>
  <si>
    <t>Joyo Better Home Bucket - Grey</t>
  </si>
  <si>
    <t>Joyo Better Home Tuff Patla - Big (Grey)</t>
  </si>
  <si>
    <t>Joyo Knit Step Stool Medium - Dark Brown</t>
  </si>
  <si>
    <t>Bath Mesh Sponge</t>
  </si>
  <si>
    <t>Joyo Better Home Tuff Patla - Big (Ivory)</t>
  </si>
  <si>
    <t>Joyo Ruf-N-Tuf Step Stool - Jumbo - Silver</t>
  </si>
  <si>
    <t>Joyo Better Home Bath Mug - 1100 - Blue</t>
  </si>
  <si>
    <t>Joyo Better Home Basin Tub - Blue</t>
  </si>
  <si>
    <t>Joyo Better Home Bath Mug - 1100 - Grey</t>
  </si>
  <si>
    <t>Joyo Ruf-N-Tuf Step Stool - Jumbo - Ivory</t>
  </si>
  <si>
    <t>Joyo Comfort Step Stool - Small - Ivory</t>
  </si>
  <si>
    <t>Joyo Comfort Step Stool - Small - White</t>
  </si>
  <si>
    <t>Joyo Better Home Basin Tub - Grey</t>
  </si>
  <si>
    <t>Joyo Knit Step Stool Medium - Light Brown</t>
  </si>
  <si>
    <t>Back Bath Mesh</t>
  </si>
  <si>
    <t>Ruchi Printed Plastic Bathroom Set</t>
  </si>
  <si>
    <t>Ruchi</t>
  </si>
  <si>
    <t>5 Pcs</t>
  </si>
  <si>
    <t>Joyo Fantasy Bath Accessory Set</t>
  </si>
  <si>
    <t>Trident Comfort Living Double Bedsheet NICGR 120 TC</t>
  </si>
  <si>
    <t>Trident</t>
  </si>
  <si>
    <t>Nicolas Green</t>
  </si>
  <si>
    <t>Trident Comfort Living Double Bedsheet NICBR 120 TC</t>
  </si>
  <si>
    <t>Nicolas Brown</t>
  </si>
  <si>
    <t>Trident Comfort Living Double Bedsheet BOSBR 120 TC</t>
  </si>
  <si>
    <t>Boston Brick</t>
  </si>
  <si>
    <t>Trident Comfort Living Double Bedsheet BOSTE 120 TC</t>
  </si>
  <si>
    <t>Boston Teal</t>
  </si>
  <si>
    <t>Trident Comfort Living Double Bedsheet CHABR 120 TC</t>
  </si>
  <si>
    <t>Charles Brown</t>
  </si>
  <si>
    <t>Trident Comfort Living Double Bedsheet CHAPE 120 TC</t>
  </si>
  <si>
    <t>Charles Peach</t>
  </si>
  <si>
    <t>Trident Comfort Living Double Bedsheet ZULBE 120 TC</t>
  </si>
  <si>
    <t>Jules Beige</t>
  </si>
  <si>
    <t>Trident Comfort Living Double Bedsheet ZULBL 120 TC</t>
  </si>
  <si>
    <t>Jules Blue</t>
  </si>
  <si>
    <t>Trident Comfort Living Double Bedsheet ZOEPI 120 TC</t>
  </si>
  <si>
    <t>Zoe Pink</t>
  </si>
  <si>
    <t>Trident Comfort Living Double Bedsheet ZOEPE 120 TC</t>
  </si>
  <si>
    <t>ZOE Peri</t>
  </si>
  <si>
    <t>Trident Comfort Living Double Bedsheet STRBR 120 TC</t>
  </si>
  <si>
    <t>Strike Brown</t>
  </si>
  <si>
    <t>Trident Comfort Living Double Bedsheet STRMA 120 TC</t>
  </si>
  <si>
    <t>Strike Mauve</t>
  </si>
  <si>
    <t>Raymond Hazel Double Bedsheet - 009890</t>
  </si>
  <si>
    <t>Raymond</t>
  </si>
  <si>
    <t>Raymond Hazel Double Bedsheet - 009892</t>
  </si>
  <si>
    <t>Raymond Hazel Double Bedsheet - 009893</t>
  </si>
  <si>
    <t>Raymond Hazel Double Bedsheet - 009896</t>
  </si>
  <si>
    <t>Raymond Hazel Double Bedsheet - 009902</t>
  </si>
  <si>
    <t>Raymond Hazel Double Bedsheet - 009907</t>
  </si>
  <si>
    <t>Raymond Hazel Double Bedsheet - 009908</t>
  </si>
  <si>
    <t>Raymond Hazel Double Bedsheet - 009912</t>
  </si>
  <si>
    <t>MST Blanket Polar - Maroon</t>
  </si>
  <si>
    <t>Cortina Daffodil Door Curtain - Coffee</t>
  </si>
  <si>
    <t>Cortina Pearl Door Curtain - Coffee</t>
  </si>
  <si>
    <t>Cortina Daffodil Door Curtain - Blue</t>
  </si>
  <si>
    <t>Cortina Pearl Window Curtain - Coffee</t>
  </si>
  <si>
    <t>Cortina Daffodil Door Curtain - Maroon</t>
  </si>
  <si>
    <t>Cortina Crystal Window Curtain - Aqua</t>
  </si>
  <si>
    <t>Cortina Daffodil Window Curtain - Blue</t>
  </si>
  <si>
    <t>Cortina Daffodil Window Curtain - Coffee</t>
  </si>
  <si>
    <t>Cortina Crystal Window Curtain - Coffee</t>
  </si>
  <si>
    <t>Cortina Daffodil Window Curtain - Maroon</t>
  </si>
  <si>
    <t>Cortina Stripe Window Curtain - Blue</t>
  </si>
  <si>
    <t>Cortina Stripe Door Curtain - Coffee</t>
  </si>
  <si>
    <t>Cortina ABST Window Curtain - Blue</t>
  </si>
  <si>
    <t>Cortina Crystal Door Curtain - Maroon</t>
  </si>
  <si>
    <t>Cortina Stripe Door Curtain - Blue</t>
  </si>
  <si>
    <t>Cortina Stripe Window Curtain - Maroon</t>
  </si>
  <si>
    <t>Cortina ABST Door Curtain - Blue</t>
  </si>
  <si>
    <t>Cortina ABST Door Curtain - Maroon</t>
  </si>
  <si>
    <t>Cortina Stripe Door Curtain - Maroon</t>
  </si>
  <si>
    <t>Happy To Hang Home Hangers Red</t>
  </si>
  <si>
    <t>Happy to Hang</t>
  </si>
  <si>
    <t>Classic Hanger Set - Assorted</t>
  </si>
  <si>
    <t>6  U</t>
  </si>
  <si>
    <t>Stainless Steel Hanger</t>
  </si>
  <si>
    <t>Home Utility</t>
  </si>
  <si>
    <t>Happy To Hang Supreme Hangers</t>
  </si>
  <si>
    <t>Happy To Hang Officio Hangers Red &amp; Yellow</t>
  </si>
  <si>
    <t>Happy To Hang</t>
  </si>
  <si>
    <t>All Time Plastic Hanger Set - Assorted (022)</t>
  </si>
  <si>
    <t>All Time Plastic</t>
  </si>
  <si>
    <t>All Time Plastic Hanger Set - Assorted (050)</t>
  </si>
  <si>
    <t>Elegant Weavers Rally Bathmat 38x58 cm - Assorted</t>
  </si>
  <si>
    <t>Elegant Weavers</t>
  </si>
  <si>
    <t>Elegant Weavers Lucky Bathmat - Brown</t>
  </si>
  <si>
    <t>Elegant Weavers Loops Mat - Brown</t>
  </si>
  <si>
    <t>Elegant Weavers Stripe Bathmat - Grey</t>
  </si>
  <si>
    <t>Elegant Weavers Stripe Bathmat - Brown</t>
  </si>
  <si>
    <t>Elegant Weavers Eden Ovel Mat 33x53 cm - Assorted</t>
  </si>
  <si>
    <t>Set of 3</t>
  </si>
  <si>
    <t>Sahil Multipurpose Plastic Mat - 4X6 Feet</t>
  </si>
  <si>
    <t>4 x 6 Feet</t>
  </si>
  <si>
    <t>6 x 6 Feet</t>
  </si>
  <si>
    <t>Elegant Weavers Shine Bathmat - Silver</t>
  </si>
  <si>
    <t>Grey</t>
  </si>
  <si>
    <t>Elegant Weavers Primier Rug Doormat - Black &amp; Grey</t>
  </si>
  <si>
    <t>Brown &amp; Beige</t>
  </si>
  <si>
    <t>Elegant Weavers Croche Mat - Brown</t>
  </si>
  <si>
    <t>Elegant Weavers Marble Bathmat - Black Grey</t>
  </si>
  <si>
    <t>Elegant Weavers Bliss Bathmat - Brown : 40x60 cm</t>
  </si>
  <si>
    <t>Elegant Weavers Celebration Bathmat - Brown</t>
  </si>
  <si>
    <t>Elegant Weavers Croche Mat - Pink</t>
  </si>
  <si>
    <t>Welcome Doormat PVC - Assorted</t>
  </si>
  <si>
    <t>Welcome</t>
  </si>
  <si>
    <t>Recron Zest Fibre White Pillow</t>
  </si>
  <si>
    <t>Recron</t>
  </si>
  <si>
    <t>Recron Zest Fibre White Cushion - 41x41 cm</t>
  </si>
  <si>
    <t>DHomes Travel Neck Pillow - Assorted</t>
  </si>
  <si>
    <t>Memory Pillow Foam - 50x30 cms</t>
  </si>
  <si>
    <t>SC Crochet Cushion Cover - White</t>
  </si>
  <si>
    <t>MHF Cushion Cover Festival 07 - Beige</t>
  </si>
  <si>
    <t>MHF Cushion Cover Rose Gold 02 - Blue Aqua</t>
  </si>
  <si>
    <t>MHF Cushion Cover Rose Gold 04 - Coffee Beige</t>
  </si>
  <si>
    <t>MHF Cushion Cover Rose Gold 03 - Off-White Beige</t>
  </si>
  <si>
    <t>MHF Cushion Cover Festival-05 - Blue Aqua</t>
  </si>
  <si>
    <t>SC Crochet Cushion Cover - Beige</t>
  </si>
  <si>
    <t>MHF Cushion Cover Shield 02 - Purple</t>
  </si>
  <si>
    <t>MHF Cushion Cover Shield 01 - Beige</t>
  </si>
  <si>
    <t>MHF Cushion Cover Festival 01 - Black Greay</t>
  </si>
  <si>
    <t>MHF Cushion Cover Rose Gold 05 - Maroon Beige</t>
  </si>
  <si>
    <t>MHF Cushion Cover Festival 04 - Blue Silver</t>
  </si>
  <si>
    <t>MHF Cushion Cover Festival 03 - Maroon Beige</t>
  </si>
  <si>
    <t>Shades Cushion Cover - Crown Red Colour</t>
  </si>
  <si>
    <t>Shades Cushion Cover - Red &amp; Yellow Patch Work</t>
  </si>
  <si>
    <t>Shades Cushion Cover - Crown Off White Colour</t>
  </si>
  <si>
    <t>Shades Cushion Cover - Lotus Blue Colour</t>
  </si>
  <si>
    <t>Shades Cushion Cover - Mughal Art Yellow Colour</t>
  </si>
  <si>
    <t>Shades Cushion Cover - Mughal Art Beige Colour</t>
  </si>
  <si>
    <t>Shades Cushion Cover - Blue &amp; Green Patch Work</t>
  </si>
  <si>
    <t>Pillow Cover Cotton Beige - 16x24 Inches</t>
  </si>
  <si>
    <t>Pillow Cover Cotton White - 16x24 Inches</t>
  </si>
  <si>
    <t>Pillow Cover Cotton Deep Blue - 16x24 Inches</t>
  </si>
  <si>
    <t>Pillow Cover Cotton Chocolate Brown - 16x24 Inches</t>
  </si>
  <si>
    <t>Pillow Cover Cotton Maroon - 16x24 Inches</t>
  </si>
  <si>
    <t>Pillow Cover Cotton Black - 16x24 Inches</t>
  </si>
  <si>
    <t>Modern Bath Towel Cabana 400 GSM - Brown</t>
  </si>
  <si>
    <t>Modern Terry Towels</t>
  </si>
  <si>
    <t>Purple</t>
  </si>
  <si>
    <t>Modern Bath Towel Solid 380 GSM - Coral</t>
  </si>
  <si>
    <t>Indigo</t>
  </si>
  <si>
    <t>Steel</t>
  </si>
  <si>
    <t>Modern Hand Towel Solid 380 GSM (Coral) 40x60 cm</t>
  </si>
  <si>
    <t>Coral</t>
  </si>
  <si>
    <t>Welspun Bath Towel 450 GSM - Teal</t>
  </si>
  <si>
    <t>Welspun</t>
  </si>
  <si>
    <t>75x150 cm</t>
  </si>
  <si>
    <t>Trident Comfort Living Bath Towel 380 GSM - Tango Tomato</t>
  </si>
  <si>
    <t>Ruby Red</t>
  </si>
  <si>
    <t>Welspun Hand Towel 450 GSM - Teal</t>
  </si>
  <si>
    <t>40x60 cm</t>
  </si>
  <si>
    <t>Welspun Hand Towel 450 GSM - Brown</t>
  </si>
  <si>
    <t>Welspun Bath Towel 450 GSM - Magenta Pink</t>
  </si>
  <si>
    <t>Welspun Bath Towel 450 GSM - Brown</t>
  </si>
  <si>
    <t>Welspun Bath Towel 450 GSM - Cobalt Blue</t>
  </si>
  <si>
    <t>Welspun Hand Towel 450 GSM - Magenta</t>
  </si>
  <si>
    <t>Welspun Hand Towel 450 GSM - Cobalt Blue</t>
  </si>
  <si>
    <t>Welspun Hand Towel 450 GSM - Cream</t>
  </si>
  <si>
    <t>Welspun Bath Towel 450 GSM - Cream</t>
  </si>
  <si>
    <t>Trident CF Hand Towel 380 GSM - Tango Tomato - 40x60 cm</t>
  </si>
  <si>
    <t>Set of 2</t>
  </si>
  <si>
    <t>Disposable Paper Glass - 150 ml</t>
  </si>
  <si>
    <t>Pack of 50</t>
  </si>
  <si>
    <t>Tableware</t>
  </si>
  <si>
    <t>Disposable Paper Plates - 10 inches</t>
  </si>
  <si>
    <t>Disposable Wooden Spoon - 14 cm</t>
  </si>
  <si>
    <t>Pack of 30</t>
  </si>
  <si>
    <t>Disposable Bagasse Paper Plates - 17 cms</t>
  </si>
  <si>
    <t>Disposable Aluminium Foil Container With Lid - 450 ml</t>
  </si>
  <si>
    <t>450 ml</t>
  </si>
  <si>
    <t>Disposable Paper Dona Bowl - 150 ml</t>
  </si>
  <si>
    <t>Disposable Paper Straw - 6 mm</t>
  </si>
  <si>
    <t>Disposable Bagasse Bowl - 180 ml</t>
  </si>
  <si>
    <t>Pack of 25</t>
  </si>
  <si>
    <t>Disposable Wooden Fork - 14 cm</t>
  </si>
  <si>
    <t>Disposable Paper Glass Riple - 250 ml</t>
  </si>
  <si>
    <t>Butterfly Stainless Steel Outer Lid Curve Cooker</t>
  </si>
  <si>
    <t>Butterfly</t>
  </si>
  <si>
    <t>5.5 Litres</t>
  </si>
  <si>
    <t>3 Litres</t>
  </si>
  <si>
    <t>Pigeon Hard Anoised All-In-One Super Pressure Cooker</t>
  </si>
  <si>
    <t>Cookware &amp; Serveware</t>
  </si>
  <si>
    <t>Pigeon Titanium Hard Anodized Pressure Cooker</t>
  </si>
  <si>
    <t>5 Litres</t>
  </si>
  <si>
    <t>Prestige Deluxe Alpha Svachh Stainless Steel Pressure Cooker Handi</t>
  </si>
  <si>
    <t>Surya Intech Pressure Cooker Combo</t>
  </si>
  <si>
    <t>Surya</t>
  </si>
  <si>
    <t>3 Units</t>
  </si>
  <si>
    <t>3 Litres + 2 Litres</t>
  </si>
  <si>
    <t>Prestige Svachh Pressure Cooker Hard Anodized</t>
  </si>
  <si>
    <t>Prestige Deluxe Plus Hard Anodised Pressure Handi Cooker</t>
  </si>
  <si>
    <t>Prestige Popular Aluminium Pressure Cooker</t>
  </si>
  <si>
    <t>Pigeon Favourite Aluminium Pressure Cooker</t>
  </si>
  <si>
    <t>7.5 Litres</t>
  </si>
  <si>
    <t>Prestige Aluminium Popular Cooker</t>
  </si>
  <si>
    <t>2 Litres</t>
  </si>
  <si>
    <t>Hawkins Contura Hard Anodised Pressure Cooker - CB20</t>
  </si>
  <si>
    <t>Hawkins</t>
  </si>
  <si>
    <t>Hawkins Classic Pressure Cooker - CL50</t>
  </si>
  <si>
    <t>4 Litres</t>
  </si>
  <si>
    <t>Prestige Nakshatra Plus Svachh Hard Anodized Handi Cooker</t>
  </si>
  <si>
    <t>Hawkins Contura Black Hard Anodised Cooker CB30 : 3 Litres</t>
  </si>
  <si>
    <t>Prestige Nakshatra Aluminium Inner Lid Pressure Handi</t>
  </si>
  <si>
    <t>Pigeon Storm Non-Stick Induction Base Flat Tawa</t>
  </si>
  <si>
    <t>Stainless Steel Idli Maker with Lid</t>
  </si>
  <si>
    <t>Keyur Kitchenware</t>
  </si>
  <si>
    <t>Uncategorized</t>
  </si>
  <si>
    <t>Anjali Non-Stick Dosa Tawa</t>
  </si>
  <si>
    <t>Veer Stainless Steel Saucepan &amp; Tope Set</t>
  </si>
  <si>
    <t>Prestige Omega Deluxe Granite Dosa Tawa</t>
  </si>
  <si>
    <t>Anjali Uttappa Tawa 4 Cavities</t>
  </si>
  <si>
    <t>Shri &amp; Sam Sauce Pan &amp; Tope Stainless Steel Set</t>
  </si>
  <si>
    <t>Wonderchef Acura Non-stick Cookware Set</t>
  </si>
  <si>
    <t>Nidhi Non-Stick Cookware Set</t>
  </si>
  <si>
    <t>Nidhi</t>
  </si>
  <si>
    <t>Festive Specials</t>
  </si>
  <si>
    <t>Prestige Concave Tava Omega - 280 mm</t>
  </si>
  <si>
    <t>Keyur Kitchenware Mini Multi Kadai With 5 Plates</t>
  </si>
  <si>
    <t>Wonderchef Royal Velvet 24 Cm Fry Pan</t>
  </si>
  <si>
    <t>Prestige Omega Omni Tawa - 275 mm</t>
  </si>
  <si>
    <t>Wonderchef Royal Velvet 24 cm Grill Pan</t>
  </si>
  <si>
    <t>Wonderchef Royal Velvet 28 Cm Dosa Tawa</t>
  </si>
  <si>
    <t>Trupti Non-stick Pizza Pan - 22 cm</t>
  </si>
  <si>
    <t>Trupti</t>
  </si>
  <si>
    <t>Kitchen Essentials Nonstick Handi Set with Stand</t>
  </si>
  <si>
    <t>Wonderchef Orchid 24 cm Fry Pan</t>
  </si>
  <si>
    <t>Borosil Glass Lunch Box Round</t>
  </si>
  <si>
    <t>Borosil</t>
  </si>
  <si>
    <t>Signoraware Compact Lunch Box - Blue</t>
  </si>
  <si>
    <t>Signoraware</t>
  </si>
  <si>
    <t>3 Containers</t>
  </si>
  <si>
    <t>Vaya Tyffyn Lunch Box - Plain - 600 ml</t>
  </si>
  <si>
    <t>Vaya Tyffyn</t>
  </si>
  <si>
    <t>Vaya Tyffyn Lunch Box - Plain - 1 Litre</t>
  </si>
  <si>
    <t>Dr. Copper Water Bottle</t>
  </si>
  <si>
    <t>Dr. Copper</t>
  </si>
  <si>
    <t>1 Litre</t>
  </si>
  <si>
    <t>Cello Sportigo Water Bottle - Assorted Colours</t>
  </si>
  <si>
    <t>Cello</t>
  </si>
  <si>
    <t>Cello H2O Squaremate Water Bottle - Assorted Colours</t>
  </si>
  <si>
    <t>Nayasa Pineapple PET Bottle - Assorted</t>
  </si>
  <si>
    <t>Crystal Stainless Steel Silk Water Bottle</t>
  </si>
  <si>
    <t>Jolly Aqua Cool Water Bottle - Assorted</t>
  </si>
  <si>
    <t>Jolly</t>
  </si>
  <si>
    <t>Nayasa Turtle Plastic Bottle</t>
  </si>
  <si>
    <t>Nayasa</t>
  </si>
  <si>
    <t>Crystal Stainless Steel Cola Water Bottle</t>
  </si>
  <si>
    <t>Ski Gym Shaker Bottle - Assorted</t>
  </si>
  <si>
    <t>Nayasa Glacier Plastic Bottle</t>
  </si>
  <si>
    <t>Cello Diamond Plastic Bottle</t>
  </si>
  <si>
    <t>Lock &amp; Lock Aqua Easy Grip Bottle (1.5 Litres) - KIT059AN</t>
  </si>
  <si>
    <t>Aura Water Bottle - Blue</t>
  </si>
  <si>
    <t>Milton Prism Plastic Bottle - Assorted</t>
  </si>
  <si>
    <t>Milton</t>
  </si>
  <si>
    <t>Milton Thunder Plastic Bottle</t>
  </si>
  <si>
    <t>Aura Water Bottle - Green</t>
  </si>
  <si>
    <t>Cello Venice Plastic Bottle</t>
  </si>
  <si>
    <t>Aura Water Bottle - Grey</t>
  </si>
  <si>
    <t>DHomes Plastic PET Bottle - 1.6 Litres - Red</t>
  </si>
  <si>
    <t>DHomes Plastic PET Bottle - 1.6 Litres - Blue</t>
  </si>
  <si>
    <t>Milton Thermosteel Flask</t>
  </si>
  <si>
    <t>Gokul Stainless Steel Double Wall Tea Cup</t>
  </si>
  <si>
    <t>Paras Hot Meal Casserole - 2.4 Litres</t>
  </si>
  <si>
    <t>Paras</t>
  </si>
  <si>
    <t>Veer Steel Combo Set</t>
  </si>
  <si>
    <t xml:space="preserve"> 6 Pcs</t>
  </si>
  <si>
    <t>Gokul Steel Single Wall Ice-Cream Bowl &amp; Spoon</t>
  </si>
  <si>
    <t>12 Pcs</t>
  </si>
  <si>
    <t>Stainless Steel Tea Time Canister</t>
  </si>
  <si>
    <t>La Opala Opal Novo Pudding Set</t>
  </si>
  <si>
    <t>La Opala</t>
  </si>
  <si>
    <t>7 Pcs</t>
  </si>
  <si>
    <t>Pinnacle Picasso Plastic Inner Steel Insulated Casserole</t>
  </si>
  <si>
    <t>3 L</t>
  </si>
  <si>
    <t>Gokul Stainless Steel Single Wall Fame Tea Cup</t>
  </si>
  <si>
    <t>Sonic Thermo Casserole (1 Litre + 1.5 Litres)</t>
  </si>
  <si>
    <t>2 Unit</t>
  </si>
  <si>
    <t>Gokul Stainless Steel Lotus Flower Bowls &amp; Tray</t>
  </si>
  <si>
    <t>Eco Grace Casserole</t>
  </si>
  <si>
    <t>2.5 L</t>
  </si>
  <si>
    <t>Joyo Kitchen Cutlery Tray - Ivory</t>
  </si>
  <si>
    <t>Olympic Elite Gold Insulated Casserole</t>
  </si>
  <si>
    <t>Trupti Stainless Steel Insulated Casserole</t>
  </si>
  <si>
    <t>2.2 L</t>
  </si>
  <si>
    <t>Wooden Spatula</t>
  </si>
  <si>
    <t>Stainless Steel Spoon</t>
  </si>
  <si>
    <t>Set of 20</t>
  </si>
  <si>
    <t>Anjali Baby Spoon</t>
  </si>
  <si>
    <t>Gokul Stainless Steel Cutlery Holder No.4</t>
  </si>
  <si>
    <t>Anjali Baby Fruit Fork</t>
  </si>
  <si>
    <t>Pigeon ESS Non-Stick Gift Set - Red</t>
  </si>
  <si>
    <t>7 pcs</t>
  </si>
  <si>
    <t>Crystal Non-Stick Cookware Set - CNS 897</t>
  </si>
  <si>
    <t>Wonderchef Milano Set - Red</t>
  </si>
  <si>
    <t>Nidhi Cookware Non-stick Gift Set</t>
  </si>
  <si>
    <t>Veer Stainless Steel Serving Dish Set</t>
  </si>
  <si>
    <t>Stainless Steel Modak Maker with Glass Lid</t>
  </si>
  <si>
    <t>Anjali Fab Non-Stick Granita Gift Set</t>
  </si>
  <si>
    <t>Gokul Stainless Steel Milk Boiler</t>
  </si>
  <si>
    <t>Copper Base Steel Prabhu Chetty Cookware Set</t>
  </si>
  <si>
    <t>Prabhu</t>
  </si>
  <si>
    <t>Wonderchef Non-Stick Burlington Set : 5 Pieces</t>
  </si>
  <si>
    <t>Yera Dotted Glass Tumbler - 215 ml</t>
  </si>
  <si>
    <t>Yera</t>
  </si>
  <si>
    <t>Yera X Series Glass Jar With Lid - 320 ml</t>
  </si>
  <si>
    <t>320 ml</t>
  </si>
  <si>
    <t>Dinesmart Stylon Melamine Dinner Set</t>
  </si>
  <si>
    <t>Dinesmart</t>
  </si>
  <si>
    <t>Yera Glass Tumbler Assorted - 250 ml</t>
  </si>
  <si>
    <t>La Opala W &amp; L English Lavender Dinner Set</t>
  </si>
  <si>
    <t>English Lavender</t>
  </si>
  <si>
    <t>Borosil Radius Glass - 295 ml</t>
  </si>
  <si>
    <t>Yera Lucia Jar Glass Bowls - 245 ml</t>
  </si>
  <si>
    <t>245 ml</t>
  </si>
  <si>
    <t>La Opala W &amp; L Radiant Curve Dinner Set</t>
  </si>
  <si>
    <t>Radiant Curve</t>
  </si>
  <si>
    <t>La Opala Novo Dinner Set</t>
  </si>
  <si>
    <t>La opala</t>
  </si>
  <si>
    <t>10 Pcs</t>
  </si>
  <si>
    <t>La Opala Coffee Cup Set - Assorted</t>
  </si>
  <si>
    <t>Ocean Unity Glass</t>
  </si>
  <si>
    <t>Ocean</t>
  </si>
  <si>
    <t>La Opala Cup &amp; Saucer Set - Assorted : 6 Pieces</t>
  </si>
  <si>
    <t>La Opala Jamaica Coffee Cup Set</t>
  </si>
  <si>
    <t>Pasabahce Pub Pilsner Glass - 320 ml</t>
  </si>
  <si>
    <t>La Opala Coffee Mug Set - Assorted</t>
  </si>
  <si>
    <t>Ocean Glass Plaza</t>
  </si>
  <si>
    <t>La Opala W &amp; L Blissful Green Dinner Set</t>
  </si>
  <si>
    <t>Blissful Green</t>
  </si>
  <si>
    <t>La Opala Jamaican Cup &amp; Saucer Set</t>
  </si>
  <si>
    <t>La Opala Sovrana Cup &amp; Saucer Set</t>
  </si>
  <si>
    <t>La Opala W &amp; L Petite Roses Dinner Set</t>
  </si>
  <si>
    <t>18 Pcs</t>
  </si>
  <si>
    <t>Yera Liva Glass Bowls - 270 ml</t>
  </si>
  <si>
    <t>La Opala Sovrana Coffee Mug Set</t>
  </si>
  <si>
    <t>Yera Glass Polaris Pudding Set</t>
  </si>
  <si>
    <t>Set of 7</t>
  </si>
  <si>
    <t>Yera Glass Andromeda Bowl Set</t>
  </si>
  <si>
    <t>La Opala W &amp; L Trinity Green Dinner Set</t>
  </si>
  <si>
    <t>Trinity Green</t>
  </si>
  <si>
    <t>Treo Rosebell Glass Tumbler Assorted - 250 ml</t>
  </si>
  <si>
    <t>Treo</t>
  </si>
  <si>
    <t>Srithai Handy Tray T300-15 - Victorian</t>
  </si>
  <si>
    <t>Srithai Superware</t>
  </si>
  <si>
    <t>Srithai Handy Tray T300-15 - Oriental Gold</t>
  </si>
  <si>
    <t>Srithai Handy Tray T300-15 - Marbo Stitch</t>
  </si>
  <si>
    <t>Srithai Mixing Bowl B61060-6 - Polka Dot- Red</t>
  </si>
  <si>
    <t>Srithai Mixing Bowl B61060-6 - Polka Dot - Yellow</t>
  </si>
  <si>
    <t>Srithai Mixing Bowl B61060-6 - Diana</t>
  </si>
  <si>
    <t>Srithai Dinner Plate P6161-11 - Queen Diamond</t>
  </si>
  <si>
    <t>Srithai Dinner Plate P6161-11 - Royal Opera</t>
  </si>
  <si>
    <t>Srithai Katori B6548-3.5 - Royal Opera</t>
  </si>
  <si>
    <t>Srithai Katori B6548-3.5 - Queen Diamond</t>
  </si>
  <si>
    <t>Sanjeev Kapoor Florence Water Glass Set - 270 ml : 6 Pieces</t>
  </si>
  <si>
    <t>Sanjeev</t>
  </si>
  <si>
    <t>Sanjeev Kapoor Classic Borosilicate Round Jar - 700 ml</t>
  </si>
  <si>
    <t>Sanjeev Kapoor Chicago Glass Jar Assorted - 600 ml</t>
  </si>
  <si>
    <t>Sanjeev Kapoor Avo Glass Rectangle Dish - 1.6 Litres</t>
  </si>
  <si>
    <t>Sanjeev Kapoor Tendy Round Glass Dish - 1.5 Litres</t>
  </si>
  <si>
    <t>Sanjeev Kapoor Taffy Square Glass Dish - 1.6 Litres</t>
  </si>
  <si>
    <t>Sanjeev Kapoor Paris Crystal Juice Glass - 230 ml</t>
  </si>
  <si>
    <t>Sanjeev Kapoor Paris Crystal Whiskey Glass - 330 ml : 6 Pieces</t>
  </si>
  <si>
    <t>Joyo Kitchen Storewell Container Printed - Assorted</t>
  </si>
  <si>
    <t>Gokul Stainless Steel Ghee Pot Mercury Pot &amp; Spoon</t>
  </si>
  <si>
    <t>Mastercook Malta Square Container Set</t>
  </si>
  <si>
    <t>Set of 5</t>
  </si>
  <si>
    <t>Mastercook Promax Round Container Set</t>
  </si>
  <si>
    <t>Gokul Stainless Steel Tea Time Canister</t>
  </si>
  <si>
    <t>Joyo Spacio Container - 1.5 Litres (Blue)</t>
  </si>
  <si>
    <t>Joyo Fresherware container with box - Blue</t>
  </si>
  <si>
    <t>Signoraware Modular Oval No.3 Container - Blue</t>
  </si>
  <si>
    <t>Lock &amp; Fresh Container - 1.3 Litres</t>
  </si>
  <si>
    <t>1.3 L</t>
  </si>
  <si>
    <t>Dynamic Container Set - Assorted</t>
  </si>
  <si>
    <t>Set of 4</t>
  </si>
  <si>
    <t>Joyo Spacio Container - 1.5 Litres (Pink)</t>
  </si>
  <si>
    <t>Signoraware Steel Tiny Wonder Container - Blue</t>
  </si>
  <si>
    <t>2 Containers</t>
  </si>
  <si>
    <t>Signoraware Stainless Steel Tumbler - Blue</t>
  </si>
  <si>
    <t>Lock &amp; Lock Square Food Container - HPL823</t>
  </si>
  <si>
    <t>870 ml</t>
  </si>
  <si>
    <t>Joyo Food Keeper Container - Polka - Blue</t>
  </si>
  <si>
    <t>Lock &amp; Lock Square Food Container - HPL850</t>
  </si>
  <si>
    <t>420 ml</t>
  </si>
  <si>
    <t>Signoraware Steel Mixing Bowl - Blue</t>
  </si>
  <si>
    <t>Joyo Food Keeper container - Polka - Pink</t>
  </si>
  <si>
    <t>Asian Flora Container Set - Assorted</t>
  </si>
  <si>
    <t>Lock &amp; Lock Round Food Container - HPL933A</t>
  </si>
  <si>
    <t>Lock &amp; Lock Tall Rectangular Food Container - HPL813F</t>
  </si>
  <si>
    <t>1.8 Litres</t>
  </si>
  <si>
    <t>Lock &amp; Lock Round Food Container - HPL932</t>
  </si>
  <si>
    <t>Venus Storage Container 333 - 54 Litres</t>
  </si>
  <si>
    <t>Lock &amp; Lock Square Food Container - HPL854</t>
  </si>
  <si>
    <t>Signoraware Jumbo Easy Flow Container - Assorted</t>
  </si>
  <si>
    <t>1.1 Litre</t>
  </si>
  <si>
    <t>Asian Super Seal Plus Container Set</t>
  </si>
  <si>
    <t>Signoraware Executive Steel Medium Blue Container</t>
  </si>
  <si>
    <t>Lasvegas Multipurpose Container Set</t>
  </si>
  <si>
    <t>Steelo Skippar Plastic Container Set - 250 ml</t>
  </si>
  <si>
    <t>Joyo Butter Box Utility Container</t>
  </si>
  <si>
    <t>Joyo Alfa Container Set - Blue</t>
  </si>
  <si>
    <t>Joyo Alfa Container Set - Violet</t>
  </si>
  <si>
    <t>Surabhi Pure Camphor Container</t>
  </si>
  <si>
    <t>Pooja Needs</t>
  </si>
  <si>
    <t>Kaveri Camphor Pouch</t>
  </si>
  <si>
    <t>Kaveri</t>
  </si>
  <si>
    <t>Mangalam Pure Bhimseni Camphor</t>
  </si>
  <si>
    <t>Kaveri Camphor</t>
  </si>
  <si>
    <t>Cycle Om Shanthi Pure Camphor</t>
  </si>
  <si>
    <t>Cycle</t>
  </si>
  <si>
    <t>52 U</t>
  </si>
  <si>
    <t>Cycle 3 In 1 Pure Agarbathi</t>
  </si>
  <si>
    <t>Cycle 3 In 1</t>
  </si>
  <si>
    <t>265 gm</t>
  </si>
  <si>
    <t>191 U</t>
  </si>
  <si>
    <t>132 gm</t>
  </si>
  <si>
    <t>Mangaldeep Mogra Puja Agarbattis</t>
  </si>
  <si>
    <t>Mangaldeep</t>
  </si>
  <si>
    <t>108 U</t>
  </si>
  <si>
    <t>Mangaldeep Sandalwood Pooja Agarbatti</t>
  </si>
  <si>
    <t>Mangaldeep 4 in 1 Puja Agarbattis</t>
  </si>
  <si>
    <t>Cycle Navin Pure Sambrani</t>
  </si>
  <si>
    <t>Cycle Navin</t>
  </si>
  <si>
    <t>Mangaldeep Rose Pooja Agarbatti</t>
  </si>
  <si>
    <t>Mangaldeep French Lavender Premium Agarbattis</t>
  </si>
  <si>
    <t>106 U</t>
  </si>
  <si>
    <t>Cycle Woods Agarbathi</t>
  </si>
  <si>
    <t>Cycle Woods</t>
  </si>
  <si>
    <t>36 U</t>
  </si>
  <si>
    <t>Hem Soham But Mogra Agarbathi</t>
  </si>
  <si>
    <t>Hem</t>
  </si>
  <si>
    <t>Cycle Durgeshwari Sambrani Dhoop</t>
  </si>
  <si>
    <t>24 U</t>
  </si>
  <si>
    <t>Heritage Chandanam Prayer Sticks</t>
  </si>
  <si>
    <t>Heritage</t>
  </si>
  <si>
    <t>Hem Pama Sandal Incense Sticks</t>
  </si>
  <si>
    <t>Hem Pama</t>
  </si>
  <si>
    <t>235 gm</t>
  </si>
  <si>
    <t>Hem Shubh Kaamana Masala Agarbatti</t>
  </si>
  <si>
    <t>Hem Soham Sandal Agarbathi</t>
  </si>
  <si>
    <t>Hem Soham Champa Agarbathi</t>
  </si>
  <si>
    <t>Laxmi Dhoop</t>
  </si>
  <si>
    <t>8 U</t>
  </si>
  <si>
    <t>Hem Pama Kewda Incense Sticks</t>
  </si>
  <si>
    <t>Mangaldeep Anushri Fresh Florals Puja Agarbattis</t>
  </si>
  <si>
    <t>130 U</t>
  </si>
  <si>
    <t>Nirmal Chandan Agarbatti Muttha Pack</t>
  </si>
  <si>
    <t>Nirmal</t>
  </si>
  <si>
    <t>Nirmal Mogra Agarbatti Muttha Pack</t>
  </si>
  <si>
    <t>Nirmal Champa Agarbatti Muttha Pack</t>
  </si>
  <si>
    <t>Hem Soham Rose Agarbathi</t>
  </si>
  <si>
    <t>Hem Soham 4 In One Agarbatti</t>
  </si>
  <si>
    <t>Mangaldeep Anushri Sweet Florals Puja Agarbattis</t>
  </si>
  <si>
    <t>Shubh Kart Raatrani Agarbatti</t>
  </si>
  <si>
    <t>Shubh Kart</t>
  </si>
  <si>
    <t>Nirmal Lily Agarbatti Muttha Pack</t>
  </si>
  <si>
    <t>Cycle Popular Flavàrz Agarbathi</t>
  </si>
  <si>
    <t>Cycle Popular</t>
  </si>
  <si>
    <t>Pitambari Deepshakti Oil</t>
  </si>
  <si>
    <t>Om Shanthi Parijata Puja Oil</t>
  </si>
  <si>
    <t>Om Shanti</t>
  </si>
  <si>
    <t>Mangalmai Puja Lamp and Diya Oil</t>
  </si>
  <si>
    <t>Mangalmai</t>
  </si>
  <si>
    <t>Om Shanthi Chandanam Pure Puja Oil</t>
  </si>
  <si>
    <t>Om Shanthi Jasmine Pure Puja Oil</t>
  </si>
  <si>
    <t>Om</t>
  </si>
  <si>
    <t>Homelites Safety Matches</t>
  </si>
  <si>
    <t>Homelites</t>
  </si>
  <si>
    <t>Mysore Sandal Dhoop</t>
  </si>
  <si>
    <t>Mysore Sandal</t>
  </si>
  <si>
    <t>Ship Safety Matches</t>
  </si>
  <si>
    <t>Ship</t>
  </si>
  <si>
    <t>Prasanna Jyot Cow Ghee Diya</t>
  </si>
  <si>
    <t>Prasanna Jyot</t>
  </si>
  <si>
    <t>Shubhkart Sandalwood Agarbatti</t>
  </si>
  <si>
    <t>Shubhkart</t>
  </si>
  <si>
    <t>Siddhi Full Vat Big : 33 gms</t>
  </si>
  <si>
    <t>Siddhi</t>
  </si>
  <si>
    <t>Prasanna Jyot Vanaspati Ghee Diya</t>
  </si>
  <si>
    <t>Cycle Om Shanthi Pure Cotton Wicks</t>
  </si>
  <si>
    <t>60 U</t>
  </si>
  <si>
    <t>Siddhi Cotton</t>
  </si>
  <si>
    <t>Siddhi Ful Wati Medium</t>
  </si>
  <si>
    <t>Hem Abhiyan Agarbathi</t>
  </si>
  <si>
    <t>Scented Tea Light Candles - Fresh Lavender</t>
  </si>
  <si>
    <t>Pan Aromas</t>
  </si>
  <si>
    <t>Lemon Grass</t>
  </si>
  <si>
    <t>Orchid Blossom</t>
  </si>
  <si>
    <t>Fresh Lavender</t>
  </si>
  <si>
    <t>Siddhi Dhoop</t>
  </si>
  <si>
    <t>Manohar Special Keshar Ashtagandha</t>
  </si>
  <si>
    <t>Manohar</t>
  </si>
  <si>
    <t>Siddhi Samai Wati Long Roll Big</t>
  </si>
  <si>
    <t>Arihant Dhoop Sticks</t>
  </si>
  <si>
    <t>Arihant</t>
  </si>
  <si>
    <t>Hem Soham Pama Incense Sticks</t>
  </si>
  <si>
    <t>165 gm</t>
  </si>
  <si>
    <t>Shubhkart Nitya Crystal Deep Medium</t>
  </si>
  <si>
    <t>Siddhi Samai Wati Long</t>
  </si>
  <si>
    <t>Shubhkart Nitya Pyali Size 0 - 31 gms</t>
  </si>
  <si>
    <t>Siddhi Full Vat Small</t>
  </si>
  <si>
    <t>Pan Aromas Crystal Collection Scent Candle - Blue</t>
  </si>
  <si>
    <t>Siddhi Pooja Samagri</t>
  </si>
  <si>
    <t>18 U</t>
  </si>
  <si>
    <t>Eveready 1015 R6 AA Battery : 10 Units</t>
  </si>
  <si>
    <t>Eveready</t>
  </si>
  <si>
    <t>10 Pieces</t>
  </si>
  <si>
    <t xml:space="preserve"> Home Utility</t>
  </si>
  <si>
    <t>Eveready AAA 1012 Pencil Cell</t>
  </si>
  <si>
    <t>Nippo 4D Gold AAA Battery</t>
  </si>
  <si>
    <t>Syska LED Tube Light</t>
  </si>
  <si>
    <t>Syska</t>
  </si>
  <si>
    <t>20 Watts</t>
  </si>
  <si>
    <t>Nippo 3D Bolt AA Battery</t>
  </si>
  <si>
    <t>Duracell AA Battery</t>
  </si>
  <si>
    <t>Duracell</t>
  </si>
  <si>
    <t>2 Pieces</t>
  </si>
  <si>
    <t>4 Pieces</t>
  </si>
  <si>
    <t>6 Pieces</t>
  </si>
  <si>
    <t>Duracell AAA Batteries</t>
  </si>
  <si>
    <t>Syska LED Bulb B22 6500K</t>
  </si>
  <si>
    <t>12 Watts</t>
  </si>
  <si>
    <t>18 Watts</t>
  </si>
  <si>
    <t>7 Watts</t>
  </si>
  <si>
    <t>Pigeon LED Bulb</t>
  </si>
  <si>
    <t>9 Watts</t>
  </si>
  <si>
    <t>Compton Greaves Ecoglo B22 CDL LED Bulb</t>
  </si>
  <si>
    <t>Crompton Greaves</t>
  </si>
  <si>
    <t>Syska Emergency LED Bulb</t>
  </si>
  <si>
    <t>Bajaj Ivora Plus Base B22 LED T-Bulb</t>
  </si>
  <si>
    <t>Bajaj</t>
  </si>
  <si>
    <t>10 Watts</t>
  </si>
  <si>
    <t>Philips Stellar Bright T-Bulb</t>
  </si>
  <si>
    <t>Pigeon LED Tube Light</t>
  </si>
  <si>
    <t>Philips Ujjwal LED Batten</t>
  </si>
  <si>
    <t>Bajaj Ivora Plus Base B22 LED Bulb</t>
  </si>
  <si>
    <t>Philips LED Bulb B22 6500K</t>
  </si>
  <si>
    <t>Crompton Greaves DynaRay LED Bulb B22 CDL</t>
  </si>
  <si>
    <t>Philips Stellar Bright LED Bulb</t>
  </si>
  <si>
    <t>23 Watts</t>
  </si>
  <si>
    <t>Philips Stellar Bright LED T-Bulb</t>
  </si>
  <si>
    <t>Philips LED Deco Mini White Lamp</t>
  </si>
  <si>
    <t>0.5 Watts</t>
  </si>
  <si>
    <t>Pigeon Emergency LED Bulb</t>
  </si>
  <si>
    <t>Philips Acesaver LED Bulb</t>
  </si>
  <si>
    <t>9 Watt</t>
  </si>
  <si>
    <t>Philips FlexiShine LED Rope Light (5 Metres) - White</t>
  </si>
  <si>
    <t>Philips SB T-Beamer LED Lamp</t>
  </si>
  <si>
    <t>25 Watts</t>
  </si>
  <si>
    <t>Philips Emergency Inverter LED Bulb</t>
  </si>
  <si>
    <t>12 W</t>
  </si>
  <si>
    <t>14 Watts</t>
  </si>
  <si>
    <t>DHomes Rechargeable Led Light - 9903A</t>
  </si>
  <si>
    <t>D Homes LED Lantern For Table - 9864 LA</t>
  </si>
  <si>
    <t>DHomes Rechargeable Table Tube &amp;  LED - KN9924LB</t>
  </si>
  <si>
    <t>Eveready Ultima AAA Batteries</t>
  </si>
  <si>
    <t>6 Unit</t>
  </si>
  <si>
    <t>Philips FlexiShine LED Rope Light (5 Metres) - Blue</t>
  </si>
  <si>
    <t>Portronics Brillo 3-Led Lamp</t>
  </si>
  <si>
    <t>Portronics</t>
  </si>
  <si>
    <t>Decoration LED Bulb Flower Light - Multi Colour</t>
  </si>
  <si>
    <t>DHomes Rechargeable LED Lantern - KN9854 LA</t>
  </si>
  <si>
    <t>Duracell AA 8 Battery</t>
  </si>
  <si>
    <t>Eveready LED Bulb B22 6500k</t>
  </si>
  <si>
    <t>Decoration 50 LED Bulb Light</t>
  </si>
  <si>
    <t>Decoration 56 LED Bulb Light</t>
  </si>
  <si>
    <t>Philips Stellar Bright T-Bulb B22</t>
  </si>
  <si>
    <t>Decoration 28 LED Bulb Light - Multi Colour</t>
  </si>
  <si>
    <t>Philips Tunable Wi-Fi T-Beamer B22</t>
  </si>
  <si>
    <t>Philips Motion Sensing T-Bulb B22</t>
  </si>
  <si>
    <t>Philips Tunable Wi-Fi T-Bulb B22</t>
  </si>
  <si>
    <t>Philips LED Wi-Fi Bulb B22</t>
  </si>
  <si>
    <t>DHomes 3 Layer Clothes Hanger Stand</t>
  </si>
  <si>
    <t>DHomes Multi-Hanger Steel Cloth Stand</t>
  </si>
  <si>
    <t>DHomes Cloth Drying Stand - Assorted</t>
  </si>
  <si>
    <t>Plastic Cloth Clips : Pack of 20</t>
  </si>
  <si>
    <t>Pack of 20</t>
  </si>
  <si>
    <t>Cloth Drying Metal Rope With Pvc Coated</t>
  </si>
  <si>
    <t>Wooden Cloth Clip : 20 Pieces</t>
  </si>
  <si>
    <t>Godrej Goldilocks Personal White Locker</t>
  </si>
  <si>
    <t>GM 4+1 Power Strip</t>
  </si>
  <si>
    <t>GM</t>
  </si>
  <si>
    <t>Geep Extreme 3 PIN Multi Plug Adapter</t>
  </si>
  <si>
    <t>Geep</t>
  </si>
  <si>
    <t>GM 2 Pin Square Flex Box</t>
  </si>
  <si>
    <t>5 Metres</t>
  </si>
  <si>
    <t>Geep Micro USB High Speed Charging Cable (1 Metre)</t>
  </si>
  <si>
    <t>Geep G-Square Flex Box</t>
  </si>
  <si>
    <t>4 Metres</t>
  </si>
  <si>
    <t>Zebronics TU240C Type C Charging Cable</t>
  </si>
  <si>
    <t>Zebronics</t>
  </si>
  <si>
    <t>Portronics Extension Power Plate 5</t>
  </si>
  <si>
    <t>Potronics</t>
  </si>
  <si>
    <t>Zebronics Car Charger - CC242A3</t>
  </si>
  <si>
    <t>Panasonic City Ding Dong Door Bell</t>
  </si>
  <si>
    <t>Panasonic</t>
  </si>
  <si>
    <t>Portronics Power Bank</t>
  </si>
  <si>
    <t>Micro USB Charging Cable (1 Metre)</t>
  </si>
  <si>
    <t>Portronics Adapto 22 Power Adapter</t>
  </si>
  <si>
    <t>Portronics Adapto Iii Power Adapter</t>
  </si>
  <si>
    <t>Portronics Adapto One-Power Adapter</t>
  </si>
  <si>
    <t>Portronics Konnect A Charging Cable</t>
  </si>
  <si>
    <t>Good Year Claw Hammer</t>
  </si>
  <si>
    <t>Good Year</t>
  </si>
  <si>
    <t>Good Year D.O.E Spanner Set 8 Pieces Set</t>
  </si>
  <si>
    <t>Goodyear</t>
  </si>
  <si>
    <t>Good Year Wire Striper &amp; Cutter</t>
  </si>
  <si>
    <t>Good Year Voltage Tester</t>
  </si>
  <si>
    <t>Good Year Combination Piler</t>
  </si>
  <si>
    <t>Pidilite Fevicol MR White - General Purpose Glue</t>
  </si>
  <si>
    <t>Pidilite Fevicol Allfix - All Purpose Adhesive</t>
  </si>
  <si>
    <t>Sapna Brown Tape - 48 mm X 50 Metres</t>
  </si>
  <si>
    <t>Sapna</t>
  </si>
  <si>
    <t>Sapna Transparent Tape - 48 mm X 50 Metres</t>
  </si>
  <si>
    <t>24 x 50 Meters</t>
  </si>
  <si>
    <t>Pidilite Fevikwik - Instant Adhesive</t>
  </si>
  <si>
    <t>3 gm</t>
  </si>
  <si>
    <t>Pidilite M-Seal Fast Curing Epoxy Compound</t>
  </si>
  <si>
    <t>Pidilite Home Kit</t>
  </si>
  <si>
    <t>Pidilite Fevicol Mr White - General Purpose Glue</t>
  </si>
  <si>
    <t>Garden Spray Pump Bottle - Assorted</t>
  </si>
  <si>
    <t>Bathla Advance 4 Step Ladder-Orange</t>
  </si>
  <si>
    <t>Bathla</t>
  </si>
  <si>
    <t>Bathla Advance 5 Step Ladder-Orange</t>
  </si>
  <si>
    <t>Pedigree Adult Dog Food - Chicken &amp; Vegetables</t>
  </si>
  <si>
    <t>Pedigree</t>
  </si>
  <si>
    <t>Whiskas Adult Chicken In Gravy (1+ Years)</t>
  </si>
  <si>
    <t>Whiskas</t>
  </si>
  <si>
    <t>Pedigree Adult Dog Food Chicken &amp; Liver Chunks Flavour In Gravy</t>
  </si>
  <si>
    <t>Whiskas Adult Ocean Fish Flavour (1+ Years)</t>
  </si>
  <si>
    <t>Pedigree Puppy Chicken &amp; Milk</t>
  </si>
  <si>
    <t>Pears Pure &amp; Gentle Bathing Bar</t>
  </si>
  <si>
    <t>Pears</t>
  </si>
  <si>
    <t>Skin Care</t>
  </si>
  <si>
    <t>3x125 gm</t>
  </si>
  <si>
    <t>4x125 gm</t>
  </si>
  <si>
    <t>Mild &amp; Clear Soap With Glycerine &amp; Natural Oils</t>
  </si>
  <si>
    <t>Mild &amp; Clear</t>
  </si>
  <si>
    <t>5x100 gm</t>
  </si>
  <si>
    <t>Dove Cream Beauty Bathing Bar</t>
  </si>
  <si>
    <t>Dove</t>
  </si>
  <si>
    <t>Medimix Ayurvedic Classic 18 Herbs Soap</t>
  </si>
  <si>
    <t>Medimix</t>
  </si>
  <si>
    <t>Mysore Sandal Soap</t>
  </si>
  <si>
    <t>Mysore</t>
  </si>
  <si>
    <t>3x150 gm</t>
  </si>
  <si>
    <t>Lux Soft Glow Rose &amp; Vitamin E Beauty Soap</t>
  </si>
  <si>
    <t>Lux</t>
  </si>
  <si>
    <t>Grace Gentle Touch Soap</t>
  </si>
  <si>
    <t>Grace</t>
  </si>
  <si>
    <t>Lux Velvet Glow Jasmine &amp; Vitamin E Beauty Soap</t>
  </si>
  <si>
    <t>Grace Beauty Soap With Jasmine Oil &amp; Moisturiser</t>
  </si>
  <si>
    <t>Dettol Original Soap</t>
  </si>
  <si>
    <t>3x75 gm</t>
  </si>
  <si>
    <t>5x125 gm</t>
  </si>
  <si>
    <t>Liril Lime &amp; Tea Tree Oil Soap</t>
  </si>
  <si>
    <t>Liril</t>
  </si>
  <si>
    <t>Santoor Sandal &amp; Turmeric Soap</t>
  </si>
  <si>
    <t>Santoor</t>
  </si>
  <si>
    <t>4x100 gm</t>
  </si>
  <si>
    <t>4x150 gm</t>
  </si>
  <si>
    <t>Dettol Intense Cool 2X Menthol Soap</t>
  </si>
  <si>
    <t>Cinthol Lime Refreshing Deo Soap</t>
  </si>
  <si>
    <t>Cinthol</t>
  </si>
  <si>
    <t>Dove Care &amp; Protect Beauty Bathing Bar</t>
  </si>
  <si>
    <t>Lifebuoy Total 10 Soap</t>
  </si>
  <si>
    <t>Lifebuoy</t>
  </si>
  <si>
    <t>Medimix Ayurvedic Natural Glycerine Soap</t>
  </si>
  <si>
    <t>4x75 gm</t>
  </si>
  <si>
    <t>Grace Lime Fresh Soap</t>
  </si>
  <si>
    <t>Godrej No. 1 Lime &amp; Aloe Vera Soap</t>
  </si>
  <si>
    <t>Jo Lime Soap</t>
  </si>
  <si>
    <t>Jo</t>
  </si>
  <si>
    <t>Dettol Skincare Soap</t>
  </si>
  <si>
    <t>Godrej Cinthol Cool Deo Soap</t>
  </si>
  <si>
    <t>Pears Soft &amp; Fresh Bathing Bar</t>
  </si>
  <si>
    <t>Mild &amp; Clear Pure and Fresh Soap</t>
  </si>
  <si>
    <t>Cinthol Original Deodorant &amp; Complexion Soap</t>
  </si>
  <si>
    <t>Medimix Ayurvedic Sandal Soap</t>
  </si>
  <si>
    <t>Lifebuoy Lemon Fresh Soap</t>
  </si>
  <si>
    <t xml:space="preserve"> 5x125 gm</t>
  </si>
  <si>
    <t>Chandrika Ayurvedic Soap</t>
  </si>
  <si>
    <t>Chandrika</t>
  </si>
  <si>
    <t>Mysore Luxury Bath Soap</t>
  </si>
  <si>
    <t>Lux Fresh Splash Water Lily &amp; Cooling Mint Soap</t>
  </si>
  <si>
    <t>Santoor Aloe Vera &amp; Lime</t>
  </si>
  <si>
    <t>Godrej Cinthol Lime Soap</t>
  </si>
  <si>
    <t>Khadi Natural Sandalwood Soap</t>
  </si>
  <si>
    <t>Khadi</t>
  </si>
  <si>
    <t>Godrej No. 1 Sandal &amp; Turmeric Soap</t>
  </si>
  <si>
    <t>Khadi Natural Aloevera Soap</t>
  </si>
  <si>
    <t>Khadi Natural</t>
  </si>
  <si>
    <t>Khadi Natural Lemon Soap</t>
  </si>
  <si>
    <t>Dove Pink Rosa Beauty Bathing Bar</t>
  </si>
  <si>
    <t>3x100 gm</t>
  </si>
  <si>
    <t>Park Avenue Luxury Men's Soap</t>
  </si>
  <si>
    <t>Park</t>
  </si>
  <si>
    <t>Khadi Natural Rosewater Soap</t>
  </si>
  <si>
    <t>Lux Creamy Prefection Soap</t>
  </si>
  <si>
    <t>Khadi Natural Neem Tulsi Soap</t>
  </si>
  <si>
    <t>Jo Almond &amp; Cream Soap</t>
  </si>
  <si>
    <t>Margo Original Neem Soap</t>
  </si>
  <si>
    <t>Margo</t>
  </si>
  <si>
    <t>Santoor  Sandal and Almond Milk Soap</t>
  </si>
  <si>
    <t>Park Avenue Cool Blue Fragrant Soap</t>
  </si>
  <si>
    <t>Khadi Natural Chandan Haldi Soap</t>
  </si>
  <si>
    <t>Godrej No. 1 Kesar &amp; Milk Cream Soap</t>
  </si>
  <si>
    <t>Dove Pink Rosa Bathing Soap</t>
  </si>
  <si>
    <t>Santoor Glycerine Soap</t>
  </si>
  <si>
    <t>Godrej Cinthol Original Soap</t>
  </si>
  <si>
    <t>Mysore Sandal Gold Soap</t>
  </si>
  <si>
    <t>Hamam Neem Tulsi and Aloe Vera Soap Bar</t>
  </si>
  <si>
    <t>Hamam</t>
  </si>
  <si>
    <t>Chandan Sparsh Soap</t>
  </si>
  <si>
    <t>Chandan Sparsh</t>
  </si>
  <si>
    <t>Khadi Natural Jasmine Soap</t>
  </si>
  <si>
    <t>Patanjali Neem Kanti Soap</t>
  </si>
  <si>
    <t>Godrej Cinthol Health Soap : 4x100 gms</t>
  </si>
  <si>
    <t>Khadi Natural Strawberry Soap</t>
  </si>
  <si>
    <t>Jo Rose &amp; Cream Soap</t>
  </si>
  <si>
    <t>Godrej No.1 Rose Water &amp; Almond Soap</t>
  </si>
  <si>
    <t>Himalaya Neem Turmeric Soap</t>
  </si>
  <si>
    <t>4X125 gm</t>
  </si>
  <si>
    <t>Pears Oil-Clear &amp; Glow Soap Bar</t>
  </si>
  <si>
    <t>Patanjali Haldi Chandan Kanti Soap</t>
  </si>
  <si>
    <t>Camay Natural Soap</t>
  </si>
  <si>
    <t>Camay</t>
  </si>
  <si>
    <t>Rexona Coconut &amp; Olive Oil Soap</t>
  </si>
  <si>
    <t>Rexona</t>
  </si>
  <si>
    <t>Patanjali Aloe Vera Kanti Soap</t>
  </si>
  <si>
    <t>Lux Creamy Perfection Soap</t>
  </si>
  <si>
    <t>Lifebuoy Neem &amp; Aloe Vera Soap</t>
  </si>
  <si>
    <t>Dove Pink Rosa Bathing Bar</t>
  </si>
  <si>
    <t>Pears Pure Gentle Soap</t>
  </si>
  <si>
    <t>Dove Go Fresh Beauty Bathing Bar</t>
  </si>
  <si>
    <t>Hand Aid Health Plus Soap</t>
  </si>
  <si>
    <t>Hand Aid</t>
  </si>
  <si>
    <t>Lifebuoy Total 10 Silver Shield Soap</t>
  </si>
  <si>
    <t>Godrej No.1 Jasmine Soap</t>
  </si>
  <si>
    <t>Godrej No.1 Lime Aloe Vera Soap</t>
  </si>
  <si>
    <t>Soulflower Rose Geranium Bath Salt</t>
  </si>
  <si>
    <t>Soulflower</t>
  </si>
  <si>
    <t>Vaseline Intensive Care Body Lotion</t>
  </si>
  <si>
    <t>Vaseline</t>
  </si>
  <si>
    <t>Nivea Body Milk Nourishing Lotion</t>
  </si>
  <si>
    <t>Nivea</t>
  </si>
  <si>
    <t>Nivea Soft Light Moisturiser</t>
  </si>
  <si>
    <t>Face Care</t>
  </si>
  <si>
    <t>Nivea Aloe Hydration Body Lotion</t>
  </si>
  <si>
    <t>Vaseline Healthy Bright SPF30 Body Lotion</t>
  </si>
  <si>
    <t>Nivea Body Milk Shea Smooth Body Lotion</t>
  </si>
  <si>
    <t>Vicco Turmeric Skin Cream</t>
  </si>
  <si>
    <t>Vicco</t>
  </si>
  <si>
    <t>Lotus Herbals Daily Sunscreen Cream SPF 40 UVB</t>
  </si>
  <si>
    <t>Vaseline Intensive Care Aloe Fresh Body Lotion</t>
  </si>
  <si>
    <t>Lotus Herbals Sunscreen Cream SPF 30 UVB</t>
  </si>
  <si>
    <t>Pond's Triple Vitamin Moisture Lotion</t>
  </si>
  <si>
    <t>Pond's</t>
  </si>
  <si>
    <t>275 ml</t>
  </si>
  <si>
    <t>Vicco Turmeric</t>
  </si>
  <si>
    <t>Nivea Creme</t>
  </si>
  <si>
    <t>100 ml</t>
  </si>
  <si>
    <t>Pond's Bright Beauty Cream</t>
  </si>
  <si>
    <t>23 gm</t>
  </si>
  <si>
    <t>Joy Honey &amp; Almond Nourishing Body Lotion</t>
  </si>
  <si>
    <t>Joy</t>
  </si>
  <si>
    <t>Lakme Sun Expert SPF 24 Ultra Matte Lotion</t>
  </si>
  <si>
    <t>Lakme</t>
  </si>
  <si>
    <t>Joy Pure Aloe Multi-Benefit Body Lotion</t>
  </si>
  <si>
    <t>Nivea Body Nourishing Lotion</t>
  </si>
  <si>
    <t>120 ml</t>
  </si>
  <si>
    <t>Lacto Calamine Oil Balance Lotion For Oily Skin</t>
  </si>
  <si>
    <t>Lacto Calamine</t>
  </si>
  <si>
    <t>Nivea Aloe Body Cream</t>
  </si>
  <si>
    <t>Joy Skin Fruits Moisturizing Cream</t>
  </si>
  <si>
    <t>Joy Honey &amp; Almond Nourishing Skin Cream</t>
  </si>
  <si>
    <t>Lotus Herbals Kids Sun Block Cream - Sensitive Skin Formula</t>
  </si>
  <si>
    <t>Green Leaf Pure Aloe Vera Skin Gel</t>
  </si>
  <si>
    <t>Green Leaf</t>
  </si>
  <si>
    <t>Lotus Herbals Sunscreen Cream SPF 20 UVB</t>
  </si>
  <si>
    <t>Bio-Oil Skin Care</t>
  </si>
  <si>
    <t>Bio-Oil</t>
  </si>
  <si>
    <t>Garnier Bright Complete Vitamin C SPF 40 Serum Cream</t>
  </si>
  <si>
    <t>Garnier</t>
  </si>
  <si>
    <t>Joy Pure Aloe Skin Cream</t>
  </si>
  <si>
    <t>Nivea Natural Glow Cell Repair Body Lotion</t>
  </si>
  <si>
    <t>Mamaearth Vitamin C Nourishing Cold Cream</t>
  </si>
  <si>
    <t>Mamaearth</t>
  </si>
  <si>
    <t>Lotus Herbals SPF 70 Daily Multi-Function Sunblock Cream</t>
  </si>
  <si>
    <t>Mamaearth Ubtan Nourishing Cold Cream</t>
  </si>
  <si>
    <t>Nivea Aloe Vera Refreshing Care Gel Body Lotion</t>
  </si>
  <si>
    <t>Nivea India</t>
  </si>
  <si>
    <t>Garnier Light Complete Body Lotion</t>
  </si>
  <si>
    <t>Nivea Rose Water Soothing Care Gel Body Lotion</t>
  </si>
  <si>
    <t>Krack Heel Repair Cream</t>
  </si>
  <si>
    <t>Krack</t>
  </si>
  <si>
    <t>Lotus Herbals Whiteglow Night Cream</t>
  </si>
  <si>
    <t>Lotus Herbals</t>
  </si>
  <si>
    <t>Joy Skin Fruits Body Lotion</t>
  </si>
  <si>
    <t>Joy Bright Radiance Body Lotion</t>
  </si>
  <si>
    <t>Lakme Absolute Hydra Pro Gel Day Cream</t>
  </si>
  <si>
    <t>Green Leaf Aloe Cucumber Gel</t>
  </si>
  <si>
    <t>Patanjali Aloe Vera Gel - Kesar Chandan</t>
  </si>
  <si>
    <t>Glycerin IP</t>
  </si>
  <si>
    <t>Glycerin</t>
  </si>
  <si>
    <t>Nivea Body Nourishing Lotion Aloe</t>
  </si>
  <si>
    <t>Faces Canada Peaches N Cream Tinted Moisturizer</t>
  </si>
  <si>
    <t>Faces Canada</t>
  </si>
  <si>
    <t>Lotus Herbals Nutranite Night Creme</t>
  </si>
  <si>
    <t>Lakme Absolute Hydra Pro Overnight Gel</t>
  </si>
  <si>
    <t>Faces Canada Hydro Face Moisturizer</t>
  </si>
  <si>
    <t>Lakme Absolute Perfect Radiance Facial Foam</t>
  </si>
  <si>
    <t>130 ml</t>
  </si>
  <si>
    <t>Lakme Youth Infinity Skin Firming Night Cream</t>
  </si>
  <si>
    <t>Olay Natural Aura Instant UV Protection Glowing Cream</t>
  </si>
  <si>
    <t>Olay</t>
  </si>
  <si>
    <t>Olay Total Effects 7-In-One Day Normal SPF 15 Cream</t>
  </si>
  <si>
    <t>Olay Total Effect 7 In 1 Anti Ageing Night Cream</t>
  </si>
  <si>
    <t>Khadi Natural Herbal Moisturizer Rose &amp; Honey</t>
  </si>
  <si>
    <t>210 ml</t>
  </si>
  <si>
    <t>Khadi Natural Herbal Moisturizer Almond &amp; Saffron</t>
  </si>
  <si>
    <t>Soulflower Vitamin C Green Tea Glowing Day Cream SPF 30+</t>
  </si>
  <si>
    <t>Himalaya Purifying Neem Face Wash</t>
  </si>
  <si>
    <t>Himalaya</t>
  </si>
  <si>
    <t>Clean &amp; Clear Foaming Facewash</t>
  </si>
  <si>
    <t>Clean &amp; Clear</t>
  </si>
  <si>
    <t>Pond's Bright Beauty Spot-Less Glow Facewash</t>
  </si>
  <si>
    <t>Patanjali Saundarya Aloe Vera Gel</t>
  </si>
  <si>
    <t>Pond's Pure Detox Anti Pollution + Purity Facewash</t>
  </si>
  <si>
    <t>Everyuth Naturals Brightening Lemon &amp; Cherry Face Wash</t>
  </si>
  <si>
    <t>Everyuth</t>
  </si>
  <si>
    <t>Garnier Men Acno Fight Face Wash</t>
  </si>
  <si>
    <t>Garnier Men Turbo Bright Double Action Face Wash : 100 gms</t>
  </si>
  <si>
    <t>Garnier Men Oil Clear Deep Cleansing Facewash</t>
  </si>
  <si>
    <t>Everyuth Naturals Exfoliating Walnut Scrub</t>
  </si>
  <si>
    <t>Nivea Men All-In-One Charcoal Facewash</t>
  </si>
  <si>
    <t>Garnier Bright Complete Face Wash - Lemon</t>
  </si>
  <si>
    <t>Everyuth Naturals Purifying Neem Face Wash</t>
  </si>
  <si>
    <t>Pears Pure &amp; Gentle Facewash</t>
  </si>
  <si>
    <t>Mirabelle Papaya Fairness Facial No.1 K-Mask</t>
  </si>
  <si>
    <t>Mirabelle</t>
  </si>
  <si>
    <t>25 ml</t>
  </si>
  <si>
    <t>Nivea Men Dark Spot Reduction Facewash</t>
  </si>
  <si>
    <t>Garnier Serum Bright Complete Mask Lemon</t>
  </si>
  <si>
    <t>Garnier Men Turbo Bright Face Wash</t>
  </si>
  <si>
    <t>Emami Fair And Handsome Cream For Men</t>
  </si>
  <si>
    <t>Emami</t>
  </si>
  <si>
    <t>Dabur Gulabari Rose Water</t>
  </si>
  <si>
    <t>Mirabelle Berries Fairness Facial No.1 K-Mask</t>
  </si>
  <si>
    <t>Nivea Men Oil Control Facewash</t>
  </si>
  <si>
    <t>Garnier Japanese Sakura Serum Tissue Mask</t>
  </si>
  <si>
    <t>Mirabelle Aloe Vera Fairness Facial No.1 K-Mask</t>
  </si>
  <si>
    <t>Garnier Serum Hydra Bomb Pomegranate Tissue Mask</t>
  </si>
  <si>
    <t>Mamaearth Skin Illuminate Vitamin C &amp; Turmeric Face Serum</t>
  </si>
  <si>
    <t>Mirabelle Tea Tree Essential Facial Sheet Mask</t>
  </si>
  <si>
    <t>Pond's Bright Beauty Face Scrub</t>
  </si>
  <si>
    <t>Lotus Herbals White Glow 3 In 1 Deep Cleansing Facial Foam</t>
  </si>
  <si>
    <t>Lotus Herbals Oatmeal &amp; Yogurt Skin Whitening Scrub</t>
  </si>
  <si>
    <t>Mirabelle Charcoal Premium Facial Sheet Mask</t>
  </si>
  <si>
    <t>Lotus Herbals Aprisrub Fresh Apricot Srub</t>
  </si>
  <si>
    <t>Mirabelle Cucumber Fairness Facial No.1 K-Mask</t>
  </si>
  <si>
    <t>Pond's Juliet Rose Body Moisturising Lotion</t>
  </si>
  <si>
    <t>POND'S</t>
  </si>
  <si>
    <t>Olay Natural Aura Glowing Radiance SPF 15 Day Cream</t>
  </si>
  <si>
    <t>Beardo Activated Charcoal Face Wash</t>
  </si>
  <si>
    <t>Beardo</t>
  </si>
  <si>
    <t>Pond's Dreamflower Fragrant Talcum Powder - Pink Lily</t>
  </si>
  <si>
    <t>Grace Perfumed Talc</t>
  </si>
  <si>
    <t>Pond's Magic Freshness Talcum Powder - Acacia Honey</t>
  </si>
  <si>
    <t>White Tone Pearl Face Powder</t>
  </si>
  <si>
    <t>Yardley English Lavender Talcum Powder</t>
  </si>
  <si>
    <t>Yardley</t>
  </si>
  <si>
    <t>Yardley London Gold Deodorising Talcum Powder</t>
  </si>
  <si>
    <t>Pond's Sandal Radiance Talcum Powder - Natural Sunscreen</t>
  </si>
  <si>
    <t>Grace Sandalwood Perfume Talc</t>
  </si>
  <si>
    <t>Grace Charm Perfume Talc</t>
  </si>
  <si>
    <t>Candid Daily Calamine Talc</t>
  </si>
  <si>
    <t>Candid</t>
  </si>
  <si>
    <t>Nivea Men Active Clean Shower Gel</t>
  </si>
  <si>
    <t>Fiama Blackcurrant &amp; Bearberry Shower Gel</t>
  </si>
  <si>
    <t>Fiama</t>
  </si>
  <si>
    <t>Nivea Fresh Powerfruit Shower Gel</t>
  </si>
  <si>
    <t>Nivea Shower Gel Frangipani &amp; Oil</t>
  </si>
  <si>
    <t>Fiama Lemongrass &amp; Jojoba Shower Gel</t>
  </si>
  <si>
    <t>Palmolive Aroma Morning Tonic Shower Gel</t>
  </si>
  <si>
    <t>Palmolive</t>
  </si>
  <si>
    <t>Mamaearth Ubtan Body Wash For Glowing Skin</t>
  </si>
  <si>
    <t>Nivea Waterlily &amp; Oil Shower Gel</t>
  </si>
  <si>
    <t>Nivea Lemon &amp; Oil Shower Gel</t>
  </si>
  <si>
    <t>Grace Citrus Passion Shower Gel</t>
  </si>
  <si>
    <t>Nivea Frangipani &amp; Oil Shower Gel</t>
  </si>
  <si>
    <t>Nivea Men Pure Impact Shower Gel</t>
  </si>
  <si>
    <t>Grace Deep Impact Shower Gel</t>
  </si>
  <si>
    <t>Palmolive Aroma Absolute Relax Shower Gel</t>
  </si>
  <si>
    <t>Mamaearth Vitamin C Body Wash</t>
  </si>
  <si>
    <t>Palmolive Luminous Oils Invigorating Shower Gel</t>
  </si>
  <si>
    <t>Palmolive Luminous Oils Rejuvenating Shower Gel</t>
  </si>
  <si>
    <t>Neutrogena Rainbath Shower &amp; Bath Gel</t>
  </si>
  <si>
    <t>Neutrogena</t>
  </si>
  <si>
    <t>Khadi Natural Body Wash Sandalwood &amp; Honey</t>
  </si>
  <si>
    <t>Plum Shower Gel - Hawaiian Rumba</t>
  </si>
  <si>
    <t>Plum</t>
  </si>
  <si>
    <t>Plum Shower gel - Trippin' Mimosas</t>
  </si>
  <si>
    <t>PHY Vitamin Sea Energizing Body Wash</t>
  </si>
  <si>
    <t>Phy</t>
  </si>
  <si>
    <t>Beardo B-Acne Clear Body Wash</t>
  </si>
  <si>
    <t>Pears Pure &amp; Gentle Body Wash</t>
  </si>
  <si>
    <t>Pears Soft &amp; Fresh Body Wash</t>
  </si>
  <si>
    <t>Palmolive Feel The Massage Shower Gel</t>
  </si>
  <si>
    <t>Palmolive Luminous Oils Invigorating Shower Gel</t>
  </si>
  <si>
    <t>Dove Deep Moisture Body Wash</t>
  </si>
  <si>
    <t>Lotus Herbals SPF 40 Daily Sunblock Cream - 3-in-1 Matte Look</t>
  </si>
  <si>
    <t>Lotus SPF 25 Pa+++ - Skin Whitening &amp; Brightening Gel Creme</t>
  </si>
  <si>
    <t>Lakme Sun Expert SPF30 PA++ Ultra Matte Lotion</t>
  </si>
  <si>
    <t>Lotus Herbals Safe Sun UV Screen Mattegel</t>
  </si>
  <si>
    <t>Lakme Sun Expert SPF 30 Ultra Matte Lotion</t>
  </si>
  <si>
    <t>Lotus Herbals Safe Sun Sunscreen Cream SPF 30 UVB</t>
  </si>
  <si>
    <t>Lakme Sun Expert SPF 50 PA+++ Ultra Matte Lotion</t>
  </si>
  <si>
    <t>Nivea Original Care Lip Balm</t>
  </si>
  <si>
    <t>4.8 gm</t>
  </si>
  <si>
    <t>Mamaearth Vitamin C Tinted Natural Lip Balm</t>
  </si>
  <si>
    <t>2 gm</t>
  </si>
  <si>
    <t>Himalaya Rich Cocoa Butter Lip Care</t>
  </si>
  <si>
    <t>4.5 gm</t>
  </si>
  <si>
    <t>Himalaya Litchi Shine Lip Care</t>
  </si>
  <si>
    <t>Nivea Aloe Protection Body Lotion SPF 15</t>
  </si>
  <si>
    <t>Olay Regenerist Micro-Sculpting Cream</t>
  </si>
  <si>
    <t>Lotus Herbals Radiant Gold Facial Kit</t>
  </si>
  <si>
    <t>Lotus Herbals Radiant Diamond Facial Kit</t>
  </si>
  <si>
    <t>Lotus Herbals Youthrx Anti Ageing Transforming Crème</t>
  </si>
  <si>
    <t>Lotus Whiteglow 3 In 1 Deep Cleansing Whitening Facial Foam</t>
  </si>
  <si>
    <t>Lotus Herbals Youthrx Anti-Ageing Nourishing Night Crème</t>
  </si>
  <si>
    <t>Olay Total Effects 7InOne Daily Serum</t>
  </si>
  <si>
    <t>Lakme 9to5 Moist Mattifyng Moisturiser</t>
  </si>
  <si>
    <t>Lotus Herbals Rosetone Rose Petals Facial Skin Toner</t>
  </si>
  <si>
    <t>Olay Regenerist Revitalising Night Cream</t>
  </si>
  <si>
    <t>L'Oreal Paris Revitalift Cream For Women</t>
  </si>
  <si>
    <t>LOreal Paris</t>
  </si>
  <si>
    <t>15 ml</t>
  </si>
  <si>
    <t>Lotus Make-Up Xpress Glow 10-In-1 Daily Beauty Crème</t>
  </si>
  <si>
    <t>Vaseline Sun Protection &amp; Cooling Body Serum Lotion</t>
  </si>
  <si>
    <t>Vaseline Daily Bright &amp; Calming Body Serum Spray</t>
  </si>
  <si>
    <t>Lotus Herbals Youthrx Youth Activating Serum + Crème</t>
  </si>
  <si>
    <t>30 ml</t>
  </si>
  <si>
    <t>Olay Luminous Tone Perfecting Hydrating Essence</t>
  </si>
  <si>
    <t>Lotus Make-Up Xpress Glow 10-in-1 Beauty Cream SPF 25</t>
  </si>
  <si>
    <t>Lotus Make-Up Nutraglow Moisturiser</t>
  </si>
  <si>
    <t>Olay Total Effects 7InOne Normal SPF 15 Day Cream</t>
  </si>
  <si>
    <t>Olay Natural Aura 7 In One Nourishing Repair Night Cream</t>
  </si>
  <si>
    <t>WOW Aloe Vera Gel</t>
  </si>
  <si>
    <t>Wow Skin Science</t>
  </si>
  <si>
    <t>Plum Green Tea Clear Face Mask</t>
  </si>
  <si>
    <t>Mamaearth Ubtan Face Wash For Tan Removal</t>
  </si>
  <si>
    <t>Mamaearth Vitamin C Face Wash For Skin Illumination</t>
  </si>
  <si>
    <t>Mamaearth Tea Tree Face Wash For Acne &amp; Pimples</t>
  </si>
  <si>
    <t>Everyuth Natural Tulsi &amp; Turmeric Face Wash</t>
  </si>
  <si>
    <t>Nivea Milk Delights Turmeric Facewash</t>
  </si>
  <si>
    <t>Nivea Milk Delight Saffron Face Wash</t>
  </si>
  <si>
    <t>Glow &amp; Lovely Facewash Instant Glow</t>
  </si>
  <si>
    <t>Glow &amp; Lovely</t>
  </si>
  <si>
    <t>Mamaearth Charcoal Face Wash For Oil Control</t>
  </si>
  <si>
    <t>Mamaearth Foaming Face Wash Vitamin C</t>
  </si>
  <si>
    <t>Clean &amp; Clear Morning Energy Berry Face Wash</t>
  </si>
  <si>
    <t>Clean &amp; Clear Morning Energy Aqua Face Wash</t>
  </si>
  <si>
    <t>Nivea Total Face Cleanup</t>
  </si>
  <si>
    <t>Clean &amp; Clear Morning Energy Lemon Face Wash</t>
  </si>
  <si>
    <t>Nivea Men Oil Control Charcoal Face Wash</t>
  </si>
  <si>
    <t>Lotus Herbals Teatreewash Tea &amp; Cinnamon Face Wash</t>
  </si>
  <si>
    <t>Lotus Herbals Jojobawash Face Wash</t>
  </si>
  <si>
    <t>Neutrogena Deep Clean Facial Cleanser</t>
  </si>
  <si>
    <t>Neutrogena Hydro Boost Water Gel</t>
  </si>
  <si>
    <t>Lotus Herbals Neemwash Neem &amp; Clove Face Wash</t>
  </si>
  <si>
    <t>Roop Mantra Ayurvedic Cucumber Facewash</t>
  </si>
  <si>
    <t>Roop Mantra</t>
  </si>
  <si>
    <t>115 ml</t>
  </si>
  <si>
    <t>Roop Mantra Ayurvedic Neem Facewash</t>
  </si>
  <si>
    <t>Neutrogena Oil-Free Acne Wash</t>
  </si>
  <si>
    <t>175 ml</t>
  </si>
  <si>
    <t>Neutrogena Oil-Free Acne Wash - Pink Grapefruit</t>
  </si>
  <si>
    <t>WOW Vitamin C Face Wash</t>
  </si>
  <si>
    <t>Khadi Aloe Vera Facewash With Scrub</t>
  </si>
  <si>
    <t>WOW Apple Cider Vinegar Face Wash</t>
  </si>
  <si>
    <t>Boro Plus Advanced Aloe Vera Gel</t>
  </si>
  <si>
    <t>Boroplus</t>
  </si>
  <si>
    <t>Plum Green Tea Pore Cleansing Face Wash</t>
  </si>
  <si>
    <t>75 ml</t>
  </si>
  <si>
    <t>Soulflower Vitamin C Green Tea Foaming Face Wash</t>
  </si>
  <si>
    <t>Soulflower Kumkumadi Face Wash</t>
  </si>
  <si>
    <t>Mamaearth Ubtan Face Scrub For Tan Removal</t>
  </si>
  <si>
    <t>Glow &amp; Lovely Advanced Multi Vitamin Face Cream</t>
  </si>
  <si>
    <t>Mamaearth Bye Bye Blemishes Face Cream</t>
  </si>
  <si>
    <t>Garnier Bright Complete 30x Vitamin C Booster Serum</t>
  </si>
  <si>
    <t>Mamaearth Vitamin C Face Cream</t>
  </si>
  <si>
    <t>Garnier Bright Complete Serum Cream</t>
  </si>
  <si>
    <t>L'Oreal Revitalift 1.5% Hyaluronic Acid Serum</t>
  </si>
  <si>
    <t>L'Oreal</t>
  </si>
  <si>
    <t>Neutrogena Ultra Sheer Dry Touch Sunblock SPF 50+</t>
  </si>
  <si>
    <t>88 ml</t>
  </si>
  <si>
    <t>Garnier Bright Complete Fariness Serum Cream</t>
  </si>
  <si>
    <t>L'Oreal Paris Revitalift Crystal Fresh Cream</t>
  </si>
  <si>
    <t>L'Oreal Revitalift Crystal Micro Essence</t>
  </si>
  <si>
    <t>22 ml</t>
  </si>
  <si>
    <t>65 ml</t>
  </si>
  <si>
    <t>Plum Hello Aloe Just Gel</t>
  </si>
  <si>
    <t>Plum Green Tea Oil-Free Moisturizer</t>
  </si>
  <si>
    <t>Lakme 9to5 Vitamin C+ Day Cream</t>
  </si>
  <si>
    <t>Pond's Super Light Gel</t>
  </si>
  <si>
    <t>98 gm</t>
  </si>
  <si>
    <t>Pond's Light Moisturiser Non Oily Cream</t>
  </si>
  <si>
    <t>Garnier Black Serum Face Mask Pure Charcoal</t>
  </si>
  <si>
    <t>Mamaearth Ubtan Face Mask</t>
  </si>
  <si>
    <t>Mirabelle Pearl+Charcoal Facial Sheet Mask</t>
  </si>
  <si>
    <t>Mirabelle Gold + Chrcol Facial Mask</t>
  </si>
  <si>
    <t>Mamaearth Vitamin C Sleeping Mask</t>
  </si>
  <si>
    <t>Lakme Blush &amp; Glow Kiwi Sheet Mask</t>
  </si>
  <si>
    <t>L'Oreal Revitalift Crystal Sheet Mask</t>
  </si>
  <si>
    <t>Garnier Men Powerwhite XL Charcoal Mask</t>
  </si>
  <si>
    <t>L'Oreal Revitalift Hyaluronic Acid Serum Mask</t>
  </si>
  <si>
    <t>33 gm</t>
  </si>
  <si>
    <t>Pond's Nourishing Sheet Mask</t>
  </si>
  <si>
    <t>Pond's Brightening Sheet Mask</t>
  </si>
  <si>
    <t>Maybelline Fit Me 128 Compact Warm Nudge</t>
  </si>
  <si>
    <t>Maybelline</t>
  </si>
  <si>
    <t>8 gm</t>
  </si>
  <si>
    <t>Faces Canada Matte Compact SPF 20 - Natural 02</t>
  </si>
  <si>
    <t>9 gm</t>
  </si>
  <si>
    <t>Faces Canada Matte Compact SPF 20 - Ivory 01</t>
  </si>
  <si>
    <t>Lakme Perfect Radiance Compact - Golden Medium 03</t>
  </si>
  <si>
    <t>Maybelline Fit Me 115 Compact Ivory</t>
  </si>
  <si>
    <t>Faces Canada Matte Compact SPF 20 - Beige 03</t>
  </si>
  <si>
    <t>Maybelline Fit Me 230 Compact Natural Buff</t>
  </si>
  <si>
    <t>Maybelline Fit Me 220 Compact Natural Beige</t>
  </si>
  <si>
    <t>Maybelline Fit Me 310 Compact Sun Beige</t>
  </si>
  <si>
    <t>Faces Canada Matte Compact SPF 20 - Sand 04</t>
  </si>
  <si>
    <t>Lotus Make-Up Naturalblend Ivory 570 Compact</t>
  </si>
  <si>
    <t>Lotus Make-Up Naturalblend Botanical Natural Beige Compact</t>
  </si>
  <si>
    <t>Lotus Make-Up Naturalblend Botanical Nude 560 Compact</t>
  </si>
  <si>
    <t>Lotus Make-Up Pure Radiance 555 Compact - Light Choco</t>
  </si>
  <si>
    <t>Lakme Absolute Perfect Radiance Compact - Beige Honey 05</t>
  </si>
  <si>
    <t>Maybelline New York Foundation 128 Warm Nude</t>
  </si>
  <si>
    <t>18 ml</t>
  </si>
  <si>
    <t>Faces Canada Matte Finish Foundation - Natural 02</t>
  </si>
  <si>
    <t>Maybelline New York Foundation Tube 115 Ivory</t>
  </si>
  <si>
    <t>Lakme Perfecting Liquid Foundation - Coral</t>
  </si>
  <si>
    <t>27 ml</t>
  </si>
  <si>
    <t>Faces Canada Matte Finish Foundation - Ivory 01</t>
  </si>
  <si>
    <t>Lakme Perfecting Liquid Foundation - Pearl</t>
  </si>
  <si>
    <t>Maybelline New York Foundation 230 Natural Buff</t>
  </si>
  <si>
    <t>Maybelline New York Fit Me Liquid Foundation - 310</t>
  </si>
  <si>
    <t>Maybelline New York</t>
  </si>
  <si>
    <t>Faces Canada Matte Finish Foundation - Beige 03</t>
  </si>
  <si>
    <t>Lakme Perfecting Liquid Foundation - Marble</t>
  </si>
  <si>
    <t>Maybelline New York Foundation Tube 310 Sun Beige</t>
  </si>
  <si>
    <t>Lakme Perfecting Liquid Foundation - Shell</t>
  </si>
  <si>
    <t>Lotus Make-Up Ecostay Foundation - Royal Pearl</t>
  </si>
  <si>
    <t>Faces Canada Second Skin Foundation - Rich Ivory 013</t>
  </si>
  <si>
    <t>Insight HD Foundation - LN10</t>
  </si>
  <si>
    <t>Insight</t>
  </si>
  <si>
    <t>Insight Ultra-Thin Foundation - 03 Sunbeige</t>
  </si>
  <si>
    <t>Faces Canada Second Skin Foundation - Medium Natural 022</t>
  </si>
  <si>
    <t>Lotus Make-Up Ecostay Nourishing Bright Angel L2 Foundation</t>
  </si>
  <si>
    <t>Insight HD Foundation - LNP15</t>
  </si>
  <si>
    <t>Insight Ultra-Thin Foundation - Rose Beige</t>
  </si>
  <si>
    <t>Insight Ultra-Thin Foundation - Warm Nude</t>
  </si>
  <si>
    <t>Insight HD Foundation - MNY20</t>
  </si>
  <si>
    <t>Lakme 9to5 Primer + Matte Cover Foundation - W180 Warm Neutral</t>
  </si>
  <si>
    <t>Lakme 9to5 Primer + Matte Cover Foundation - N200 Neutral Nude</t>
  </si>
  <si>
    <t>Lakme 9to5 Primer + Matte Cover Foundation - W160 Warm Sand</t>
  </si>
  <si>
    <t>Lakme 9to5 Mousse Foundation - Toffee</t>
  </si>
  <si>
    <t>Lakme 9to5 Primer + Matte  Cover Foundation- W120 Warm Caramel</t>
  </si>
  <si>
    <t>Lakme 9to5 Primer + Matte Cover Foundation - C300 Cool Cinnamon</t>
  </si>
  <si>
    <t>Lakme 9to5 Mousse Foundation - Nude Brown</t>
  </si>
  <si>
    <t>Lakme 9to5 Primer + Matte Cover Foundation - C140 Cool Rose</t>
  </si>
  <si>
    <t>Lakme 9to5 Primer + Matte Cover Foundation - C280 Cool Tan</t>
  </si>
  <si>
    <t>Faces Canada Second Skin Foundation - Sand 04</t>
  </si>
  <si>
    <t>Lakme Absolute Blur Perfect Makeup Primer</t>
  </si>
  <si>
    <t>Insight 3 In 1 Long Lasting Primer</t>
  </si>
  <si>
    <t>Maybelline New York Fit Me Dewy + Smooth Primer</t>
  </si>
  <si>
    <t>Faces Canada Primerizer Primer + Moisturizer</t>
  </si>
  <si>
    <t>Lotus Make-Up Ecostay Insta-Smooth Perfecting Primer</t>
  </si>
  <si>
    <t>Faces Canada Ultime Pro Perfecting Primer</t>
  </si>
  <si>
    <t>Lakme 9to5 Complexion Cream Face Cream - Beige</t>
  </si>
  <si>
    <t>Faces Canada CC Cream - Natural 01</t>
  </si>
  <si>
    <t>35 ml</t>
  </si>
  <si>
    <t>Lakme 9to5 Complexion Care Face Cream - Bronze</t>
  </si>
  <si>
    <t>Garnier Micellar Cleansing Water</t>
  </si>
  <si>
    <t>125 ml</t>
  </si>
  <si>
    <t>Garnier Skin Natural Oil Infused Cleaning Water</t>
  </si>
  <si>
    <t>Faces Canada Makeup Remover Wipes</t>
  </si>
  <si>
    <t>30 Wipes</t>
  </si>
  <si>
    <t>Faces Canada Clean Glow Make Up Remover Wipes</t>
  </si>
  <si>
    <t>10 Wipes</t>
  </si>
  <si>
    <t>Faces Canada Hydro Makeup Remover</t>
  </si>
  <si>
    <t>Faces Canada Ultime Pro Makeup Fixer</t>
  </si>
  <si>
    <t>Insight Pro Concealer Palette - Concealer</t>
  </si>
  <si>
    <t>Lakme Jewel Sindoor - Red</t>
  </si>
  <si>
    <t>4.5 ml</t>
  </si>
  <si>
    <t>Insight Cosmetics Beauty Blender Sponge Applicator - Pink</t>
  </si>
  <si>
    <t>Lakme Jewel Sindoor - Maroon</t>
  </si>
  <si>
    <t>Maybelline New York Fit Me Concealer - 25 Medium</t>
  </si>
  <si>
    <t>6.8 ml</t>
  </si>
  <si>
    <t>Lotus Papaya Saffron</t>
  </si>
  <si>
    <t>Maybelline New York Fit Me Concealer - 15 Fair</t>
  </si>
  <si>
    <t>Faces Canada Berry Blush - Love Vibe Only</t>
  </si>
  <si>
    <t>4 gm</t>
  </si>
  <si>
    <t>Insight Make Up Fixer Spray</t>
  </si>
  <si>
    <t>Maybelline New York Fit Me Concealer - 30 Honey</t>
  </si>
  <si>
    <t>Faces Canada Berry Blush - Hop To Beach</t>
  </si>
  <si>
    <t>Lotus Herbals Basiltone Toner</t>
  </si>
  <si>
    <t>Maybelline New York Fit Me Blush Powder - Pink 25</t>
  </si>
  <si>
    <t>Maybelline New York Highlighter - Molten Gold</t>
  </si>
  <si>
    <t>6.7 gm</t>
  </si>
  <si>
    <t>Insight Pro Concealer Palette - Corrector</t>
  </si>
  <si>
    <t>Maybelline New York Highlighter - Molten Rose Gold</t>
  </si>
  <si>
    <t>Faces Canada Highlighter Hello Sunshine</t>
  </si>
  <si>
    <t>Faces Canada Face Palette 3 In 1 - Fresh</t>
  </si>
  <si>
    <t>Faces Canada Ultimate Pro Make Up Fixer</t>
  </si>
  <si>
    <t>Insight Liquid Sindoor - Maroon</t>
  </si>
  <si>
    <t>6 ml</t>
  </si>
  <si>
    <t>Insight HD Concealer - (CR-111) LN 10</t>
  </si>
  <si>
    <t>Insight Liquid Sindoor - Red</t>
  </si>
  <si>
    <t>Insight HD Concealer - (CR-111) MNY 20</t>
  </si>
  <si>
    <t>Insight Hd Conceal - 04 Golden Sand</t>
  </si>
  <si>
    <t>Insight Hd Conceal - 01 Sun Beige</t>
  </si>
  <si>
    <t>Insight Hd Conceal - 03 Honey</t>
  </si>
  <si>
    <t>Faces Canada Berry Blush - Call Me Honey</t>
  </si>
  <si>
    <t>Insight Hd Conceal - 05 Porcelain</t>
  </si>
  <si>
    <t>Insight HD Concealer - (CR-111) MN 30</t>
  </si>
  <si>
    <t>Soulflower Acne Clearout Spot Corrector</t>
  </si>
  <si>
    <t>Soulflower Brightening Wand Serum</t>
  </si>
  <si>
    <t>Parachute Coconut Oil</t>
  </si>
  <si>
    <t>Parachute</t>
  </si>
  <si>
    <t>Coconourish Coconut Oil</t>
  </si>
  <si>
    <t>Coconourish </t>
  </si>
  <si>
    <t>Indulekha Bringha Ayurvedic Hair Oil</t>
  </si>
  <si>
    <t>Indulekha</t>
  </si>
  <si>
    <t>Bajaj Coconut Oil</t>
  </si>
  <si>
    <t>Navratna Ayurvedic Oil</t>
  </si>
  <si>
    <t>Navratna</t>
  </si>
  <si>
    <t>Bajaj Almond Drop Hair Oil</t>
  </si>
  <si>
    <t>650 ml</t>
  </si>
  <si>
    <t>285 ml</t>
  </si>
  <si>
    <t>95 ml</t>
  </si>
  <si>
    <t>475 ml</t>
  </si>
  <si>
    <t>Dabur Anmol Gold Pure Coconut Hair Oil</t>
  </si>
  <si>
    <t>Dabur Amla Hair Oil</t>
  </si>
  <si>
    <t>Mamaearth Onion Hair Oil With Redensyl</t>
  </si>
  <si>
    <t>Mahabhringaraj Ayurvedic Hair Oil</t>
  </si>
  <si>
    <t>Parachute Advanced Jasmine Hair Oil</t>
  </si>
  <si>
    <t>Emami Kesh King Scalp &amp; Hair Medicine Oil</t>
  </si>
  <si>
    <t>Kesh King</t>
  </si>
  <si>
    <t>Emami 7 Oils In One</t>
  </si>
  <si>
    <t>Dabur Almond Hair Oil</t>
  </si>
  <si>
    <t>Parachute Advansed Jasmine Coconut Hair Oil</t>
  </si>
  <si>
    <t>Emami Kesh King Ayurvedic Onion Hair Oil</t>
  </si>
  <si>
    <t>Hair &amp; Care Dry Fruit Oil</t>
  </si>
  <si>
    <t>Hair &amp; Care</t>
  </si>
  <si>
    <t>Bajaj Zero Grey Hair Oil Enriched With Onion Helps Fight Greying Of Hair Naturally</t>
  </si>
  <si>
    <t>WOW Onion Black Seed Hair Oil</t>
  </si>
  <si>
    <t>WOW Castor Oil For Hair &amp; Skin</t>
  </si>
  <si>
    <t>Beardo Hair Growth Oil</t>
  </si>
  <si>
    <t>Beardo Godfather Beard Oil Lite</t>
  </si>
  <si>
    <t>Khadi Natural Amla &amp; Brahmi Hair Oil</t>
  </si>
  <si>
    <t>Khadi Natural Bhringraj Hair Oil</t>
  </si>
  <si>
    <t>Parachute Advansed Onion Hair Oil</t>
  </si>
  <si>
    <t>Parachute Advansed Aloe Vera Enriched Coconut Oil - Gold</t>
  </si>
  <si>
    <t>Soulflower Rosemary Lavender Hair Oil</t>
  </si>
  <si>
    <t>Soulflower Onion Hair Oil</t>
  </si>
  <si>
    <t>Clinic Plus Strong &amp; Long Health Shampoo</t>
  </si>
  <si>
    <t>Clinic Plus</t>
  </si>
  <si>
    <t>340 ml</t>
  </si>
  <si>
    <t>Dove Daily Shine Shampoo</t>
  </si>
  <si>
    <t>L'Oreal Paris Total Repair 5 Shampoo</t>
  </si>
  <si>
    <t>640 ml</t>
  </si>
  <si>
    <t>360 ml</t>
  </si>
  <si>
    <t>Sunsilk Lusciously Thick &amp; Long Shampoo</t>
  </si>
  <si>
    <t>Sunsilk</t>
  </si>
  <si>
    <t>Sunsilk Stunning Black Shine Shampoo</t>
  </si>
  <si>
    <t>Head &amp; Shoulders Smooth &amp; Silky Shampoo</t>
  </si>
  <si>
    <t>Head &amp; Shoulders</t>
  </si>
  <si>
    <t>Dove Hair Fall Rescue Shampoo</t>
  </si>
  <si>
    <t>TRESemmé Keratin Smooth Shampoo</t>
  </si>
  <si>
    <t>Tresemme</t>
  </si>
  <si>
    <t>580 ml</t>
  </si>
  <si>
    <t>Dove Intense Repair Shampoo</t>
  </si>
  <si>
    <t>Mamaearth Onion Shampoo With Plant Keratin</t>
  </si>
  <si>
    <t>Dabur Vatika Ayurvedic Shampoo</t>
  </si>
  <si>
    <t>Head &amp; Shoulders Anti-Dandruff Cool Menthol Shampoo</t>
  </si>
  <si>
    <t>TRESemme Hair Fall Defense Shampoo</t>
  </si>
  <si>
    <t>Sunsilk Nourishing Soft &amp; Smooth Shampoo</t>
  </si>
  <si>
    <t>Emami Kesh King Anti-Hairfall Shampoo</t>
  </si>
  <si>
    <t>L'Oreal Paris 6 Oil Nourish Shampoo</t>
  </si>
  <si>
    <t>Johnson's Baby Shampoo</t>
  </si>
  <si>
    <t>Johnson's</t>
  </si>
  <si>
    <t>Indulekha Bringha Shampoo Proprietary Ayurvedic Medicine for Hair Fall</t>
  </si>
  <si>
    <t>Biotique Kelp Anti Hair Fall Shampoo</t>
  </si>
  <si>
    <t>Biotique</t>
  </si>
  <si>
    <t>Pantene Pro-V Hair Fall Control Shampoo</t>
  </si>
  <si>
    <t>Pantene</t>
  </si>
  <si>
    <t>Himalaya Gentle Baby Shampoo</t>
  </si>
  <si>
    <t>TRESemmé Smooth &amp; Shine Shampoo</t>
  </si>
  <si>
    <t>Head &amp; Shoulders Anti-Hairfall Shampoo</t>
  </si>
  <si>
    <t>L'Oréal Paris Fall Resist 3X Anti-Hair Fall Shampoo</t>
  </si>
  <si>
    <t>Park Avenue Beer Shampoo</t>
  </si>
  <si>
    <t>Clinic Plus Strong &amp; Long Natural Shampoo</t>
  </si>
  <si>
    <t>Himalaya Gentle Daily Care Protein Shampoo</t>
  </si>
  <si>
    <t>Clinic Plus Strong &amp; Long Shampoo</t>
  </si>
  <si>
    <t>Dove Dandruff Care Shampoo</t>
  </si>
  <si>
    <t>Himalaya Anti-Dandruff Shampoo</t>
  </si>
  <si>
    <t>Nyle Naturals Anti-Hairfall Damage Repair Shampoo</t>
  </si>
  <si>
    <t>Nyle Naturals</t>
  </si>
  <si>
    <t>L'Oreal Dream Lengths Restoring Shampoo</t>
  </si>
  <si>
    <t>L'oreal</t>
  </si>
  <si>
    <t>704 ml</t>
  </si>
  <si>
    <t>Head &amp; Shoulders 2 In 1 Smooth &amp; Silky Shampoo + Conditioner</t>
  </si>
  <si>
    <t>Pantene Pro-V Hairfall Control Shampoo + Conditioner</t>
  </si>
  <si>
    <t>Nyle Naturals Anti-Hairfall Strong &amp; Healthy Shampoo</t>
  </si>
  <si>
    <t>Himalaya Anti Hair Fall Shampoo</t>
  </si>
  <si>
    <t>Head &amp; Shoulders Anti Dandruff &amp; Anti Hairfall Shampoo</t>
  </si>
  <si>
    <t>Clinic Plus Strong &amp; Thick Shampoo</t>
  </si>
  <si>
    <t>Head &amp; Shoulders 2 In 1 Cool Menthol Shampoo + Conditioner</t>
  </si>
  <si>
    <t>TRESemme Pro Protect Shampoo</t>
  </si>
  <si>
    <t>TRESemme</t>
  </si>
  <si>
    <t>Khadi Natural Amla Reetha Cleanser</t>
  </si>
  <si>
    <t>Mamaearth Gentle Cleansing Shampoo For Babies</t>
  </si>
  <si>
    <t>WOW Red Onion Black Seed Oil Shampoo</t>
  </si>
  <si>
    <t>WOW Apple Cider Vinegar Shampoo</t>
  </si>
  <si>
    <t>Khadi Natural Amla &amp; Bhringraj Cleanser</t>
  </si>
  <si>
    <t>Khadi Natural Neem &amp; Aloe Vera Hair Cleanser</t>
  </si>
  <si>
    <t>Plum Tea Tree Anti Dandruff Shampoo</t>
  </si>
  <si>
    <t>Soulflower Onion Biotin Shampoo</t>
  </si>
  <si>
    <t>Dove Hairfall Rescue Conditioner</t>
  </si>
  <si>
    <t>Dove Daily Shine Conditioner</t>
  </si>
  <si>
    <t>TRESemmé Keratin Smooth Conditioner</t>
  </si>
  <si>
    <t>190 ml</t>
  </si>
  <si>
    <t>Dove Intense Repair Conditioner</t>
  </si>
  <si>
    <t>L'Oréal Paris Total Repair 5 Repairing Conditioner</t>
  </si>
  <si>
    <t>Sunsilk Lusciously Thick &amp; Long Nourishing Conditioner</t>
  </si>
  <si>
    <t>Mamaearth Onion Conditioner For Hairfall Control</t>
  </si>
  <si>
    <t>L'Oréal Paris 6 Oil Nourish Conditioner</t>
  </si>
  <si>
    <t>Livon Hair Serum</t>
  </si>
  <si>
    <t>Livon</t>
  </si>
  <si>
    <t>L'Oréal Paris Colour Protect Conditioner</t>
  </si>
  <si>
    <t>Pantene Pro-V Hairfall Control Conditioner</t>
  </si>
  <si>
    <t>L'Oréal Paris Fall Resist 3X Conditioner</t>
  </si>
  <si>
    <t>Pantene Pro-V Silky Smooth Care Conditioner</t>
  </si>
  <si>
    <t>335 ml</t>
  </si>
  <si>
    <t>Khadi Natural Herbal Hair Conditioner Green Tea &amp; Aloevera</t>
  </si>
  <si>
    <t>Plum Olive &amp; Macadamia Moisturizing Hair Mask</t>
  </si>
  <si>
    <t>L'Oréal Casting Crème Gloss 400 Dark Brown Hair Colour - 87.5gm+72ml</t>
  </si>
  <si>
    <t>87.5 gm</t>
  </si>
  <si>
    <t>Garnier Color Naturals 3 Darkest Brown Hair Colour - 60ml+50gm</t>
  </si>
  <si>
    <t>L'Oréal Casting Crème Gloss 200 Ebony Black Hair Colour - 87.5gm+72ml</t>
  </si>
  <si>
    <t>Garnier Color Naturals 1 Black Hair Colour - 60ml+50gm</t>
  </si>
  <si>
    <t>L'Oreal Excellence Creme 3 Dark Brown Hair Colour</t>
  </si>
  <si>
    <t>72 ml</t>
  </si>
  <si>
    <t>L'Oreal Excellence Creme 4 Natural Brown</t>
  </si>
  <si>
    <t>L'Oréal Casting Crème Gloss 500 Medium Brown Hair Colour - 87.5gm+72ml</t>
  </si>
  <si>
    <t>Godrej Expert Rich Crème Natural Black 1 Hair Colour</t>
  </si>
  <si>
    <t>Godrej Expert</t>
  </si>
  <si>
    <t>Godrej Nupur Mehendi</t>
  </si>
  <si>
    <t>Garnier Brown Black 3.0 Natural Cream Colour</t>
  </si>
  <si>
    <t>Garnier Color Naturals 4 Brown Hair Colour - 60ml+50gm</t>
  </si>
  <si>
    <t>Garnier Original Black 2.0 Natural Cream Colour</t>
  </si>
  <si>
    <t>Garnier Black Naturals Natural Brown 4.0 Hair Colour</t>
  </si>
  <si>
    <t>Indica Easy Natural Black 1 Hair Color</t>
  </si>
  <si>
    <t>Indica</t>
  </si>
  <si>
    <t>Godrej Expert Rich Crème Hair Colour Dark Brown - 4.06</t>
  </si>
  <si>
    <t>Godrej Expert Rich Crème Natural Brown 4 Hair Colour</t>
  </si>
  <si>
    <t>Garnier Color Naturals 3.16 Burgundy Hair Colour - 60ml+50gm</t>
  </si>
  <si>
    <t>Godrej Expert Rich Crème Hair Colour Black Brown - 3.00</t>
  </si>
  <si>
    <t>Garnier Men Shampoo Color 1.0 Natural Black  - 10 ml +10 ml</t>
  </si>
  <si>
    <t>10 ml + 10 ml</t>
  </si>
  <si>
    <t>Garnier Deep Black 1.0 Natural Hair Colour</t>
  </si>
  <si>
    <t>Garnier Men Shampoo Color 3.0 Brown Black</t>
  </si>
  <si>
    <t>Revlon Colorsilk 2N Brown Black Hair Color</t>
  </si>
  <si>
    <t>Revlon</t>
  </si>
  <si>
    <t>40 ml</t>
  </si>
  <si>
    <t>Revlon Colorsilk 4N Medium Brown Hair Color</t>
  </si>
  <si>
    <t>Revlon Colorsilk 5G Light Golden Brown Hair Color</t>
  </si>
  <si>
    <t>Beardo Hair Wax Strong Hold</t>
  </si>
  <si>
    <t>Philips Hair Dryer HP8142</t>
  </si>
  <si>
    <t>1000 W</t>
  </si>
  <si>
    <t>Vega Hair Dryer VHDH-05</t>
  </si>
  <si>
    <t>Vega</t>
  </si>
  <si>
    <t>Vega 3 In 1 Hair Styler - VHSCC01</t>
  </si>
  <si>
    <t>Philips HP8302/06 Hair Straightener</t>
  </si>
  <si>
    <t>Vega VHTH 13 Trimmer</t>
  </si>
  <si>
    <t>Vega VHSH 18 Hair Straightener</t>
  </si>
  <si>
    <t>Zodiac Comb</t>
  </si>
  <si>
    <t>Maybelline Colossal Kajal Black</t>
  </si>
  <si>
    <t>0.35 gm</t>
  </si>
  <si>
    <t>Eye Makeup</t>
  </si>
  <si>
    <t>Maybelline New York Super Black Kajal</t>
  </si>
  <si>
    <t>Mamaearth Charcoal Black Long Stay Kajal</t>
  </si>
  <si>
    <t>1.2 gm</t>
  </si>
  <si>
    <t>Faces Canada Magneteyes Kajal</t>
  </si>
  <si>
    <t>Faces Canada Magneteyes Kajal - Blue Motivaton</t>
  </si>
  <si>
    <t>Faces Canada Magneteyes Kajal - Brown Comfort</t>
  </si>
  <si>
    <t>Faces Canada Magneteyes Kajal 2 In 1 - Black</t>
  </si>
  <si>
    <t>0.7 gm</t>
  </si>
  <si>
    <t>Faces Canada Magneteyes Kajal - Green Appreciation</t>
  </si>
  <si>
    <t>Insight Intense Kohl Kajal</t>
  </si>
  <si>
    <t>Faces Canada Magneteyes Kajal - Burgundy Love</t>
  </si>
  <si>
    <t>Lakme Eyeconic Kajal - Regal Green</t>
  </si>
  <si>
    <t>Faces Canada Magneteyes Range 3 In 1 - Black</t>
  </si>
  <si>
    <t>13 ml</t>
  </si>
  <si>
    <t>Lakme 9to5 Naturale Gel Kajal - Black</t>
  </si>
  <si>
    <t>Faces Canada Ultime Pro Instense Gel Kajal - Black</t>
  </si>
  <si>
    <t>Faces Canada Longwear Eye Pencil - Forest Green</t>
  </si>
  <si>
    <t>Faces Canada Longwear Eye Pencil - Solid Black</t>
  </si>
  <si>
    <t>Plum Kohl Kajal - Deep Black</t>
  </si>
  <si>
    <t>Maybelline New York Hyper Curl Black Mascara</t>
  </si>
  <si>
    <t>9.2 ml</t>
  </si>
  <si>
    <t>Maybelline New York Colossal Mascara</t>
  </si>
  <si>
    <t>10 ml</t>
  </si>
  <si>
    <t>Lakme Eyeconic Curling Mascara - Black</t>
  </si>
  <si>
    <t>9 ml</t>
  </si>
  <si>
    <t>Insight Mascara</t>
  </si>
  <si>
    <t>Faces Canada Magneteyes Dramatic Volumizing Mascara - Black</t>
  </si>
  <si>
    <t>9.5 gm</t>
  </si>
  <si>
    <t>Faces Canda Whopper Lashes Mascara</t>
  </si>
  <si>
    <t>5 gm</t>
  </si>
  <si>
    <t>Lakme Eyeconic Volume Mascara</t>
  </si>
  <si>
    <t>8.5 ml</t>
  </si>
  <si>
    <t>Maybelline New York Colossal Bold Liner - Black</t>
  </si>
  <si>
    <t>3 ml</t>
  </si>
  <si>
    <t>Maybelline New York Blackest Black Eyeliner</t>
  </si>
  <si>
    <t>2.5 gm</t>
  </si>
  <si>
    <t>Faces Canada Made In Heaven Ink Eyeliner</t>
  </si>
  <si>
    <t>0.6 ml</t>
  </si>
  <si>
    <t>Faces Canada Magneteyes Eyeliner - Black</t>
  </si>
  <si>
    <t>3.5 ml</t>
  </si>
  <si>
    <t>Lakme Eyeconic Liquid Eyeliner - Black</t>
  </si>
  <si>
    <t>Lakme 9to5 Impact Eye Liner - Black</t>
  </si>
  <si>
    <t>Insight Liner Express Eye Pen</t>
  </si>
  <si>
    <t>1.5 gm</t>
  </si>
  <si>
    <t>Insight Shiny Waterproof Eyeliner - Black</t>
  </si>
  <si>
    <t>5 ml</t>
  </si>
  <si>
    <t>Faces Canada Matte Play Eyeliner - Black</t>
  </si>
  <si>
    <t>2.5 ml</t>
  </si>
  <si>
    <t>Lotus Make-Up Opulence Botanical Eye Liner</t>
  </si>
  <si>
    <t>Faces Canada Made In Heaven Ink Eyeliner - Black</t>
  </si>
  <si>
    <t>1.2 ml</t>
  </si>
  <si>
    <t>Faces Canada Ultime Pro Eyestyle Liner - Black</t>
  </si>
  <si>
    <t>1 ml</t>
  </si>
  <si>
    <t>Lotus Make-Up Colorkick Eyeliner - Intense Black</t>
  </si>
  <si>
    <t>Faces Canada Eye Brow Defining Pencil - Dark Brown</t>
  </si>
  <si>
    <t>Maybelline New York Blushed Nudes Eyeshadow Palette</t>
  </si>
  <si>
    <t>Maybelline New York 5th Avenue Sunset Mini Palette</t>
  </si>
  <si>
    <t>6.1 gm</t>
  </si>
  <si>
    <t>Faces Canada Ultime Pro Eyeshadow Palette</t>
  </si>
  <si>
    <t>Maybelline Baby Lips Color Lip Balm - Berry Crush</t>
  </si>
  <si>
    <t>Lip Care</t>
  </si>
  <si>
    <t>Mamaearth Ubtan Tinted Natural Lip Balm</t>
  </si>
  <si>
    <t>Maybelline Baby Lips Cherry Kiss Lip Balm</t>
  </si>
  <si>
    <t>Maybelline New York Color Highline Wine Lip Balm</t>
  </si>
  <si>
    <t>Faces Canada Color Lip Balm - Rose Petal</t>
  </si>
  <si>
    <t>Maybelline New York Color Pink Bloom Lip Balm</t>
  </si>
  <si>
    <t>1.7 gm</t>
  </si>
  <si>
    <t>Maybelline New York Color Peach Bloom Lip Balm</t>
  </si>
  <si>
    <t>Faces Canada Color Lip Balm - Watermelon</t>
  </si>
  <si>
    <t>Lotus Harbals Strawberry Lip Balm</t>
  </si>
  <si>
    <t>Maybelline New York Baby Lips Pink Lolita Lip Balm</t>
  </si>
  <si>
    <t>Faces Canada Lip Balm - Orange Mint</t>
  </si>
  <si>
    <t>Maybelline New York Color Broadway Red Lip Balm</t>
  </si>
  <si>
    <t>Maybelline New York Color Manhattan Mauve Lip Balm</t>
  </si>
  <si>
    <t>Maybelline New York Baby Lips Anti-Oxidant Berry Lip Balm</t>
  </si>
  <si>
    <t>Maybelline New York Color Brooklyn Bronze Lip Balm</t>
  </si>
  <si>
    <t>Plum Red Velvet Love Lip Balm</t>
  </si>
  <si>
    <t>Maybelline Sensational Liquid Matte 06 Best Babe</t>
  </si>
  <si>
    <t>7 ml</t>
  </si>
  <si>
    <t>Maybelline New York Ink Liquid Lipstick - 120 Artist</t>
  </si>
  <si>
    <t>Lakme Forever Matte Liquid Lip Colour - Red Wine</t>
  </si>
  <si>
    <t>5.6 ml</t>
  </si>
  <si>
    <t>Lakme Forever Matte Liquid Lip Colour - Pink Ballet</t>
  </si>
  <si>
    <t>Maybelline Sensational Liquid Matte 02 Soft Wine</t>
  </si>
  <si>
    <t>Lakme Forever Matte Liquid Lip Colour - Pink Punch</t>
  </si>
  <si>
    <t>Maybelline New York Ink Liquid Lipstick -225 Delicate</t>
  </si>
  <si>
    <t>Lakme Forever Matte Liquid Lip Colour - Wine Glow</t>
  </si>
  <si>
    <t>Maybelline New York Ink Liquid Lipstick - 80 Ruler</t>
  </si>
  <si>
    <t>Lakme Forever Matte Liquid Lip Colour - Red Cherry</t>
  </si>
  <si>
    <t>Maybelline New York Color Sensational Liquid Matte Lipstick - Sensationally Me</t>
  </si>
  <si>
    <t>Maybelline Sensational Liquid Matte 11 Made Easy</t>
  </si>
  <si>
    <t>Maybelline New York Ink Liquid Lipstick - 20 Pioneer</t>
  </si>
  <si>
    <t>Lakme Forever Matte Liquid Lip Colour - Pink Prom</t>
  </si>
  <si>
    <t>Maybelline New York Ink Liquid Lipstick - 220 Ambitious</t>
  </si>
  <si>
    <t>Maybelline New York Color Sensational  Liquid Matte Lipstick - Flush It Red</t>
  </si>
  <si>
    <t>Faces Canada Creme Finish Lipstick - Plum Peach 06</t>
  </si>
  <si>
    <t>Faces Canada Creme Finish Lipstick - Wine Drop 20</t>
  </si>
  <si>
    <t>Faces Canada Creme Finish Lipstick - Love Nude 09</t>
  </si>
  <si>
    <t>Faces Canada Matte Finish Lipstick - Hot Plum 24</t>
  </si>
  <si>
    <t>Maybelline New York Creamy Mattes Nude Nuance Lipstick</t>
  </si>
  <si>
    <t>3.9 gm</t>
  </si>
  <si>
    <t>Faces Canada Matte Finish Lipstick - Buff Nude 05</t>
  </si>
  <si>
    <t>Faces Canada Creme Finish Lipstick - Imperial Plum 23</t>
  </si>
  <si>
    <t>Lakme Cushion Matte Lipstick - Red Wine</t>
  </si>
  <si>
    <t>Insight Non-Transfer Lip Color - Molten Pink</t>
  </si>
  <si>
    <t>4 ml</t>
  </si>
  <si>
    <t>Maybelline New York Creamy Mattes Burgundy Blush Lipstick</t>
  </si>
  <si>
    <t>Faces Canada Creme Finish Lipstick - Natural Brown 21</t>
  </si>
  <si>
    <t>Faces Canada HD Matte Lips + Primer - Magnetic 02</t>
  </si>
  <si>
    <t>1.4 gm</t>
  </si>
  <si>
    <t>Faces Canada Creme Finish Lipstick - Pretty Pink 07</t>
  </si>
  <si>
    <t>Insight Non-Transfer Lip Color - Sugar Plum</t>
  </si>
  <si>
    <t>Maybelline New York Creamy Mattes Rich Ruby Lipstick</t>
  </si>
  <si>
    <t>Maybelline New York Creamy Mattes Divine Wine Lipstick</t>
  </si>
  <si>
    <t>Insight Matte Lip Ink - Boujee</t>
  </si>
  <si>
    <t>Faces Canada HD Matte Lips + Primer - Perfection 01</t>
  </si>
  <si>
    <t>Lakme Forever Matte Liquid Lip Colour - Nude Myth</t>
  </si>
  <si>
    <t>Maybelline New York Creamy Matte Lipstick - Touch Of Spice</t>
  </si>
  <si>
    <t>Maybelline Color Creamy Mattes Flaming Fuchsia 630</t>
  </si>
  <si>
    <t>Faces Canada Creme Finish Lipstick - Rosewood 19</t>
  </si>
  <si>
    <t>Lakme Forever Matte Liquid Lip Colour - Nude Pink</t>
  </si>
  <si>
    <t>Faces Canada Matte Finish Lipstick - Divine Mauve 17</t>
  </si>
  <si>
    <t>Faces Canada HD Matte Lips + Primer - Tease 14</t>
  </si>
  <si>
    <t>Insight Non-Transfer Lip Color - Toffee Cream</t>
  </si>
  <si>
    <t>Faces Canada Matte Finish Lipstick - Forsake Beauty 01</t>
  </si>
  <si>
    <t>Insight Matte Lipstick - A3 Cherry Wine</t>
  </si>
  <si>
    <t>4.2 gm</t>
  </si>
  <si>
    <t>Insight Non-Transfer Lip Color - 03 Divine Wine</t>
  </si>
  <si>
    <t>Faces Canada HD Matte Lips + Primer - Wine Shot 26</t>
  </si>
  <si>
    <t>Faces Canada Matte Finish Lipstick - Maroon Love 06</t>
  </si>
  <si>
    <t>Faces Canada Matte Finish Lipstick - Subtle Mauve 10</t>
  </si>
  <si>
    <t>Faces Canada Creme Finish Lipstick - Amber 14</t>
  </si>
  <si>
    <t>Lotus Make-Up Pure Lip Color Matte - Rouge Allure 600</t>
  </si>
  <si>
    <t>Insight 24 Hrs Matte Lipstick - I'm Tamed! (17)</t>
  </si>
  <si>
    <t>Insight Non-Transfer Lip Color - Charmed</t>
  </si>
  <si>
    <t>Faces Canada HD Matte Lips + Primer - Bold Wine 11</t>
  </si>
  <si>
    <t>Faces Canada HD Matte Lips + Primer - Tea Rose 10</t>
  </si>
  <si>
    <t>Insight Matte Lip Ink - Coco</t>
  </si>
  <si>
    <t>Faces Canada Matte Finish Lipstick - Fuschia Wave 02</t>
  </si>
  <si>
    <t>Insight Non-Transfer Lip Color - 11 Coffe Command</t>
  </si>
  <si>
    <t>Lakme Cushion Matte Lipstick - Red Retro</t>
  </si>
  <si>
    <t>Insight Non-Transfer Lip Color - 01 Joyful</t>
  </si>
  <si>
    <t>Faces Canada HD Matte Lips + Primer - Dash Of Pink 05</t>
  </si>
  <si>
    <t>Faces Canada Matte Finish Lipstick - Royal Maroon 16</t>
  </si>
  <si>
    <t>Lakme Cushion Matte Lipstick - Pink Ruby</t>
  </si>
  <si>
    <t>Maybelline Color Sensational Creamy Mattes Pink My Red 641 Lipstick</t>
  </si>
  <si>
    <t>Insight Matte Lipstick - A10 Bon Bon</t>
  </si>
  <si>
    <t>Faces Canada HD Matte Lips + Primer - Red Bouquet 18</t>
  </si>
  <si>
    <t>Insight Matte Lip Ink - Brave</t>
  </si>
  <si>
    <t>Maybelline Color Creamy Mattes Chili Nude 500 Lipstick</t>
  </si>
  <si>
    <t>Insight 24 Hrs Matte Lipstick - Feeling Bubbly (07)</t>
  </si>
  <si>
    <t>Insight Matte Lipstick - A9 Pink Curve</t>
  </si>
  <si>
    <t>Insight Matte Lipstick - A6 First Love</t>
  </si>
  <si>
    <t>Maybelline Color Creamy Mattes Bold Crimson 634 Lipstick</t>
  </si>
  <si>
    <t>Insight 24 Hrs Matte Lipstick - Paris Vibes (23)</t>
  </si>
  <si>
    <t>Lakme Cushion Matte Lipstick - Red Blaze</t>
  </si>
  <si>
    <t>Lakme Cushion Matte Lipstick - Pink Summer</t>
  </si>
  <si>
    <t>Insight Matte Lipstick - A7 Red Carpet</t>
  </si>
  <si>
    <t>Insight 24 Hrs Matte Lipstick - Stay Basic! (08)</t>
  </si>
  <si>
    <t>Insight Matte Lipstick - A2 Nude Coffee</t>
  </si>
  <si>
    <t>Insight 24 Hrs Matte Lipstick - Moody (13)</t>
  </si>
  <si>
    <t>Insight Mega Last Crayon Lipstick - Making Moves (01)</t>
  </si>
  <si>
    <t>1.3 gm</t>
  </si>
  <si>
    <t>Insight 24 Hrs Matte Lipstick - Yes Please! (16)</t>
  </si>
  <si>
    <t>Insight 24 Hrs Matte Lipstick - Instagram (24)</t>
  </si>
  <si>
    <t>Maybelline Color Creamy Mattes Siren In Scarlet Lipstick 690</t>
  </si>
  <si>
    <t>Lakme Cushion Matte Lipstick - Red Ruby</t>
  </si>
  <si>
    <t>Lakme Forever Matte Liquid Lip Colour - Pink Glam</t>
  </si>
  <si>
    <t>Lakme Cushion Matte Lipstick - Red Orchid</t>
  </si>
  <si>
    <t>Lakme Forever Matte Liquid Lip Colour - Crimson Rose</t>
  </si>
  <si>
    <t>Insight Mega Last Crayon Lipstick - Bleeding Love (07)</t>
  </si>
  <si>
    <t>Insight Mega Last Crayon Lipstick - Talk In Tokyo (15)</t>
  </si>
  <si>
    <t>Faces Canada HD Matte Lips + Primer - Natural Coco 12</t>
  </si>
  <si>
    <t>Faces Canada Matte Finish Lipstick - Pretty Sepia 08</t>
  </si>
  <si>
    <t>Lakme Cushion Matte Lipstick - Red Rose</t>
  </si>
  <si>
    <t>Insight Matte Lip Ink - Heavenly</t>
  </si>
  <si>
    <t>Insight Matte Lipstick - A8 Berry Dance</t>
  </si>
  <si>
    <t>Insight Mega Last Crayon Lipstick - Wait For None (13)</t>
  </si>
  <si>
    <t>Insight Matte Lip Ink - Cherry Bomb</t>
  </si>
  <si>
    <t>Lakme 9to5 Primer + Matte Lipstick - Brown Walnut</t>
  </si>
  <si>
    <t>3.6 gm</t>
  </si>
  <si>
    <t>Insight Mega Last Crayon Lipstick - On My Way (03)</t>
  </si>
  <si>
    <t>Insight 24 Hrs Matte Lipstick - Send Nudes (06)</t>
  </si>
  <si>
    <t>Lakme 9to5 Primer + Matte Lipstick - Rosy Sunday</t>
  </si>
  <si>
    <t>Lakme Forever Matte  Liquid Lip Colour - Red Sangria</t>
  </si>
  <si>
    <t>Lake 9to5 Primer + Matte Lipstick - Peach Affair</t>
  </si>
  <si>
    <t>Insight Matte Lip Ink - Loco</t>
  </si>
  <si>
    <t>Lakme Forever Matte Liquid Lip Colour - Nude Dream</t>
  </si>
  <si>
    <t>Insight Mega Last Crayon Lipstick - Bronzing Sun (24): 1.3 gms</t>
  </si>
  <si>
    <t>Insight Mega Last Crayon Lipstick - Taming Anger (22)</t>
  </si>
  <si>
    <t>Lakme 9to5 Primer + Matte Lipstick - Pink Rose</t>
  </si>
  <si>
    <t>Insight Mega Last Crayon Lipstick - A Godly Sin (23)</t>
  </si>
  <si>
    <t>Insight 24 Hrs Matte Lipstick - Oh Sh... (03)</t>
  </si>
  <si>
    <t>Insight Mega Last Crayon Lipstick - Returning Favours (21)</t>
  </si>
  <si>
    <t>Lakme Forever Matte  Liquid Lip Colour - Mauve Party</t>
  </si>
  <si>
    <t>Lakme Forever Matte Liquid Lip Colour - Mauve Ecstacy</t>
  </si>
  <si>
    <t>Lakme Forever Matte Liquid Lip Colour - Nude Twist</t>
  </si>
  <si>
    <t>Lakme 9to5 Primer + Matte Lipstick - Brick Blush</t>
  </si>
  <si>
    <t>Lakme 9to5 Primer + Matte Lipstick - Scarlet Surge</t>
  </si>
  <si>
    <t>Lakme Forever Matte Liquid Lip Colour - Wine Touch</t>
  </si>
  <si>
    <t>Maybelline New York Creamy Mattes Mesmerizing Magenta Lipstick</t>
  </si>
  <si>
    <t>Faces Canada Nail Enamel Remover Transparent</t>
  </si>
  <si>
    <t>Nail Care</t>
  </si>
  <si>
    <t>Faces Canada Instaremove Dip &amp; Twist Nail Enamel Remover</t>
  </si>
  <si>
    <t>80 ml</t>
  </si>
  <si>
    <t>Faces Canada Splash Nail Enamel - Floral Dream 56</t>
  </si>
  <si>
    <t>Faces Canada Splash Nail Enamel - Iris 102</t>
  </si>
  <si>
    <t>Lakme 9to5 Primer + Gloss Nail Colour - Pink Pace</t>
  </si>
  <si>
    <t>Lakme 9to5 Primer + Gloss Nail Color - Mulberry Bush</t>
  </si>
  <si>
    <t>Lakme 9to5 Primer + Gloss Nail Color -Teal Deal</t>
  </si>
  <si>
    <t>Lakme 9to5 Primer + Gloss Nail Color - Caramel Case</t>
  </si>
  <si>
    <t>Lakme 9to5 Primer + Gloss Nail Color - Ruby Rush</t>
  </si>
  <si>
    <t>Lakme 9to5 Primer + Gloss Nail Color - Mustard Master</t>
  </si>
  <si>
    <t>Faces Canada Splash Nail Enamel - Beach Rose 157</t>
  </si>
  <si>
    <t>Faces Canada Splash Nail Enamel - Linty 45</t>
  </si>
  <si>
    <t>Faces Canada Splash Nail Enamel - Purple Rain 19</t>
  </si>
  <si>
    <t>Insight Nail Polish - Color 215</t>
  </si>
  <si>
    <t>Faces Canada Splash Nail Enamel - Nutty 32</t>
  </si>
  <si>
    <t>Faces Canada Splash Nail Enamel - Marooned 401</t>
  </si>
  <si>
    <t>Faces Canada Splash Nail Enamel - Sunny Side Up 51</t>
  </si>
  <si>
    <t>Insight Pastel Color Nail Polish - 31</t>
  </si>
  <si>
    <t>Insight Nail Polish - Color 224</t>
  </si>
  <si>
    <t>Faces Canada Splash Nail Enamel - Viola 41</t>
  </si>
  <si>
    <t>Lakme True Wear Nail Color - Reds &amp; Maroons 404</t>
  </si>
  <si>
    <t>Faces Canada Splash Nail Enamel - White O White 14</t>
  </si>
  <si>
    <t>Insight Nail Polish - Color 101</t>
  </si>
  <si>
    <t>Insight Pastel Color Nail Polish - 34</t>
  </si>
  <si>
    <t>Elle 18 Nail Pops Nail Colour - Shade 39</t>
  </si>
  <si>
    <t>Elle 18</t>
  </si>
  <si>
    <t>56</t>
  </si>
  <si>
    <t>28</t>
  </si>
  <si>
    <t>121</t>
  </si>
  <si>
    <t>30</t>
  </si>
  <si>
    <t>59</t>
  </si>
  <si>
    <t>8</t>
  </si>
  <si>
    <t>129</t>
  </si>
  <si>
    <t>Insight Long Lasting Nail Polish - 39</t>
  </si>
  <si>
    <t>Faces Canada Splash Nail Enamel - Frozen 40</t>
  </si>
  <si>
    <t>Faces Canada Splash Nail Enamel - Royal Ruby 24</t>
  </si>
  <si>
    <t>Lakme 9to5 Primer + Gloss Nail Color - Blush Punch</t>
  </si>
  <si>
    <t>Faces Canada Splash Nail Enamel - Black Beauty 15</t>
  </si>
  <si>
    <t>Lakme True Wear Nail Color - Nudes V014</t>
  </si>
  <si>
    <t>Insight Pastel Color Nail Polish - 28</t>
  </si>
  <si>
    <t>Faces Canada Splash Nail Enamel - Ignite 35</t>
  </si>
  <si>
    <t>Faces Canada Splash Nail Enamel - Color Up 34</t>
  </si>
  <si>
    <t>Faces Canada Splash Nail Enamel - Bahama Breeze 58</t>
  </si>
  <si>
    <t>Faces Canada Splash Nail Enamel- Hot Paprika 63</t>
  </si>
  <si>
    <t>Faces Canada Splash Nail Enamel - Dove 38</t>
  </si>
  <si>
    <t>Insight Nail Polish - Color 79</t>
  </si>
  <si>
    <t>Insight Nail Polish - Color 64</t>
  </si>
  <si>
    <t>Elle 18 Nail Pops Nail Colour - Shade 25</t>
  </si>
  <si>
    <t>Insight Nail Polish - Color 164</t>
  </si>
  <si>
    <t>Insight Pastel Color Nail Polish - 30</t>
  </si>
  <si>
    <t>Insight Nail Polish - Color 249</t>
  </si>
  <si>
    <t>Faces Canada Splash Nail Enamel - All That Glitters 22</t>
  </si>
  <si>
    <t>Faces Canada Splash Nail Enamel - Nautical Green 53</t>
  </si>
  <si>
    <t>Insight Pastel Color Nail Polish - 69</t>
  </si>
  <si>
    <t>Elle 18 Nail Pops Nail Colour - Shade 119</t>
  </si>
  <si>
    <t>Faces Canada Splash Nail Enamel - Morning Glory 54</t>
  </si>
  <si>
    <t>Insight Nail Polish - Color 168</t>
  </si>
  <si>
    <t>Insight Nail Polish - Nude Shade 2</t>
  </si>
  <si>
    <t>Elle 18 Nail Pops Nail Colour - Shade 42</t>
  </si>
  <si>
    <t>Elle 18 Nail Pops Nail Colour - Shade 05</t>
  </si>
  <si>
    <t>Elle 18 Nail Pops Nail Colour - Shade 57</t>
  </si>
  <si>
    <t>Elle 18 Nail Pops Nail Colour - Shade 132</t>
  </si>
  <si>
    <t>Elle 18 Nail Pops Nail Colour - Shade 32</t>
  </si>
  <si>
    <t>Elle 18 Nail Pops Nail Colour - Shade 127</t>
  </si>
  <si>
    <t>Elle 18 Nail Pops Nail Colour - Shade 41</t>
  </si>
  <si>
    <t>Insight Nail Polish - Color 158</t>
  </si>
  <si>
    <t>Insight Pastel Color Nail Polish - 32</t>
  </si>
  <si>
    <t>Elle 18 Nail Pops Nail Colour - Shade 125</t>
  </si>
  <si>
    <t>Faces Canada Splash Nail Enamel - Sere 44</t>
  </si>
  <si>
    <t>Insight Nail Polish - Color 316</t>
  </si>
  <si>
    <t>Elle 18 Nail Pops Nail Colour - Shade 128</t>
  </si>
  <si>
    <t>Faces Canada Splash Nail Enamel - Tropical Green 59</t>
  </si>
  <si>
    <t>Elle 18 Nail Pops Nail Colour - Shade 60</t>
  </si>
  <si>
    <t>Elle 18 Nail Pops Nail Colour - Shade 122</t>
  </si>
  <si>
    <t>Insight Nail Polish - Color 211</t>
  </si>
  <si>
    <t>Elle 18 Nail Pops Nail Colour - Shade 69</t>
  </si>
  <si>
    <t>Insight Nail Polish - Nude Shade 19</t>
  </si>
  <si>
    <t>Colgate Dental Cream Strong Teeth Toothpaste</t>
  </si>
  <si>
    <t>Colgate</t>
  </si>
  <si>
    <t>Oral Care</t>
  </si>
  <si>
    <t>Colgate MaxFresh Spicy Fresh Toothpaste</t>
  </si>
  <si>
    <t>Patanjali Dant Kanti Dental Cream</t>
  </si>
  <si>
    <t>2x200 gm</t>
  </si>
  <si>
    <t>Colgate Total Advanced Health Toothpaste</t>
  </si>
  <si>
    <t>Closeup Everfresh+ Anti-Germ Gel Red Hot Toothpaste</t>
  </si>
  <si>
    <t>Closeup</t>
  </si>
  <si>
    <t>2x150 gm</t>
  </si>
  <si>
    <t>Dabur Red Tooth Paste</t>
  </si>
  <si>
    <t>Dabur Meswak Toothpaste</t>
  </si>
  <si>
    <t>Pepsodent Germi Check Toothpaste</t>
  </si>
  <si>
    <t>Pepsodent</t>
  </si>
  <si>
    <t>Sensodyne Repair &amp; Protect Toothpaste</t>
  </si>
  <si>
    <t>Sensodyne</t>
  </si>
  <si>
    <t>Colgate Swarna Vedshakti Toothpaste</t>
  </si>
  <si>
    <t>Sensodyne Rapid Relief Toothpaste</t>
  </si>
  <si>
    <t>Colgate Max Fresh Peppermint Ice Toothpaste</t>
  </si>
  <si>
    <t>Dabur Red Ayurvedic Toothpaste</t>
  </si>
  <si>
    <t>Colgate Visible White Toothpaste</t>
  </si>
  <si>
    <t>2x100 gm</t>
  </si>
  <si>
    <t>Sensodyne Fresh Gel Toothpaste</t>
  </si>
  <si>
    <t>Colgate Charcoal Clean Bamboo &amp; Mint Toothpaste</t>
  </si>
  <si>
    <t>Sensodyne Fresh Mint Toothpaste</t>
  </si>
  <si>
    <t>Colgate Active Salt Toothpaste</t>
  </si>
  <si>
    <t>Himalaya Sparkling White Herbal Toothpaste</t>
  </si>
  <si>
    <t>Colgate Kids Toothpaste - Strawberry</t>
  </si>
  <si>
    <t>Sensodyne Whitening Fluoride Toothpaste</t>
  </si>
  <si>
    <t>Vicco Vajradanti - Ayurvedic Medicine For Gums &amp; Teeth</t>
  </si>
  <si>
    <t>Colgate Kids Toothpaste Bubble Fruit Flavour</t>
  </si>
  <si>
    <t>Pepsodent 2-In-1 Toothpaste</t>
  </si>
  <si>
    <t>Colgate Cibaca Toothpaste</t>
  </si>
  <si>
    <t>2x175 gm</t>
  </si>
  <si>
    <t>Colgate Active Salt Neem Toothpaste</t>
  </si>
  <si>
    <t>Colgate Active</t>
  </si>
  <si>
    <t>Colgate Visible White O2 Toothpaste - Aromatic Mint</t>
  </si>
  <si>
    <t>Colgate Visible White O2 Toothpaste - Peppermint Sparkle</t>
  </si>
  <si>
    <t>Listerine Cool Mint Mouthwash</t>
  </si>
  <si>
    <t>Listerine</t>
  </si>
  <si>
    <t>Colgate Plax Peppermint Fresh Mouthwash</t>
  </si>
  <si>
    <t>Listerine Original Mouthwash</t>
  </si>
  <si>
    <t>Colgate Plax Fresh Tea Mouthwash</t>
  </si>
  <si>
    <t>Colgate Plax Freshmint Mouthwash</t>
  </si>
  <si>
    <t>Smyle Mouth Ulcer Gel</t>
  </si>
  <si>
    <t>Smyle</t>
  </si>
  <si>
    <t>Colgate Ultra Soft Sensitive Toothbrush</t>
  </si>
  <si>
    <t>Oral-B Cavity Defence Soft Toothbrush</t>
  </si>
  <si>
    <t>Oral-B</t>
  </si>
  <si>
    <t>Oral-B Pro Health Gum Care Medium Toothbrush</t>
  </si>
  <si>
    <t>Colgate Zigzag Medium Toothbrush</t>
  </si>
  <si>
    <t>Colgate Gentle Enamel Ultra Soft Toothbrush</t>
  </si>
  <si>
    <t>Colgate Slim Soft Charcoal Toothbrush</t>
  </si>
  <si>
    <t>Sensodyne Sensitive Soft Toothbrush</t>
  </si>
  <si>
    <t>Colgate Zigzag Soft Toothbrush</t>
  </si>
  <si>
    <t>Colgate Zigzag Neem Medium Toothbrush</t>
  </si>
  <si>
    <t>Colgate Zig Zag Charcoal Medium Toothbrush</t>
  </si>
  <si>
    <t>Oraldent Medium Toothbrush</t>
  </si>
  <si>
    <t>Oraldent</t>
  </si>
  <si>
    <t>Colgate Gentle Gum Care Ultra Soft Toothbrush</t>
  </si>
  <si>
    <t>Sensodyne Toothbrush</t>
  </si>
  <si>
    <t>Oral Dent Kids Toothbrush (5+ Years)</t>
  </si>
  <si>
    <t>Oral Dent</t>
  </si>
  <si>
    <t>Colgate Kids Barbie Extra Soft Toothbrush</t>
  </si>
  <si>
    <t>Colgate Extra Soft Minions Kids Toothbrush</t>
  </si>
  <si>
    <t>Colgate Zig Zag Charcoal Soft Toothbrush</t>
  </si>
  <si>
    <t>Oraldent Deep Clean Soft Toothbrush</t>
  </si>
  <si>
    <t>Oral Dent Bamboo Toothbrush</t>
  </si>
  <si>
    <t>Sensodyne Soft Toothbrush</t>
  </si>
  <si>
    <t>Oraldent Regular Toothbrush</t>
  </si>
  <si>
    <t>Sensodyne Expert Soft Toothbrush</t>
  </si>
  <si>
    <t>Oraldent Sensitive Toothbrush</t>
  </si>
  <si>
    <t>Whisper Ultra Clean XL+ Wings Pads</t>
  </si>
  <si>
    <t>Whisper</t>
  </si>
  <si>
    <t>44 U</t>
  </si>
  <si>
    <t>Stayfree Dry Max Ultra All Night - XL</t>
  </si>
  <si>
    <t>Stayfree</t>
  </si>
  <si>
    <t>42 U</t>
  </si>
  <si>
    <t>Stayfree Secure Cottony Wings XL</t>
  </si>
  <si>
    <t>40 U</t>
  </si>
  <si>
    <t>Sofy Body fit Antibacterial XL Pads</t>
  </si>
  <si>
    <t>Sofy</t>
  </si>
  <si>
    <t>48 U</t>
  </si>
  <si>
    <t>Whisper Ultra Soft Wings Pads XL</t>
  </si>
  <si>
    <t>Whisper Bindazzz Nights XL +</t>
  </si>
  <si>
    <t>16 U</t>
  </si>
  <si>
    <t>27 U</t>
  </si>
  <si>
    <t>Whisper Choice Ultra XL Wings Pads</t>
  </si>
  <si>
    <t>Stayfree Secure Cottony Soft Regular</t>
  </si>
  <si>
    <t>VWash Plus Expert Intimate Hygiene</t>
  </si>
  <si>
    <t>VWash</t>
  </si>
  <si>
    <t>Personal Hygiene</t>
  </si>
  <si>
    <t>Stayfree Secure Nights Cottony Soft Comfort</t>
  </si>
  <si>
    <t>Whisper Choice XL Pads</t>
  </si>
  <si>
    <t>Whisper Ultra Clean XL Wings Pads</t>
  </si>
  <si>
    <t>Stayfree Secure XL Ultra-Thin</t>
  </si>
  <si>
    <t>Carefree Super Dry Panty Liners</t>
  </si>
  <si>
    <t>Carefree</t>
  </si>
  <si>
    <t>Whisper Choice Extra Long (XL) Pads</t>
  </si>
  <si>
    <t>Nivea Men Fresh Active Deodorant</t>
  </si>
  <si>
    <t>Deos &amp; Perfumes</t>
  </si>
  <si>
    <t>Park Avenue Signature Voyage Perfume Spray</t>
  </si>
  <si>
    <t>Park Avenue</t>
  </si>
  <si>
    <t>Kamasutra Spark Men Deodorant</t>
  </si>
  <si>
    <t>Kamasutra</t>
  </si>
  <si>
    <t>Fogg Marco Fragrance Body Spray</t>
  </si>
  <si>
    <t>Fogg</t>
  </si>
  <si>
    <t>Brut Original Deodorant</t>
  </si>
  <si>
    <t>Brut</t>
  </si>
  <si>
    <t>Fogg Napoleon Fragrance Body Spray</t>
  </si>
  <si>
    <t>Fogg Extreme Fragrance Body Spray</t>
  </si>
  <si>
    <t>Nivea Men Fresh Active Roll-On</t>
  </si>
  <si>
    <t>Fogg Dynamic Fragrance Body Spray</t>
  </si>
  <si>
    <t>Fogg Scent Impressio Eau De Parfum</t>
  </si>
  <si>
    <t>Fogg Scent Xtremo Perfume</t>
  </si>
  <si>
    <t>Brut Sport Style Men's Deodorant</t>
  </si>
  <si>
    <t>Fogg Royal Fragrance Body Spray</t>
  </si>
  <si>
    <t>Park Avenue Neo Perfume Spray Deo</t>
  </si>
  <si>
    <t>Nivea Men Deep Impact Fragnance Roll On</t>
  </si>
  <si>
    <t>Wild Stone Red Deodorant</t>
  </si>
  <si>
    <t>Wild Stone</t>
  </si>
  <si>
    <t>Fogg Scent Xpressio Perfume</t>
  </si>
  <si>
    <t>Brut Attraction Totale Deodorant</t>
  </si>
  <si>
    <t>Wild Stone Hydra Energy Perfume</t>
  </si>
  <si>
    <t>Wild Stone Ultra Sensual Perfume</t>
  </si>
  <si>
    <t>Park Avenue Voyage Amazon Woods Premium Perfume</t>
  </si>
  <si>
    <t>Axe Signature Mysterious long Lasting No Gas Body Perfume For Men</t>
  </si>
  <si>
    <t>Axe</t>
  </si>
  <si>
    <t>154 ml</t>
  </si>
  <si>
    <t>Killer Ocean Deodorant</t>
  </si>
  <si>
    <t>Killer</t>
  </si>
  <si>
    <t>Yardley London Gentleman Classic Perfume</t>
  </si>
  <si>
    <t>Nivea Men Cool Kick Roll-On</t>
  </si>
  <si>
    <t>Wild Stone Hydra Energy Deodorant</t>
  </si>
  <si>
    <t>Brut Musk Deodorant</t>
  </si>
  <si>
    <t>Axe Signature Intense Long Lasting Body Deodorant For Men</t>
  </si>
  <si>
    <t>Killer Storm Deodorant</t>
  </si>
  <si>
    <t>Kamasutra Rush Deodorant Spray</t>
  </si>
  <si>
    <t>Wild Stone Forest Spice Perfume</t>
  </si>
  <si>
    <t>Axe Signature Rogue Long Lasting Body Deodorant For Men</t>
  </si>
  <si>
    <t>Yardley London Gentleman Urbane Perfume</t>
  </si>
  <si>
    <t>Kamasutra Urge Men Deodorant</t>
  </si>
  <si>
    <t>Kamasutra Rush Men Deodorant Spray</t>
  </si>
  <si>
    <t>Wild Stone Ultra Sensual Deodorant</t>
  </si>
  <si>
    <t>Beardo Whisky Smoke Perfume Body Spray</t>
  </si>
  <si>
    <t>Park Avenue Good Morning Eternity Eau De Parfum</t>
  </si>
  <si>
    <t>Park Avenue Voyage Obsession Eau De Parfum</t>
  </si>
  <si>
    <t>Fogg Absolute Body Spray</t>
  </si>
  <si>
    <t>Nivea Pearl &amp; Beauty Roll-On Deodorant</t>
  </si>
  <si>
    <t>Nivea Pearl &amp; Beauty Deodorant</t>
  </si>
  <si>
    <t>Yardley London Morning Dew Body Spray</t>
  </si>
  <si>
    <t>Fogg Paradise Fragrant Body Spray for Women</t>
  </si>
  <si>
    <t>Nivea Whitening Smooth Skin Roll-On</t>
  </si>
  <si>
    <t>Nivea Fresh Natural Deodorant</t>
  </si>
  <si>
    <t>Engage Blush Women Deodorant</t>
  </si>
  <si>
    <t>Engage</t>
  </si>
  <si>
    <t>Spinz Exotic Perfumed Deodorant Body Spray</t>
  </si>
  <si>
    <t>Spinz</t>
  </si>
  <si>
    <t>Nivea Whitening Smooth Skin Deodorant</t>
  </si>
  <si>
    <t>Engage Drizzle Women Deodorant</t>
  </si>
  <si>
    <t>Nivea Fresh Ocean Deodorant</t>
  </si>
  <si>
    <t>Nivea Protect &amp; Care Deodorant</t>
  </si>
  <si>
    <t>Plum Body Mist - Vanilla Vibes</t>
  </si>
  <si>
    <t>Plum Pit Cream - Hawaiian Rumba</t>
  </si>
  <si>
    <t>Gillette Mach3</t>
  </si>
  <si>
    <t>Gillette</t>
  </si>
  <si>
    <t>Shaving Needs</t>
  </si>
  <si>
    <t>Gillette Presto Ready Shaver</t>
  </si>
  <si>
    <t>Gillette Fusion Power Cartridges</t>
  </si>
  <si>
    <t>Gillette Vector Twin Blades</t>
  </si>
  <si>
    <t>Gillette Fusion - 8 Cartridges</t>
  </si>
  <si>
    <t>Gillette Guard</t>
  </si>
  <si>
    <t>Gillette Start Mach 3 - 8 Cartridges</t>
  </si>
  <si>
    <t>Gillette Mach3 Turbo Cartridges</t>
  </si>
  <si>
    <t>Gillette Mach3 Razor</t>
  </si>
  <si>
    <t>Supermax Long Handle Razors</t>
  </si>
  <si>
    <t>Supermax</t>
  </si>
  <si>
    <t>Gillette 3 Presto</t>
  </si>
  <si>
    <t>5 Razors</t>
  </si>
  <si>
    <t>Gillette Mach3 Sensitive - 4 Cartridges</t>
  </si>
  <si>
    <t>Supermax SMX Razor</t>
  </si>
  <si>
    <t>Supermax 3 Hattrick Triple Blade Disposable Razors</t>
  </si>
  <si>
    <t>Laser Sport 3 Razor</t>
  </si>
  <si>
    <t>Laser</t>
  </si>
  <si>
    <t>Gillette Fusion Razor</t>
  </si>
  <si>
    <t>Supermax 3 Aloe Disposable Comfort Grip Razor</t>
  </si>
  <si>
    <t>Gillette Mach3 Turbo Razor</t>
  </si>
  <si>
    <t>Gillette Fusion Power Razor</t>
  </si>
  <si>
    <t>Gillette Guard 3 - 1 Razor + 3 Cartridges</t>
  </si>
  <si>
    <t>Gillette Vector 3 Razor</t>
  </si>
  <si>
    <t>Gillette Fusion Proglide Styler (Trimmer)</t>
  </si>
  <si>
    <t>Gillette Shaving Foam - Sensitive</t>
  </si>
  <si>
    <t>418 gm</t>
  </si>
  <si>
    <t>Gillette Shaving Foam - Regular</t>
  </si>
  <si>
    <t>196 gm</t>
  </si>
  <si>
    <t>Gillette Series Moisturizing Shave Gel</t>
  </si>
  <si>
    <t>Gillette Shaving Foam - Menthol</t>
  </si>
  <si>
    <t>Super Max Classic Shaving Foam</t>
  </si>
  <si>
    <t>Laser Sport 3 Shaving Foam</t>
  </si>
  <si>
    <t>Super Max Sensitive Shaving Foam</t>
  </si>
  <si>
    <t>Gillette Simply Venus Razor</t>
  </si>
  <si>
    <t>Gillette Venus Breeze Razor</t>
  </si>
  <si>
    <t>Gillette Venus Razor</t>
  </si>
  <si>
    <t>Laser Petals 3 Women Razor</t>
  </si>
  <si>
    <t>Gillette Shaving Cream - Lime</t>
  </si>
  <si>
    <t>Gillette Series Shaving Gel Sensitive Skin</t>
  </si>
  <si>
    <t>Gillette Shaving Cream - Regular</t>
  </si>
  <si>
    <t>Gillette Shave Brush</t>
  </si>
  <si>
    <t>Premium Eau De Cologne</t>
  </si>
  <si>
    <t>Gillette After Shave Splash - Refreshing Breeze</t>
  </si>
  <si>
    <t>Gillette Pro After Shave Splash - Icy Cool</t>
  </si>
  <si>
    <t>Himalaya Baby Lotion</t>
  </si>
  <si>
    <t>Baby &amp; Kids</t>
  </si>
  <si>
    <t>Johnson's Baby Lotion</t>
  </si>
  <si>
    <t>Himalaya Extra Soft &amp; Gentle Baby Cream</t>
  </si>
  <si>
    <t>Mamaearth Milky Soft Body Lotion For Babies</t>
  </si>
  <si>
    <t>Himalaya Baby Massage Oil</t>
  </si>
  <si>
    <t>Roghan Sukoon Massage Oil</t>
  </si>
  <si>
    <t>Roghan</t>
  </si>
  <si>
    <t>Himalaya Baby Powder</t>
  </si>
  <si>
    <t>Johnson's Baby Powder</t>
  </si>
  <si>
    <t>Mamaearth Milky Soft Shampoo For Babies</t>
  </si>
  <si>
    <t>Mamaearth Milky Soft Body Wash For Babies</t>
  </si>
  <si>
    <t>Himalaya Gentle Baby Soap</t>
  </si>
  <si>
    <t>Johnson's Baby Soap</t>
  </si>
  <si>
    <t>Himalaya Extra Moisturizing Baby Soap</t>
  </si>
  <si>
    <t>Mamaearth Moisturizing Bathing Bar For Babies</t>
  </si>
  <si>
    <t>2x75 gm</t>
  </si>
  <si>
    <t>Johnson's Baby Soap - Blossoms</t>
  </si>
  <si>
    <t>Himalaya Total Care Baby Pants Extra Large</t>
  </si>
  <si>
    <t>54 U</t>
  </si>
  <si>
    <t>Huggies Wonder Pants - Extra Large</t>
  </si>
  <si>
    <t>Huggies</t>
  </si>
  <si>
    <t>Pampers Mega Baby Dry Pants - Extra Large</t>
  </si>
  <si>
    <t>Pampers</t>
  </si>
  <si>
    <t>66 U</t>
  </si>
  <si>
    <t>Himalaya Total Care Baby Pants Large</t>
  </si>
  <si>
    <t>Mamy Poko Pants Extra Absorb - Large</t>
  </si>
  <si>
    <t>Mamy Poko</t>
  </si>
  <si>
    <t>70 U</t>
  </si>
  <si>
    <t>Mamy Poko Pants Extra Absorb - Extra Large</t>
  </si>
  <si>
    <t>Mamy Poko Extra Absorb Pants - Medium</t>
  </si>
  <si>
    <t>46 U</t>
  </si>
  <si>
    <t>84 U</t>
  </si>
  <si>
    <t>Pampers Baby Dry Pants - XXL</t>
  </si>
  <si>
    <t>28 U</t>
  </si>
  <si>
    <t>Himalaya Total Care Baby Pants Medium</t>
  </si>
  <si>
    <t>Pampers Premium Care Pants - Large</t>
  </si>
  <si>
    <t>Pampers Baby Dry Pants - Medium</t>
  </si>
  <si>
    <t>Huggies Wonder Pants - Large</t>
  </si>
  <si>
    <t>98 U</t>
  </si>
  <si>
    <t>Pampers Premium Care Pants - Medium</t>
  </si>
  <si>
    <t>Pampers Premium Care Pant - Extra Large</t>
  </si>
  <si>
    <t>Huggies Wonder Pants - Medium</t>
  </si>
  <si>
    <t>120 U</t>
  </si>
  <si>
    <t>Mamy Poko Standard Diaper Pants - Large</t>
  </si>
  <si>
    <t>Mamy Poko Standard Diaper Pants - Small</t>
  </si>
  <si>
    <t>Mamy Poko Standard Diaper Pants - Medium</t>
  </si>
  <si>
    <t>34 U</t>
  </si>
  <si>
    <t>Mamy Poko Extra Absorb Pants - Small</t>
  </si>
  <si>
    <t>93 U</t>
  </si>
  <si>
    <t>Pampers Diapers - New Baby</t>
  </si>
  <si>
    <t>72 U</t>
  </si>
  <si>
    <t>Pampers Baby-Dry Pants - New Baby</t>
  </si>
  <si>
    <t>86 U</t>
  </si>
  <si>
    <t>Pampers Baby Dry Pants - Extra Large</t>
  </si>
  <si>
    <t>Huggies Wonder Pants - Small</t>
  </si>
  <si>
    <t>76 U</t>
  </si>
  <si>
    <t>Huggies Wonder Pants Extra Small</t>
  </si>
  <si>
    <t>Friends Easy Adult Diapers Large</t>
  </si>
  <si>
    <t>Friends</t>
  </si>
  <si>
    <t>Friends Easy Adult Diapers Medium</t>
  </si>
  <si>
    <t>Friends Premium Adult Dry Pants (Pull-Ups) - Large</t>
  </si>
  <si>
    <t>Friends Premium Adult Dry Pants (Pull-Ups) - Medium</t>
  </si>
  <si>
    <t>Himalaya Gentle Baby Wipes</t>
  </si>
  <si>
    <t>72 Wipes</t>
  </si>
  <si>
    <t>Little's Soft Cleansing Baby Wipes</t>
  </si>
  <si>
    <t>Little's</t>
  </si>
  <si>
    <t>80 Wipes</t>
  </si>
  <si>
    <t>Pampers Aloe Vera Baby Wipes</t>
  </si>
  <si>
    <t>pampers</t>
  </si>
  <si>
    <t>Savlon Antiseptic Disinfectant Liquid</t>
  </si>
  <si>
    <t>Health &amp; Wellness</t>
  </si>
  <si>
    <t>Vicco Turmeric WSO Skin Cream</t>
  </si>
  <si>
    <t>Kailas Jeevan Multipurpose Ayurvedic Cream</t>
  </si>
  <si>
    <t>Kailas Jeevan</t>
  </si>
  <si>
    <t>Boro Plus Antiseptic Cream</t>
  </si>
  <si>
    <t>Boro</t>
  </si>
  <si>
    <t>Boroline Antiseptic Ayurvedic Cream</t>
  </si>
  <si>
    <t>Boroline</t>
  </si>
  <si>
    <t>Eucalyptus (Nilgiri) Oil</t>
  </si>
  <si>
    <t>Eucalyptus</t>
  </si>
  <si>
    <t>Boroline Suthol Neem Skin Liquid</t>
  </si>
  <si>
    <t>Boro Plus</t>
  </si>
  <si>
    <t>Acetone</t>
  </si>
  <si>
    <t>Boroline's Suthol Neem Spray</t>
  </si>
  <si>
    <t>Eno Fruit Salt Regular</t>
  </si>
  <si>
    <t>Eno</t>
  </si>
  <si>
    <t>Eno Fruit Salt Lemon Flavour</t>
  </si>
  <si>
    <t>Sat - Isabgol Psyllium Husk Powder</t>
  </si>
  <si>
    <t>Isabgol</t>
  </si>
  <si>
    <t>Hawaban Harde Goli</t>
  </si>
  <si>
    <t>Hawaban Harde</t>
  </si>
  <si>
    <t>Zandu Pancharishta Digestive Tonic</t>
  </si>
  <si>
    <t>Dabur Hajmola Anardana</t>
  </si>
  <si>
    <t>120 Tablets</t>
  </si>
  <si>
    <t>Dabur Hajmola Imli</t>
  </si>
  <si>
    <t>Dabur Hajmola Regular</t>
  </si>
  <si>
    <t>Kayam Churna</t>
  </si>
  <si>
    <t>Eno Fruit Salt Orange Flavour</t>
  </si>
  <si>
    <t>Zandu Kesari Jivan</t>
  </si>
  <si>
    <t>Zandu</t>
  </si>
  <si>
    <t>Dabur Pudin Hara Liquid</t>
  </si>
  <si>
    <t>Gas-O-Fast Active Jeera Gas Relief</t>
  </si>
  <si>
    <t>Gas-O-Fast</t>
  </si>
  <si>
    <t>Pet Safa Natural Laxative Tablets</t>
  </si>
  <si>
    <t>30 Unit</t>
  </si>
  <si>
    <t>Pet Safa Natural Laxative Granules</t>
  </si>
  <si>
    <t>Vicks Vaporub</t>
  </si>
  <si>
    <t>Vicks</t>
  </si>
  <si>
    <t>110 ml</t>
  </si>
  <si>
    <t>Vicks Babyrub</t>
  </si>
  <si>
    <t>Honitus Cough Syrup</t>
  </si>
  <si>
    <t>Honitus</t>
  </si>
  <si>
    <t>Adusol Tulsi Cough Syrup</t>
  </si>
  <si>
    <t>Adulsa</t>
  </si>
  <si>
    <t>Vicks Inhaler</t>
  </si>
  <si>
    <t>2x0.5 ml</t>
  </si>
  <si>
    <t>Vicks Cough Menthol</t>
  </si>
  <si>
    <t>Vicks Ginger Cough Drops</t>
  </si>
  <si>
    <t>Yogi Kanathika Throat Relief</t>
  </si>
  <si>
    <t>Ayush</t>
  </si>
  <si>
    <t>70 Pill</t>
  </si>
  <si>
    <t>Dettol Menthol Cool Disinfectant Liquid</t>
  </si>
  <si>
    <t>Relispray Pain Relief Spray</t>
  </si>
  <si>
    <t>Relispray</t>
  </si>
  <si>
    <t>Iodex Multi-Purpose Pain Relief Balm</t>
  </si>
  <si>
    <t>Iodex</t>
  </si>
  <si>
    <t>16 gm</t>
  </si>
  <si>
    <t>Zandu Balm</t>
  </si>
  <si>
    <t>Moov Cream Pain Relief Specialist</t>
  </si>
  <si>
    <t>Moov</t>
  </si>
  <si>
    <t>Moov Spray Pain Relief Specialist</t>
  </si>
  <si>
    <t>Monison's Pain Balm</t>
  </si>
  <si>
    <t>Monison's</t>
  </si>
  <si>
    <t>Tiger Balm Red Ointment</t>
  </si>
  <si>
    <t>Tiger Balm</t>
  </si>
  <si>
    <t>21 ml</t>
  </si>
  <si>
    <t>Amrutanjan Back Pain Roll On</t>
  </si>
  <si>
    <t>Amrutanjan</t>
  </si>
  <si>
    <t>Amrutanjan Extra Power Pain Balm</t>
  </si>
  <si>
    <t>Amrutanjan Joint Muscle Spray</t>
  </si>
  <si>
    <t>Dr. Ortho Ayurvedic Medicine Oil</t>
  </si>
  <si>
    <t>Dr. Ortho</t>
  </si>
  <si>
    <t>Zandu Ultra Power Balm</t>
  </si>
  <si>
    <t>Amrutanjan Strong Pain Balm</t>
  </si>
  <si>
    <t>Zandu Balm Ultra Power</t>
  </si>
  <si>
    <t>Zandu Quick Relief Roll-On for Headache</t>
  </si>
  <si>
    <t>27.5 ml</t>
  </si>
  <si>
    <t>Tiger Balm White Ointment</t>
  </si>
  <si>
    <t>Himani Fast Relief</t>
  </si>
  <si>
    <t>Himani</t>
  </si>
  <si>
    <t>Himalaya Pain Balm Strong</t>
  </si>
  <si>
    <t>Monisons Pain Balm</t>
  </si>
  <si>
    <t>Monisons</t>
  </si>
  <si>
    <t>Himalaya Wellness Cold Balm - Eucalyptus</t>
  </si>
  <si>
    <t>Ashwin Castor Oil (Erandel Tel)</t>
  </si>
  <si>
    <t>Ashwin</t>
  </si>
  <si>
    <t>Dr. Ortho Pain Relieving Ointment</t>
  </si>
  <si>
    <t>Ayurvedic Dharasana Malis Tel</t>
  </si>
  <si>
    <t>Dharasana</t>
  </si>
  <si>
    <t>Menthodex Strong Pain Balm</t>
  </si>
  <si>
    <t>Menthodex</t>
  </si>
  <si>
    <t>Amrut Malam</t>
  </si>
  <si>
    <t>B-Tex Super Ointment</t>
  </si>
  <si>
    <t>B-Tex</t>
  </si>
  <si>
    <t>Ayurvedic Dharasana Lep</t>
  </si>
  <si>
    <t>32 gm</t>
  </si>
  <si>
    <t>Axe Brand Universal Oil</t>
  </si>
  <si>
    <t>Axe Brand</t>
  </si>
  <si>
    <t>Lookman-E-Hayat Tel</t>
  </si>
  <si>
    <t>Lookman Hayat</t>
  </si>
  <si>
    <t>Tulips Cotton Balls</t>
  </si>
  <si>
    <t>Tulips</t>
  </si>
  <si>
    <t>Tulips Cotton Swab Fsc Paper Sticks</t>
  </si>
  <si>
    <t>100 Pcs</t>
  </si>
  <si>
    <t>Renu Multi-Purpose Contact Lens Solution</t>
  </si>
  <si>
    <t>Renu</t>
  </si>
  <si>
    <t>Renu Fresh Multi-Purpose Contact Lens Solution</t>
  </si>
  <si>
    <t>Shri Hari Jivadaya Netraprabha Plus Eye Drops</t>
  </si>
  <si>
    <t>Jivadaya</t>
  </si>
  <si>
    <t>Durex Condoms - Extra Time</t>
  </si>
  <si>
    <t>Durex</t>
  </si>
  <si>
    <t>Kamasutra Dotted Condoms</t>
  </si>
  <si>
    <t>Durex Air Ultra Thin Condoms</t>
  </si>
  <si>
    <t>Kamasutra Ribbed Condoms</t>
  </si>
  <si>
    <t>Durex Mutual Climax Condoms</t>
  </si>
  <si>
    <t>Durex Condoms - Extra Dots</t>
  </si>
  <si>
    <t>Durex Extra Thin Condoms</t>
  </si>
  <si>
    <t>Kamasutra Longlast Condoms</t>
  </si>
  <si>
    <t>Skore Condoms Not Out</t>
  </si>
  <si>
    <t>Skore</t>
  </si>
  <si>
    <t>Durex Extra Ribbed Condoms</t>
  </si>
  <si>
    <t>Kamasutra Superthin Condoms</t>
  </si>
  <si>
    <t>Durex Invisible Condoms</t>
  </si>
  <si>
    <t>Manforce Hotdots Belgian Chocolate Flavoured Condoms</t>
  </si>
  <si>
    <t>Manforce</t>
  </si>
  <si>
    <t>Durex Wild Strawberry Flavoured Condoms</t>
  </si>
  <si>
    <t>Durex Play Vibrations Ring</t>
  </si>
  <si>
    <t>Kamasutra Orgasmax Flavoured Ultimate Condoms</t>
  </si>
  <si>
    <t>Kamasutra Ultra Thin Condoms</t>
  </si>
  <si>
    <t>Manforce Ultra Feel Bubble Gum Flavoured Condoms</t>
  </si>
  <si>
    <t>Durex Play Tingling Pleasure Gel</t>
  </si>
  <si>
    <t>Durex Play Saucy Strawberry Pleasure Gel</t>
  </si>
  <si>
    <t>Durex Condoms - Bubblegum Flavour</t>
  </si>
  <si>
    <t>Kamasutra 2064 Dots Dottmax Condoms</t>
  </si>
  <si>
    <t>Durex Play Sensual Intimate Lube</t>
  </si>
  <si>
    <t>Durex Play Cherry Pleasure Gel</t>
  </si>
  <si>
    <t>Skore Cool Mint Flavoured Condoms</t>
  </si>
  <si>
    <t>Kamasutra Intensity Condoms</t>
  </si>
  <si>
    <t>Durex Play Stimulating Intimate Lube</t>
  </si>
  <si>
    <t>Hansaplast Regular Antiseptic Bandage</t>
  </si>
  <si>
    <t>Hansaplast</t>
  </si>
  <si>
    <t>Hansaplast Washproof Medicated Dressing</t>
  </si>
  <si>
    <t>Hansaplast Jumbo Antiseptic Larger Wound Pad</t>
  </si>
  <si>
    <t>Hansaplast Lion Plaster Pain Relief Patch</t>
  </si>
  <si>
    <t>Hansaplast Lion Intensive &amp; Long Lasting Heat Plaster</t>
  </si>
  <si>
    <t>Hansaplast Relieves Pressure &amp; Pain Corn Plaster</t>
  </si>
  <si>
    <t>Hansaplast Strong Adhesion Fixation Tape - 2.5 cms x 9.14 Metres</t>
  </si>
  <si>
    <t>Himalaya Ashvagandha General Wellness</t>
  </si>
  <si>
    <t>60 Tablets</t>
  </si>
  <si>
    <t>Himalaya Ayur Slim Capsules</t>
  </si>
  <si>
    <t>Himalaya Guduchi Immunity Wellness</t>
  </si>
  <si>
    <t>Dettol Skincare Liquid Handwash Refill</t>
  </si>
  <si>
    <t>3X175 ml</t>
  </si>
  <si>
    <t>Hand Aid Handwash Skin Care</t>
  </si>
  <si>
    <t>Dettol Original Liquid Handwash Refill</t>
  </si>
  <si>
    <t>Hand Aid Handwash Classic</t>
  </si>
  <si>
    <t>Lifebuoy Total 10 Activ Silver Formula Germ Protection Handwash Refill</t>
  </si>
  <si>
    <t>Hand Aid Handwash Total</t>
  </si>
  <si>
    <t>Godrej Liquid Germ Fighter Lime &amp; Eucalyptus Handwash</t>
  </si>
  <si>
    <t>725 ml</t>
  </si>
  <si>
    <t>Godrej Liquid Germ Fighter Handwash</t>
  </si>
  <si>
    <t>Santoor Gentle Handwash Pouch - Classic</t>
  </si>
  <si>
    <t>Godrej Protekt Lavender Handwash Refill</t>
  </si>
  <si>
    <t>Savlon Deep Clean Handwash Pouch</t>
  </si>
  <si>
    <t>Savlon Moisture Shield Handwash Pouch</t>
  </si>
  <si>
    <t>Lux French Rose &amp; Almond Oil Handwash</t>
  </si>
  <si>
    <t>Plum Vitamin C Face Serum With Mandarin</t>
  </si>
  <si>
    <t>Lakme 9to5 Vitamin C+ Facial Serum</t>
  </si>
  <si>
    <t>Plum Green Tea Renewed Clarity Night Gel</t>
  </si>
  <si>
    <t>Philips Emergency Led Bulb</t>
  </si>
  <si>
    <t>10 W</t>
  </si>
  <si>
    <t>Ambrane Type-C Braided Cable (1 Metre)</t>
  </si>
  <si>
    <t>Ambrane</t>
  </si>
  <si>
    <t>Appliances</t>
  </si>
  <si>
    <t>Philips 1400W Gc1906/20 Steam Iron</t>
  </si>
  <si>
    <t>Duracell Chhota Power AA Batteries</t>
  </si>
  <si>
    <t>4 Unit</t>
  </si>
  <si>
    <t>Ambrane Polymer Power Bank</t>
  </si>
  <si>
    <t>Duracell Chhota Power AAA Batteries</t>
  </si>
  <si>
    <t>Cg Laser Ray Neo 20W Led Batten</t>
  </si>
  <si>
    <t>Panasonic Multi Plug Adaptor</t>
  </si>
  <si>
    <t>Zebronics Aux Cable ASC100</t>
  </si>
  <si>
    <t>Panasonic Cherry Flexicord Flex Box</t>
  </si>
  <si>
    <t>Syska SDI07 Dry Iron</t>
  </si>
  <si>
    <t>Bajaj Dry Iron - DX4</t>
  </si>
  <si>
    <t>Crompton Greaves Rhino Heavy Weight Iron</t>
  </si>
  <si>
    <t>Bajaj MX35N Steam Iron</t>
  </si>
  <si>
    <t>2000 W</t>
  </si>
  <si>
    <t>Crompton Greaves Dry Iron - PD Plus</t>
  </si>
  <si>
    <t>Usha EI1602 Electric Iron</t>
  </si>
  <si>
    <t>Usha</t>
  </si>
  <si>
    <t>Usha Aurora Dry Iron</t>
  </si>
  <si>
    <t>Crompton Greaves Hill Briz Ceiling Fan 1200 mm</t>
  </si>
  <si>
    <t>Crompton Greaves Super Briz Deco Ceiling Fan 1200 mm : Smoked Brown</t>
  </si>
  <si>
    <t>Silver White</t>
  </si>
  <si>
    <t>Smoked Brown</t>
  </si>
  <si>
    <t>Havells Reo Tejas Ceiling Fan 1200 mm</t>
  </si>
  <si>
    <t>Havells</t>
  </si>
  <si>
    <t>Usha Swift Ceiling Fan 600 mm</t>
  </si>
  <si>
    <t>Usha Aerostyle Ceiling Fan 1200 mm</t>
  </si>
  <si>
    <t>Bajaj Grace DLX Bianco Ceiling Fan 1200 mm</t>
  </si>
  <si>
    <t>Usha Air King Deco Ceiling Fan</t>
  </si>
  <si>
    <t>Bajaj Grace DLX Mat Ceiling Fan 1200 mm</t>
  </si>
  <si>
    <t>Syska Maxair Deco Ceiling Fan Sfd 1000 - 1200 mm</t>
  </si>
  <si>
    <t>Orpat Air Flora Ceiling Fan 1200 mm</t>
  </si>
  <si>
    <t>Orpat</t>
  </si>
  <si>
    <t>Syska Maxair Silent Operation Ceiling Fan SFP 1100 - 1200 mm</t>
  </si>
  <si>
    <t>Crompton Greaves Avancer Antidust Bakers Ceiling Fan 1200 mm</t>
  </si>
  <si>
    <t>GM Air MT Electric Ceiling Fan - 1200 mm</t>
  </si>
  <si>
    <t>Usha Striker Platinum GBD Ceiling Fan 1200 mm</t>
  </si>
  <si>
    <t>GM G-Breeze Deco MT Ceiling Fan - 1200 mm</t>
  </si>
  <si>
    <t>Usha Mist Air Duos Pedestal Fan</t>
  </si>
  <si>
    <t>Havells Aerosupreme Deco Electric Ceiling Fan - 1200 mm</t>
  </si>
  <si>
    <t>Usha Striker Galaxy Good Bye Dust Ceiling Fan 1200 mm</t>
  </si>
  <si>
    <t>Silver Sage</t>
  </si>
  <si>
    <t>Crompton IHL-201 Immersion Heater</t>
  </si>
  <si>
    <t>Crompton Instant Water Heater</t>
  </si>
  <si>
    <t>Crompton Immersion Heater</t>
  </si>
  <si>
    <t>Crompton</t>
  </si>
  <si>
    <t>Usha IH2410 Immersion Heater</t>
  </si>
  <si>
    <t>Borosil Rio Kettle - 1.5 Litres</t>
  </si>
  <si>
    <t>1.5 L</t>
  </si>
  <si>
    <t>Kitchen Appliances</t>
  </si>
  <si>
    <t>Crompton Greaves Ameo Mixer Grinder - 750 W</t>
  </si>
  <si>
    <t>750 W</t>
  </si>
  <si>
    <t>Kajafa Multifunctional Juicer - 400 W</t>
  </si>
  <si>
    <t>Bajaj Mixer Grinder Tornado - 3 Jars</t>
  </si>
  <si>
    <t>550 W</t>
  </si>
  <si>
    <t>Wonderchef Nutri-Blend Red With 3 Jars</t>
  </si>
  <si>
    <t>Bajaj Mixer Grinder - GX4 - 500 W</t>
  </si>
  <si>
    <t>500 W</t>
  </si>
  <si>
    <t>Bajaj GX8 Mixer Grinder - 750 W</t>
  </si>
  <si>
    <t>Morphy Richards Primo Classique Mixer Grinder - 750 W</t>
  </si>
  <si>
    <t>Morphy Richards</t>
  </si>
  <si>
    <t>Pigeon Induction Cooktop Acer Plus</t>
  </si>
  <si>
    <t>1800 W</t>
  </si>
  <si>
    <t>Prestige Induction Cooktop PIC 16.0 Plus</t>
  </si>
  <si>
    <t>1900 W</t>
  </si>
  <si>
    <t>Prestige Induction Cooktop PIC 20.0</t>
  </si>
  <si>
    <t>Bajaj Majesty ICX Pearl Induction Cooktop</t>
  </si>
  <si>
    <t>Bajaj Majesty ICX 3 Induction Cooktop</t>
  </si>
  <si>
    <t>1400 W</t>
  </si>
  <si>
    <t>Usha Induction Cooktop - IC3616 : 1600 W</t>
  </si>
  <si>
    <t>I &amp; D Black Cotton Men's T-Shirt</t>
  </si>
  <si>
    <t>I &amp; D</t>
  </si>
  <si>
    <t>Size M</t>
  </si>
  <si>
    <t>Clothing Accessories</t>
  </si>
  <si>
    <t>I &amp; D Grey Cotton Men's T-Shirt</t>
  </si>
  <si>
    <t>Size S</t>
  </si>
  <si>
    <t>Macho Men's Metro Vest White RN - 80 cm (S)</t>
  </si>
  <si>
    <t>Macho</t>
  </si>
  <si>
    <t>Size L</t>
  </si>
  <si>
    <t>Size XL</t>
  </si>
  <si>
    <t>No Fuss Men's Cotton Vest Sleeveless - 95 cm (XL)</t>
  </si>
  <si>
    <t>No Fuss</t>
  </si>
  <si>
    <t>Dutch Harbor Men's Vest Rib Sleeveless - L (90 cm)</t>
  </si>
  <si>
    <t>Dutch Harbor</t>
  </si>
  <si>
    <t>Macho Multicolour Brief Smart Cut - 95 cm (XL)</t>
  </si>
  <si>
    <t>Size XXL</t>
  </si>
  <si>
    <t>Macho Multicolour Intro Long Trunk - 95 (XL)</t>
  </si>
  <si>
    <t>Rupa Frontline Expando Men's Brief - 95 cm (XL)</t>
  </si>
  <si>
    <t>Rupa</t>
  </si>
  <si>
    <t>Macho Printed Mini Men's Trunk - 95 cm (XL)</t>
  </si>
  <si>
    <t>Rupa Frontline DRAW Men's Trunk - 95cm (XL)</t>
  </si>
  <si>
    <t>No Fuss Men's 100% Cotton Boxers - B01 (XL)</t>
  </si>
  <si>
    <t>No Fuss Men's Shorts Combo D02</t>
  </si>
  <si>
    <t>No Fuss Men'S Shorts Combo With Side Pockets - D01</t>
  </si>
  <si>
    <t>No Fuss Gent's White</t>
  </si>
  <si>
    <t>No Fuss Men's Sneaker Socks</t>
  </si>
  <si>
    <t>Dutch Harbor Gent's Hanky - White</t>
  </si>
  <si>
    <t>No Fuss Men's Sports Ankle Socks</t>
  </si>
  <si>
    <t>Dutch Harbor Gent's Hanky - Multicolour</t>
  </si>
  <si>
    <t>No Fuss Gent's Hanky - Multicolour</t>
  </si>
  <si>
    <t>No Fuss Gent's Hanky - White</t>
  </si>
  <si>
    <t>No Fuss Men's Loafer Socks</t>
  </si>
  <si>
    <t>No Fuss Gent's Hanky - White/Blue</t>
  </si>
  <si>
    <t>No Fuss Men's Loafer Socks - D2</t>
  </si>
  <si>
    <t>FNF Crossline Men's Hanky - Multicolour</t>
  </si>
  <si>
    <t>Feather Soft Black Ankle Length Legging - 1 Unit</t>
  </si>
  <si>
    <t>Feather Soft</t>
  </si>
  <si>
    <t>Size XXXL</t>
  </si>
  <si>
    <t>Feather Soft White Ankle Length Legging - 1 Unit</t>
  </si>
  <si>
    <t>Feather Soft Navy Blue Ankle Length Legging - 1 Unit</t>
  </si>
  <si>
    <t>Feather Soft Red Ankle Length Legging - 1 Unit</t>
  </si>
  <si>
    <t>Feather Soft Skin Color Ankle Length Legging - 1 Unit</t>
  </si>
  <si>
    <t>Clio Ladies T-Shirt &amp; Pyjama Nightwear Set (A1)</t>
  </si>
  <si>
    <t>Clio</t>
  </si>
  <si>
    <t>Clio Ladies T-Shirt &amp; Pyjama Nightwear Set (A5)</t>
  </si>
  <si>
    <t>Clio Ladies T-Shirt &amp; Pyjama Nightwear Set (A4)</t>
  </si>
  <si>
    <t>Clio Ladies T-Shirt &amp; Pyjama Nightwear Set (A2)</t>
  </si>
  <si>
    <t>Clio Ladies T-Shirt &amp; Pyjama Nightwear Set (A6)</t>
  </si>
  <si>
    <t>Clio Ladies T-Shirt &amp; Pyjama Nightwear Set (B2)</t>
  </si>
  <si>
    <t>Clio Ladies T-Shirt &amp; Pyjama Nightwear Set (B3)</t>
  </si>
  <si>
    <t>Clio Ladies T-Shirt &amp; Pyjama Nightwear Set (B1)</t>
  </si>
  <si>
    <t>Clio Ladies T-Shirt &amp; Pyjama Nightwear Set (B4)</t>
  </si>
  <si>
    <t>In Shape Ladies Inner Elastic Hipster Panties - C</t>
  </si>
  <si>
    <t>In Shape</t>
  </si>
  <si>
    <t>XL (95 cm)</t>
  </si>
  <si>
    <t>M (85 cm)</t>
  </si>
  <si>
    <t>XXXL (105 cm)</t>
  </si>
  <si>
    <t>In Shape Ladies Inner Elastic Hipster Panties - B</t>
  </si>
  <si>
    <t>XXL (100 cm)</t>
  </si>
  <si>
    <t>Wildcraft Power Laptop Backpack - Black</t>
  </si>
  <si>
    <t>Wildcraft</t>
  </si>
  <si>
    <t>School Needs</t>
  </si>
  <si>
    <t>Wildcraft Edge Rucksack - 45 Litres</t>
  </si>
  <si>
    <t>High Spirit Priority Champ Laptop Backpack - Black</t>
  </si>
  <si>
    <t>High Spirit</t>
  </si>
  <si>
    <t>Backpacks</t>
  </si>
  <si>
    <t>Safari Trance/Nirvana Laptop Backpack</t>
  </si>
  <si>
    <t>Safari</t>
  </si>
  <si>
    <t>Aristocrat Marco Laptop Backpack - Black</t>
  </si>
  <si>
    <t>Aristocrat</t>
  </si>
  <si>
    <t>Skybags New Neon School Backpack - Grey</t>
  </si>
  <si>
    <t>Skybags</t>
  </si>
  <si>
    <t>Skybags New Neon School Backpack - Pink</t>
  </si>
  <si>
    <t>Aristocrat Kane Backpack - Light Blue</t>
  </si>
  <si>
    <t>VIP</t>
  </si>
  <si>
    <t>Aristocrat Tiago Backpack - Blue</t>
  </si>
  <si>
    <t>Aristocrat Gulf Backpack - Grey</t>
  </si>
  <si>
    <t>Aristocrat Gulf Backpack - Green</t>
  </si>
  <si>
    <t>Wildcraft Wonder Backpack - Chips Grey</t>
  </si>
  <si>
    <t>Wildcraft Wonder Backpack - Ombre Black</t>
  </si>
  <si>
    <t>Wildcraft Wonder Backpack - Tribal Blue</t>
  </si>
  <si>
    <t>Wildcraft Power Laptop Utility Backpack - Black</t>
  </si>
  <si>
    <t>Wildcraft Power Laptop Backpack - Grey</t>
  </si>
  <si>
    <t>Disposable FFP2 Face Mask</t>
  </si>
  <si>
    <t>Wildcraft 6 Layer Large Face Mask</t>
  </si>
  <si>
    <t>Disposable 3 Ply Face Mask</t>
  </si>
  <si>
    <t>Vatsal Designer Face Mask 1424 Polo</t>
  </si>
  <si>
    <t>Vatsal</t>
  </si>
  <si>
    <t>Pack Of 3</t>
  </si>
  <si>
    <t>Vatsal Designer Face Mask 1418 Polo</t>
  </si>
  <si>
    <t>High Spirit 3 Layer Reusable Mask</t>
  </si>
  <si>
    <t>Zebronics Tulip Earphones - Black</t>
  </si>
  <si>
    <t>Zebronics Gravity Wireless Bluetooth Neckband Earphone</t>
  </si>
  <si>
    <t>Boat Rockerz 238 Black Wireless Bluetooth Headset</t>
  </si>
  <si>
    <t>Boat</t>
  </si>
  <si>
    <t>Ambrane EP-56 Wired Earphones - Assorted</t>
  </si>
  <si>
    <t>Zebronics Delight Bluetooth Speaker</t>
  </si>
  <si>
    <t>3 W</t>
  </si>
  <si>
    <t>Boat Rockerz 255R Black Bluetooth Earphone</t>
  </si>
  <si>
    <t>Portronics Wireless Sports Earburds</t>
  </si>
  <si>
    <t>Boat Bass 910 Wired Headphone</t>
  </si>
  <si>
    <t>Ambrane Dots 38 Wireless Earphone</t>
  </si>
  <si>
    <t>Zebronics Sound Bomb S1 Wireless Earbud</t>
  </si>
  <si>
    <t>Ambrane Melody Twist Bluetooth Neckband</t>
  </si>
  <si>
    <t>Zebronics Aura Bluetooth Headphone</t>
  </si>
  <si>
    <t>Ambrane Bassband Beat Bluetooth Earphones</t>
  </si>
  <si>
    <t>Ambrane Wh-65 Over The Ear Wireless Headphones With Mic - Black</t>
  </si>
  <si>
    <t>Boat Rockerz 450R Black Wireless Bluetooth Headphone</t>
  </si>
  <si>
    <t>Zebronics Paradise Bluetooth Headphone</t>
  </si>
  <si>
    <t>Zebronics Sound Feast 51 Bluetooth Portable Speaker</t>
  </si>
  <si>
    <t>Urbn Raw Wireless Neckband - Black</t>
  </si>
  <si>
    <t>Boat Black Stone 650R Bluetooth Speaker</t>
  </si>
  <si>
    <t>Artis MS301 Portable Wireless Bluetooth Speaker</t>
  </si>
  <si>
    <t>Artis</t>
  </si>
  <si>
    <t>Ambrane Dots XS Wireless Earphones</t>
  </si>
  <si>
    <t>Zebronics Pleasant Headphone</t>
  </si>
  <si>
    <t>Boat Black Rockerz 410 Bluetooth Headphone</t>
  </si>
  <si>
    <t>Zebronics Ace Portable Bluetooth Speaker</t>
  </si>
  <si>
    <t>Artis BT99 Portable Bluetooth Speaker - Black</t>
  </si>
  <si>
    <t>Portronics Sounddrum-1 Bluetooth Speaker</t>
  </si>
  <si>
    <t>Artis Bt09 Portable Wireless Bluetooth Speaker</t>
  </si>
  <si>
    <t>Boat Bass 900 Wired Headphone - White</t>
  </si>
  <si>
    <t>Ambrane BT-83 Portable Bluetooth Speaker Black</t>
  </si>
  <si>
    <t>Tigi Musica Earphone</t>
  </si>
  <si>
    <t>Tigi</t>
  </si>
  <si>
    <t>Portronics POR-891 Pure Sound Pro-3 Bluetooth Speaker Soundbar</t>
  </si>
  <si>
    <t>Portronics Pixel Portable Bt Speaker</t>
  </si>
  <si>
    <t>Sun Umbrella 3-Fold Dew Auto Black</t>
  </si>
  <si>
    <t>Sun Umbrella 3-Fold Elvis Auto Big Black</t>
  </si>
  <si>
    <t>Sun Umbrella 3-Fold Printed Olga 1 Auto Big</t>
  </si>
  <si>
    <t>Sun Umbrella 3-Fold Cleopatra 4 Auto Plain</t>
  </si>
  <si>
    <t>Sun Umbrella 3-Fold Printed Olga 3 Auto Big</t>
  </si>
  <si>
    <t>John Kid's Umbrella Assorted - Disney</t>
  </si>
  <si>
    <t>John</t>
  </si>
  <si>
    <t>Sun Umbrella 3-Fold Printed Olga 2 Auto Big</t>
  </si>
  <si>
    <t>Sun Umbrella 3-Fold Christina 5 Auto Printed</t>
  </si>
  <si>
    <t>Sun Umbrella 3-Fold Christina 6 Auto Printed</t>
  </si>
  <si>
    <t>Sun Umbrella 3-Fold Christina 7 Auto Printed</t>
  </si>
  <si>
    <t>Sun Umbrella 3-Fold Christina 8 Auto Printed</t>
  </si>
  <si>
    <t>Sun Umbrella 3-Fold Christina 9 Auto Printed</t>
  </si>
  <si>
    <t>Sun Umbrella 3-Fold Christina 11 Auto Printed</t>
  </si>
  <si>
    <t>John Kid's Umbrella Assorted - Marvel</t>
  </si>
  <si>
    <t>Yoga Mat - Assorted Colours</t>
  </si>
  <si>
    <t>Joyo Folding Desk - Assorted</t>
  </si>
  <si>
    <t>Portronics Buddy Hexa22 Laptop Stand</t>
  </si>
  <si>
    <t>Portronics My Buddy K2 Laptop Stand</t>
  </si>
  <si>
    <t>Zebronics Ms Alex Optical USB Mouse</t>
  </si>
  <si>
    <t>Computer Accessories</t>
  </si>
  <si>
    <t>Zebronics K20 Keyboard</t>
  </si>
  <si>
    <t>Krish Plastic Round Planter Pot - 112</t>
  </si>
  <si>
    <t>Plant Container</t>
  </si>
  <si>
    <t>Krish Plastic Round Planter Pot - 110</t>
  </si>
  <si>
    <t>Pot Planter Saucer Base Plate - 16.5 cm</t>
  </si>
  <si>
    <t>Hanging Hook Pot Planter - Assorted</t>
  </si>
  <si>
    <t>Hanging Double Hook Pot Planter - Assorted</t>
  </si>
  <si>
    <t>Krish Plastic Round Planter Pot - 108</t>
  </si>
  <si>
    <t>Pot Planter Saucer Base Plate - 13 cm</t>
  </si>
  <si>
    <t>Pot Planter Saucer Base Plate - 10 cm</t>
  </si>
  <si>
    <t>Krish Hook Pot Planter - Purple</t>
  </si>
  <si>
    <t>Krish Hook Pot Planter - Yellow</t>
  </si>
  <si>
    <t>Krish Square Planter - 10 - Red</t>
  </si>
  <si>
    <t>Planter Honeycomb With Black Chain - Purple</t>
  </si>
  <si>
    <t>Krish Planter 110 - Orange</t>
  </si>
  <si>
    <t>Krish Planter 110 - Red</t>
  </si>
  <si>
    <t>Krish Square Planter - 10 - Blue</t>
  </si>
  <si>
    <t>Planter Honeycomb With Black Chain - Blue</t>
  </si>
  <si>
    <t>Krish Hook Pot Planter - Blue</t>
  </si>
  <si>
    <t>Krish Square Planter - 10 - Orange</t>
  </si>
  <si>
    <t>Krish Planter 110 - Purple</t>
  </si>
  <si>
    <t>Krish Planter 110 - Blue</t>
  </si>
  <si>
    <t>Metal Planter Stand - 20 cms - Black</t>
  </si>
  <si>
    <t>Metal Planter Stand - 20 cms - Golden</t>
  </si>
  <si>
    <t>Metal Planter Stand - 20 cms - Copper</t>
  </si>
  <si>
    <t>Studds Urban Open Face Helmet 580 mm - Black</t>
  </si>
  <si>
    <t>Studds</t>
  </si>
  <si>
    <t>Motorbike Helmets</t>
  </si>
  <si>
    <t>Vega Cliff Full Face Helmet - Medium</t>
  </si>
  <si>
    <t>Studds Chrome Eco Full Face Helmet 580 mm - Black</t>
  </si>
  <si>
    <t>Vega Verve Helmet - Medium</t>
  </si>
  <si>
    <t>Dettol Liquid Handwash Pump - Skin Care</t>
  </si>
  <si>
    <t>Dettol Liquid Handwash Refill - Original</t>
  </si>
  <si>
    <t>Decor Ganpati Kanthi Drop Pendant - 12 Inches</t>
  </si>
  <si>
    <t>Decor Ganpati Kanthi Square Pendant - 12 Inches</t>
  </si>
  <si>
    <t>Decor Ganpati Kanthi 3 Layer Round Flower Pendant - 12 Inches</t>
  </si>
  <si>
    <t>Decor Ganpati Kanthi Side Pendant (Pink &amp; Green) - 12 Inches</t>
  </si>
  <si>
    <t>Decor Ganpati Kanthi Side Pendant (Red &amp; Green) - 12 Inches</t>
  </si>
  <si>
    <t>Decorative Moti Three Layers Ganesha Toran - 12 Inches</t>
  </si>
  <si>
    <t>Decorative Two Layers Multi Colour Gonda Toran - 12 Inches</t>
  </si>
  <si>
    <t>Decorative White Flower Toran - 12 Inches</t>
  </si>
  <si>
    <t>Decorative Red &amp; Yellow Flower Toran</t>
  </si>
  <si>
    <t>Decorative Hanging Gold Ladi Toran Set</t>
  </si>
  <si>
    <t>Decorative Hanging Silver Ladi Toran Set</t>
  </si>
  <si>
    <t>Decorative Door Hanging Red Gonda Latkan Toran</t>
  </si>
  <si>
    <t>Aluminium Modak Mould No.2</t>
  </si>
  <si>
    <t>Brass Prasad Plate - Size 1</t>
  </si>
  <si>
    <t>Brass Prasad Plate - Size 2</t>
  </si>
  <si>
    <t>Aluminium Folding Shopping Trolley With 8 Wheels</t>
  </si>
  <si>
    <t>Portronics Kronos Y1 Smart Watch - Grey</t>
  </si>
  <si>
    <t>Smartwatches</t>
  </si>
  <si>
    <t>Zeel MS201 Men's Raincoat - Blue</t>
  </si>
  <si>
    <t>Zeel</t>
  </si>
  <si>
    <t>Raincoat</t>
  </si>
  <si>
    <t>Zeel MS201 Men's Raincoat - Purple</t>
  </si>
  <si>
    <t>Zeel MS201 Men's Raincoat - Light Green</t>
  </si>
  <si>
    <t>Zeel MS301 Men's Raincoat - Black</t>
  </si>
  <si>
    <t>Zeel MS301 Men's Raincoat - Navy Blue</t>
  </si>
  <si>
    <t>Zeel MS301 Men's Raincoat - Grey</t>
  </si>
  <si>
    <t>Zeel MR203 Men's Raincoat - Black</t>
  </si>
  <si>
    <t>Zeel MR203 Men's Raincoat - Navy Blue</t>
  </si>
  <si>
    <t>Zeel MR161 Men's Raincoat - Black</t>
  </si>
  <si>
    <t>Zeel MR161 Men's Raincoat - Navy Blue</t>
  </si>
  <si>
    <t>Zeel MR168 Men's Raincoat - Black</t>
  </si>
  <si>
    <t>Zeel MR184 Men's Raincoat - Black</t>
  </si>
  <si>
    <t>Zeel MR184 Men's Raincoat - Navy Blue</t>
  </si>
  <si>
    <t>Zeel LP306 Women's Raincoat - Pink</t>
  </si>
  <si>
    <t>Zeel LP306 Women's Raincoat - Orange</t>
  </si>
  <si>
    <t>Zeel MT212 Men's Raincoat - Navy Blue : Size XXL</t>
  </si>
  <si>
    <t/>
  </si>
  <si>
    <t>MP Sihore Wheat</t>
  </si>
  <si>
    <t>Maida</t>
  </si>
  <si>
    <t>Jawar (Sorghum) Solapur</t>
  </si>
  <si>
    <t>24 Mantra Organic Jaggery Powder</t>
  </si>
  <si>
    <t>Pitambari Ruchiyana Jaggery Powder - Chemical Free</t>
  </si>
  <si>
    <t>Bhagar</t>
  </si>
  <si>
    <t>Cadbury Chocobakes Cake</t>
  </si>
  <si>
    <t>Bakery</t>
  </si>
  <si>
    <t>Idli Rava</t>
  </si>
  <si>
    <t>Britannia Fudge It Chocolate Brownie Cake</t>
  </si>
  <si>
    <t>Hand-Aid Liquid Handwash Cool</t>
  </si>
  <si>
    <t>Himalaya Pure Hands Deep Cleansing Tulsi &amp; Lemon Refill</t>
  </si>
  <si>
    <t>Rasmalai Premium Desi Jaggery Pieces</t>
  </si>
  <si>
    <t>Rasmalai</t>
  </si>
  <si>
    <t>Satyam Jaggery</t>
  </si>
  <si>
    <t>Britannia Treat Croissant Cocoa Creme Roll</t>
  </si>
  <si>
    <t>Hand Aid Total Instant Sanitizer</t>
  </si>
  <si>
    <t>Organic Tattva Sugar</t>
  </si>
  <si>
    <t>Philips BT 1234/16 Beard Trimmer</t>
  </si>
  <si>
    <t>Borges Green Pitted Olives</t>
  </si>
  <si>
    <t>Pedigree Meat Jerky Barbecued Chicken : 80 gms</t>
  </si>
  <si>
    <t>Syska HT200U Beard Hair Trimmer</t>
  </si>
  <si>
    <t>Veet Full Body Waxing Kit - Sensitive Skin</t>
  </si>
  <si>
    <t>Veet</t>
  </si>
  <si>
    <t>Pedigree Puppy Chicken Chunks Gravy Food</t>
  </si>
  <si>
    <t>Parle Happy Happy Tutti Frutty Flavoured Cake</t>
  </si>
  <si>
    <t>Cello Finegrip Pen (Jar)</t>
  </si>
  <si>
    <t>Pedigree Dentastix Medium</t>
  </si>
  <si>
    <t>Britannia Treat Choco Creme Wafers</t>
  </si>
  <si>
    <t>Britannia Pineapple Cake</t>
  </si>
  <si>
    <t>Britannia Treat Vanila Creme Wafers</t>
  </si>
  <si>
    <t>Nestle Ceregrow Milk &amp; Fruits</t>
  </si>
  <si>
    <t>Camel Oil Pastel In Plastic Box</t>
  </si>
  <si>
    <t>Camel</t>
  </si>
  <si>
    <t>50 Shades</t>
  </si>
  <si>
    <t>Veet Full Body Waxing Kit - Dry Skin</t>
  </si>
  <si>
    <t>Britannia Gobbles Choco Chill Cake</t>
  </si>
  <si>
    <t>Butterfly Hippo Stainless Steel Gas Stove</t>
  </si>
  <si>
    <t>2 Burners</t>
  </si>
  <si>
    <t>Apsara Matt Magic 2.0 Extra Dark Pencil</t>
  </si>
  <si>
    <t>Apsara</t>
  </si>
  <si>
    <t>Apsara Platinum Pencil</t>
  </si>
  <si>
    <t>Doms Single Line A4 Size Notebook</t>
  </si>
  <si>
    <t>Doms</t>
  </si>
  <si>
    <t>1 Book</t>
  </si>
  <si>
    <t>Satyam Sindhav Powder</t>
  </si>
  <si>
    <t>Tata Rock Salt Crusher</t>
  </si>
  <si>
    <t>Veet Full Body Waxing Kit - Normal Skin</t>
  </si>
  <si>
    <t>Doms Neon Rubber Tipped Pencil</t>
  </si>
  <si>
    <t>Veet Normal Skin Hair Removal Cream</t>
  </si>
  <si>
    <t>Veet Dry Skin Hair Removal Cream</t>
  </si>
  <si>
    <t>Sundaram A4 Longbook</t>
  </si>
  <si>
    <t>Sundaram</t>
  </si>
  <si>
    <t>Dettol Hand Sanitizer</t>
  </si>
  <si>
    <t>Sundaram A5 Size Longbook</t>
  </si>
  <si>
    <t>Doms Fusion X-Tra Dark Pencil - 10 Pieces</t>
  </si>
  <si>
    <t>Cello Gripper Blue Ballpoint Pen</t>
  </si>
  <si>
    <t>Cello Finegrip Blue Ball Pen</t>
  </si>
  <si>
    <t>No Fuss Women's Hanky - White</t>
  </si>
  <si>
    <t>Camlin Scholar Mathematical Instruments</t>
  </si>
  <si>
    <t>Camlin</t>
  </si>
  <si>
    <t>Camlin Drawing Kit Combo</t>
  </si>
  <si>
    <t>Camlin Painting Kit</t>
  </si>
  <si>
    <t>Veet Silk and Fresh Hair Removal Cream - Sensitive Skin</t>
  </si>
  <si>
    <t>Sundaram Regular Longbook</t>
  </si>
  <si>
    <t>No Fuss Women's Hanky - Multicolour</t>
  </si>
  <si>
    <t>Pidilite Fevi Stik Super Glue Stick</t>
  </si>
  <si>
    <t>Borges Green Sliced Olives</t>
  </si>
  <si>
    <t>Lifebuoy Alcohol Based Germ Protection Hand Sanitizer</t>
  </si>
  <si>
    <t>Camlin Colour Pencil</t>
  </si>
  <si>
    <t>Veet Silk and Fresh Hair Removal Cream - Normal Skin</t>
  </si>
  <si>
    <t>Relaxo Sparx Men's Slipper SFG49 - Black Red</t>
  </si>
  <si>
    <t>Relaxo</t>
  </si>
  <si>
    <t>Size 7</t>
  </si>
  <si>
    <t>Pidilite Fevicryl Acrylic Pouring Kit</t>
  </si>
  <si>
    <t>Pidilite Rangeela Creative Clay - Fruit Pack</t>
  </si>
  <si>
    <t>Camlin Exam Clip Board</t>
  </si>
  <si>
    <t>Dettol Original Liquid Handwash Pump</t>
  </si>
  <si>
    <t>Godrej Mr Magic Handwash (1 Bottle + 1 Refill)</t>
  </si>
  <si>
    <t>Philips HC3505/15 Hair Clipper</t>
  </si>
  <si>
    <t>Relaxo Flite Women's Chappal PUL90L - N.Blue</t>
  </si>
  <si>
    <t>Relaxo Flite</t>
  </si>
  <si>
    <t>Size 5</t>
  </si>
  <si>
    <t>Size 6</t>
  </si>
  <si>
    <t>Cello School Kit</t>
  </si>
  <si>
    <t>24 Mantra Organic Sugar</t>
  </si>
  <si>
    <t>Camlin Students Kit Big</t>
  </si>
  <si>
    <t>Organic Tattva Brown Sugar</t>
  </si>
  <si>
    <t>Lifebuoy Nature Germ Protection Handwash Refill</t>
  </si>
  <si>
    <t>Organic Tattva Jaggery Powder</t>
  </si>
  <si>
    <t>Relaxo Flite Women's Chappals PUL96 - Black</t>
  </si>
  <si>
    <t>Size 4</t>
  </si>
  <si>
    <t>Bisleri Packaged Drinking Water</t>
  </si>
  <si>
    <t>250 ml x 48U</t>
  </si>
  <si>
    <t>Bisleri Water</t>
  </si>
  <si>
    <t>Savlon Herbal Sensitive Handwash Pouch</t>
  </si>
  <si>
    <t>Nestle Cerelac Multigrain Dal Veg</t>
  </si>
  <si>
    <t>Nestle Cerelac Wheat Apple Cherry</t>
  </si>
  <si>
    <t>Cherry Blossom Liquid Shoe Polish - Black</t>
  </si>
  <si>
    <t>Cherry Blossom</t>
  </si>
  <si>
    <t>Cherry Neutral Handy Shoe Shine</t>
  </si>
  <si>
    <t>Cherry</t>
  </si>
  <si>
    <t>Cherry Dark Tan Blossom Shoe Polish</t>
  </si>
  <si>
    <t>Cherry Black Blossom Polish</t>
  </si>
  <si>
    <t>Tru Note Longbook Ruled A4</t>
  </si>
  <si>
    <t>Tru Note</t>
  </si>
  <si>
    <t>Tru Note Longbook Regular</t>
  </si>
  <si>
    <t>Jade Drawing Book</t>
  </si>
  <si>
    <t>Jade</t>
  </si>
  <si>
    <t>Tru Note Longbook A4</t>
  </si>
  <si>
    <t>Tru note</t>
  </si>
  <si>
    <t>Linc Pentonic Blue Gel Pen</t>
  </si>
  <si>
    <t>Linc</t>
  </si>
  <si>
    <t>Black</t>
  </si>
  <si>
    <t>ITC Classmate Octane Neon Gel Pen</t>
  </si>
  <si>
    <t>Navneet Jumbo Colouring Book - 160 Pages</t>
  </si>
  <si>
    <t>Navneet</t>
  </si>
  <si>
    <t>ITC Classmate Octane Gel Pen</t>
  </si>
  <si>
    <t>Flair Penitizer - Empty Refillable Pocket Mist Spray Pen</t>
  </si>
  <si>
    <t>Flair</t>
  </si>
  <si>
    <t>Doms X1 X-Tra Super Dark Pencils</t>
  </si>
  <si>
    <t>Camel Poster Colours 10 ml</t>
  </si>
  <si>
    <t>Linc Lazor Liner Pens</t>
  </si>
  <si>
    <t>Flair Glitter Xtra Sparkle Gel Pen</t>
  </si>
  <si>
    <t>Linc Ocean Blue Gel Pen</t>
  </si>
  <si>
    <t>Luxor Pilot Hi-Techpoint Blue Pens</t>
  </si>
  <si>
    <t>Luxor</t>
  </si>
  <si>
    <t>Anupam Eminent B5 Notebook (5 Subjects)</t>
  </si>
  <si>
    <t>Anupam</t>
  </si>
  <si>
    <t>Faber-Castell Connector Pen</t>
  </si>
  <si>
    <t>Faber-Castell</t>
  </si>
  <si>
    <t>Linc Pentonic Ball Pen</t>
  </si>
  <si>
    <t>Executive Folder Full Case Size - 12 Pockets</t>
  </si>
  <si>
    <t>Navneet All In One Board Book (English)</t>
  </si>
  <si>
    <t>Anupam Canvas Painting Board (10x12 Inches)</t>
  </si>
  <si>
    <t>10 x 12 Inches</t>
  </si>
  <si>
    <t>8 x 10 Inches</t>
  </si>
  <si>
    <t>Faber-Castell Plastic Erasable Crayons</t>
  </si>
  <si>
    <t>Kangaro Paper Punch Machine DP-280/Y</t>
  </si>
  <si>
    <t>Camel Oil Pastels</t>
  </si>
  <si>
    <t>12 Shades</t>
  </si>
  <si>
    <t>Navneet Vikas Tiny Board Book</t>
  </si>
  <si>
    <t>Cello ColourUp Celebration Kit - Small</t>
  </si>
  <si>
    <t>Peacock Modelling Clay</t>
  </si>
  <si>
    <t>12x16.5 gm</t>
  </si>
  <si>
    <t>Doms Poster Colour 10 ml</t>
  </si>
  <si>
    <t>14 Shades</t>
  </si>
  <si>
    <t>Camlin Sketch Pens - Assorted Shades</t>
  </si>
  <si>
    <t>Linc Glycer Blue Ball Pen</t>
  </si>
  <si>
    <t>Cello ColourUp Celebration Kit - Big</t>
  </si>
  <si>
    <t>Glue Stick</t>
  </si>
  <si>
    <t>Navneet Colouring Book - Assorted</t>
  </si>
  <si>
    <t>Camel Water Colour Paint Cake Set - 24 Shades</t>
  </si>
  <si>
    <t>Future Books Colouring Book</t>
  </si>
  <si>
    <t>Unbranded</t>
  </si>
  <si>
    <t>Navneet Youva Longbook A4 - Assorted</t>
  </si>
  <si>
    <t>Navneet Youva 6 Subject Spiral Book - Assorted</t>
  </si>
  <si>
    <t>Navneet Youva A4 Notebook - Assorted</t>
  </si>
  <si>
    <t>Navneet Youva Longbook Journal - Assorted</t>
  </si>
  <si>
    <t>Navneet Youva Long Notebook - Assorted</t>
  </si>
  <si>
    <t>Navneet Youva Drawing Book - Assorted</t>
  </si>
  <si>
    <t>Navneet Youva Canvas Board (10x12 Inches)</t>
  </si>
  <si>
    <t>Data Quality Check</t>
  </si>
  <si>
    <t>Total Records</t>
  </si>
  <si>
    <t>Duplicate Records</t>
  </si>
  <si>
    <t>Missing Values</t>
  </si>
  <si>
    <t>Zero Price Records</t>
  </si>
  <si>
    <t>Results</t>
  </si>
  <si>
    <t>Sr No.</t>
  </si>
  <si>
    <t xml:space="preserve">Metric </t>
  </si>
  <si>
    <t>Value</t>
  </si>
  <si>
    <t>Total Transactions</t>
  </si>
  <si>
    <t>Total Sales</t>
  </si>
  <si>
    <t>Total Discount</t>
  </si>
  <si>
    <t>Average Selling Price</t>
  </si>
  <si>
    <t>Average Discount %</t>
  </si>
  <si>
    <t>Row Labels</t>
  </si>
  <si>
    <t>Grand Total</t>
  </si>
  <si>
    <t>Sum of Discounted_Price</t>
  </si>
  <si>
    <t>Sum of Total Discount</t>
  </si>
  <si>
    <t>DMart Retail Analytics Dashboard</t>
  </si>
  <si>
    <t>Data Quality Checks</t>
  </si>
  <si>
    <t>Sales Analysis</t>
  </si>
  <si>
    <t>Pivot Analysis</t>
  </si>
  <si>
    <t>DMart Retail Analytics —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</si>
</sst>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4"/>
      <color theme="1"/>
      <name val="Copperplate Goth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Analysis'!$G$4:$G$14</c:f>
              <c:strCache>
                <c:ptCount val="10"/>
                <c:pt idx="0">
                  <c:v>unbranded</c:v>
                </c:pt>
                <c:pt idx="1">
                  <c:v>Zeel</c:v>
                </c:pt>
                <c:pt idx="2">
                  <c:v>Philips</c:v>
                </c:pt>
                <c:pt idx="3">
                  <c:v>Prestige</c:v>
                </c:pt>
                <c:pt idx="4">
                  <c:v>Faces Canada</c:v>
                </c:pt>
                <c:pt idx="5">
                  <c:v>Bajaj</c:v>
                </c:pt>
                <c:pt idx="6">
                  <c:v>Crompton Greaves</c:v>
                </c:pt>
                <c:pt idx="7">
                  <c:v>Usha</c:v>
                </c:pt>
                <c:pt idx="8">
                  <c:v>Lakme</c:v>
                </c:pt>
                <c:pt idx="9">
                  <c:v>Premia</c:v>
                </c:pt>
              </c:strCache>
            </c:strRef>
          </c:cat>
          <c:val>
            <c:numRef>
              <c:f>'Pivot Analysis'!$H$4:$H$14</c:f>
              <c:numCache>
                <c:formatCode>General</c:formatCode>
                <c:ptCount val="10"/>
                <c:pt idx="0">
                  <c:v>64704</c:v>
                </c:pt>
                <c:pt idx="1">
                  <c:v>27037</c:v>
                </c:pt>
                <c:pt idx="2">
                  <c:v>23444</c:v>
                </c:pt>
                <c:pt idx="3">
                  <c:v>22860</c:v>
                </c:pt>
                <c:pt idx="4">
                  <c:v>22729</c:v>
                </c:pt>
                <c:pt idx="5">
                  <c:v>21977</c:v>
                </c:pt>
                <c:pt idx="6">
                  <c:v>18847</c:v>
                </c:pt>
                <c:pt idx="7">
                  <c:v>17570</c:v>
                </c:pt>
                <c:pt idx="8">
                  <c:v>17053</c:v>
                </c:pt>
                <c:pt idx="9">
                  <c:v>16235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E-4B65-8E5B-CE2344807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0289024"/>
        <c:axId val="378688144"/>
        <c:axId val="0"/>
      </c:bar3DChart>
      <c:catAx>
        <c:axId val="33028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88144"/>
        <c:crosses val="autoZero"/>
        <c:auto val="1"/>
        <c:lblAlgn val="ctr"/>
        <c:lblOffset val="100"/>
        <c:noMultiLvlLbl val="0"/>
      </c:catAx>
      <c:valAx>
        <c:axId val="37868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8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Analysis'!$A$33:$A$43</c:f>
              <c:strCache>
                <c:ptCount val="10"/>
                <c:pt idx="0">
                  <c:v>Philips UV-C Disinfection System</c:v>
                </c:pt>
                <c:pt idx="1">
                  <c:v>Hawkins Classic Pressure Cooker - CL50</c:v>
                </c:pt>
                <c:pt idx="2">
                  <c:v>Godrej Goldilocks Personal White Locker</c:v>
                </c:pt>
                <c:pt idx="3">
                  <c:v>Figaro Olive Oil Tin</c:v>
                </c:pt>
                <c:pt idx="4">
                  <c:v>Bathla Advance 5 Step Ladder-Orange</c:v>
                </c:pt>
                <c:pt idx="5">
                  <c:v>Bathla Advance 4 Step Ladder-Orange</c:v>
                </c:pt>
                <c:pt idx="6">
                  <c:v>Morphy Richards Primo Classique Mixer Grinder - 750 W</c:v>
                </c:pt>
                <c:pt idx="7">
                  <c:v>Saffola Gold Oil</c:v>
                </c:pt>
                <c:pt idx="8">
                  <c:v>RRO Primio Refined Groundnut Oil</c:v>
                </c:pt>
                <c:pt idx="9">
                  <c:v>Crompton Instant Water Heater</c:v>
                </c:pt>
              </c:strCache>
            </c:strRef>
          </c:cat>
          <c:val>
            <c:numRef>
              <c:f>'Pivot Analysis'!$B$33:$B$43</c:f>
              <c:numCache>
                <c:formatCode>General</c:formatCode>
                <c:ptCount val="10"/>
                <c:pt idx="0">
                  <c:v>7999</c:v>
                </c:pt>
                <c:pt idx="1">
                  <c:v>6829</c:v>
                </c:pt>
                <c:pt idx="2">
                  <c:v>4999</c:v>
                </c:pt>
                <c:pt idx="3">
                  <c:v>4751</c:v>
                </c:pt>
                <c:pt idx="4">
                  <c:v>4699</c:v>
                </c:pt>
                <c:pt idx="5">
                  <c:v>4149</c:v>
                </c:pt>
                <c:pt idx="6">
                  <c:v>3999</c:v>
                </c:pt>
                <c:pt idx="7">
                  <c:v>3998</c:v>
                </c:pt>
                <c:pt idx="8">
                  <c:v>3904</c:v>
                </c:pt>
                <c:pt idx="9">
                  <c:v>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6-4228-BA26-1F438E09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6582096"/>
        <c:axId val="378724624"/>
      </c:barChart>
      <c:catAx>
        <c:axId val="55658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24624"/>
        <c:crosses val="autoZero"/>
        <c:auto val="1"/>
        <c:lblAlgn val="ctr"/>
        <c:lblOffset val="100"/>
        <c:noMultiLvlLbl val="0"/>
      </c:catAx>
      <c:valAx>
        <c:axId val="37872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8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Analysis'!$A$4:$A$14</c:f>
              <c:strCache>
                <c:ptCount val="10"/>
                <c:pt idx="0">
                  <c:v> Cooking Oil</c:v>
                </c:pt>
                <c:pt idx="1">
                  <c:v>Cookware &amp; Serveware</c:v>
                </c:pt>
                <c:pt idx="2">
                  <c:v>Specials</c:v>
                </c:pt>
                <c:pt idx="3">
                  <c:v>Beverages</c:v>
                </c:pt>
                <c:pt idx="4">
                  <c:v>Skin Care</c:v>
                </c:pt>
                <c:pt idx="5">
                  <c:v>Home Appliances</c:v>
                </c:pt>
                <c:pt idx="6">
                  <c:v>Hair Care</c:v>
                </c:pt>
                <c:pt idx="7">
                  <c:v>Face Care</c:v>
                </c:pt>
                <c:pt idx="8">
                  <c:v>Bed &amp; Bath</c:v>
                </c:pt>
                <c:pt idx="9">
                  <c:v>Kitchen Appliances</c:v>
                </c:pt>
              </c:strCache>
            </c:strRef>
          </c:cat>
          <c:val>
            <c:numRef>
              <c:f>'Pivot Analysis'!$B$4:$B$14</c:f>
              <c:numCache>
                <c:formatCode>General</c:formatCode>
                <c:ptCount val="10"/>
                <c:pt idx="0">
                  <c:v>91159</c:v>
                </c:pt>
                <c:pt idx="1">
                  <c:v>74272</c:v>
                </c:pt>
                <c:pt idx="2">
                  <c:v>67327</c:v>
                </c:pt>
                <c:pt idx="3">
                  <c:v>56186</c:v>
                </c:pt>
                <c:pt idx="4">
                  <c:v>55590</c:v>
                </c:pt>
                <c:pt idx="5">
                  <c:v>52472</c:v>
                </c:pt>
                <c:pt idx="6">
                  <c:v>46810</c:v>
                </c:pt>
                <c:pt idx="7">
                  <c:v>41617</c:v>
                </c:pt>
                <c:pt idx="8">
                  <c:v>38965</c:v>
                </c:pt>
                <c:pt idx="9">
                  <c:v>35482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7-4DE2-B1F0-C50B77F71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6077296"/>
        <c:axId val="378791824"/>
        <c:axId val="0"/>
      </c:bar3DChart>
      <c:catAx>
        <c:axId val="3960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91824"/>
        <c:crosses val="autoZero"/>
        <c:auto val="1"/>
        <c:lblAlgn val="ctr"/>
        <c:lblOffset val="100"/>
        <c:noMultiLvlLbl val="0"/>
      </c:catAx>
      <c:valAx>
        <c:axId val="37879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Analysis'!$A$18:$A$28</c:f>
              <c:strCache>
                <c:ptCount val="10"/>
                <c:pt idx="0">
                  <c:v>Butterfly Stainless Steel Outer Lid Curve Cooker</c:v>
                </c:pt>
                <c:pt idx="1">
                  <c:v>Bathla Advance 5 Step Ladder-Orange</c:v>
                </c:pt>
                <c:pt idx="2">
                  <c:v>Borges Extra Light Olive Oil</c:v>
                </c:pt>
                <c:pt idx="3">
                  <c:v>Portronics Kronos Y1 Smart Watch - Grey</c:v>
                </c:pt>
                <c:pt idx="4">
                  <c:v>Wonderchef Nutri-Blend Red With 3 Jars</c:v>
                </c:pt>
                <c:pt idx="5">
                  <c:v>Philips UV-C Disinfection System</c:v>
                </c:pt>
                <c:pt idx="6">
                  <c:v>Boat Black Stone 650R Bluetooth Speaker</c:v>
                </c:pt>
                <c:pt idx="7">
                  <c:v>Bajaj GX8 Mixer Grinder - 750 W</c:v>
                </c:pt>
                <c:pt idx="8">
                  <c:v>Godrej Goldilocks Personal White Locker</c:v>
                </c:pt>
                <c:pt idx="9">
                  <c:v>Bathla Advance 4 Step Ladder-Orange</c:v>
                </c:pt>
              </c:strCache>
            </c:strRef>
          </c:cat>
          <c:val>
            <c:numRef>
              <c:f>'Pivot Analysis'!$B$18:$B$28</c:f>
              <c:numCache>
                <c:formatCode>General</c:formatCode>
                <c:ptCount val="10"/>
                <c:pt idx="0">
                  <c:v>4899</c:v>
                </c:pt>
                <c:pt idx="1">
                  <c:v>4300</c:v>
                </c:pt>
                <c:pt idx="2">
                  <c:v>4252</c:v>
                </c:pt>
                <c:pt idx="3">
                  <c:v>3500</c:v>
                </c:pt>
                <c:pt idx="4">
                  <c:v>3101</c:v>
                </c:pt>
                <c:pt idx="5">
                  <c:v>2991</c:v>
                </c:pt>
                <c:pt idx="6">
                  <c:v>2991</c:v>
                </c:pt>
                <c:pt idx="7">
                  <c:v>2676</c:v>
                </c:pt>
                <c:pt idx="8">
                  <c:v>2670</c:v>
                </c:pt>
                <c:pt idx="9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3-4C5D-B557-BABE33C22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492992"/>
        <c:axId val="378718384"/>
      </c:barChart>
      <c:catAx>
        <c:axId val="39449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18384"/>
        <c:crosses val="autoZero"/>
        <c:auto val="1"/>
        <c:lblAlgn val="ctr"/>
        <c:lblOffset val="100"/>
        <c:noMultiLvlLbl val="0"/>
      </c:catAx>
      <c:valAx>
        <c:axId val="37871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9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10 Categories by Sales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Analysis'!$A$4:$A$14</c:f>
              <c:strCache>
                <c:ptCount val="10"/>
                <c:pt idx="0">
                  <c:v> Cooking Oil</c:v>
                </c:pt>
                <c:pt idx="1">
                  <c:v>Cookware &amp; Serveware</c:v>
                </c:pt>
                <c:pt idx="2">
                  <c:v>Specials</c:v>
                </c:pt>
                <c:pt idx="3">
                  <c:v>Beverages</c:v>
                </c:pt>
                <c:pt idx="4">
                  <c:v>Skin Care</c:v>
                </c:pt>
                <c:pt idx="5">
                  <c:v>Home Appliances</c:v>
                </c:pt>
                <c:pt idx="6">
                  <c:v>Hair Care</c:v>
                </c:pt>
                <c:pt idx="7">
                  <c:v>Face Care</c:v>
                </c:pt>
                <c:pt idx="8">
                  <c:v>Bed &amp; Bath</c:v>
                </c:pt>
                <c:pt idx="9">
                  <c:v>Kitchen Appliances</c:v>
                </c:pt>
              </c:strCache>
            </c:strRef>
          </c:cat>
          <c:val>
            <c:numRef>
              <c:f>'Pivot Analysis'!$B$4:$B$14</c:f>
              <c:numCache>
                <c:formatCode>General</c:formatCode>
                <c:ptCount val="10"/>
                <c:pt idx="0">
                  <c:v>91159</c:v>
                </c:pt>
                <c:pt idx="1">
                  <c:v>74272</c:v>
                </c:pt>
                <c:pt idx="2">
                  <c:v>67327</c:v>
                </c:pt>
                <c:pt idx="3">
                  <c:v>56186</c:v>
                </c:pt>
                <c:pt idx="4">
                  <c:v>55590</c:v>
                </c:pt>
                <c:pt idx="5">
                  <c:v>52472</c:v>
                </c:pt>
                <c:pt idx="6">
                  <c:v>46810</c:v>
                </c:pt>
                <c:pt idx="7">
                  <c:v>41617</c:v>
                </c:pt>
                <c:pt idx="8">
                  <c:v>38965</c:v>
                </c:pt>
                <c:pt idx="9">
                  <c:v>35482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E-470B-A414-B3C05578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6077296"/>
        <c:axId val="378791824"/>
        <c:axId val="0"/>
      </c:bar3DChart>
      <c:catAx>
        <c:axId val="3960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91824"/>
        <c:crosses val="autoZero"/>
        <c:auto val="1"/>
        <c:lblAlgn val="ctr"/>
        <c:lblOffset val="100"/>
        <c:noMultiLvlLbl val="0"/>
      </c:catAx>
      <c:valAx>
        <c:axId val="37879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7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10 Brands by Sales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Analysis'!$G$4:$G$14</c:f>
              <c:strCache>
                <c:ptCount val="10"/>
                <c:pt idx="0">
                  <c:v>unbranded</c:v>
                </c:pt>
                <c:pt idx="1">
                  <c:v>Zeel</c:v>
                </c:pt>
                <c:pt idx="2">
                  <c:v>Philips</c:v>
                </c:pt>
                <c:pt idx="3">
                  <c:v>Prestige</c:v>
                </c:pt>
                <c:pt idx="4">
                  <c:v>Faces Canada</c:v>
                </c:pt>
                <c:pt idx="5">
                  <c:v>Bajaj</c:v>
                </c:pt>
                <c:pt idx="6">
                  <c:v>Crompton Greaves</c:v>
                </c:pt>
                <c:pt idx="7">
                  <c:v>Usha</c:v>
                </c:pt>
                <c:pt idx="8">
                  <c:v>Lakme</c:v>
                </c:pt>
                <c:pt idx="9">
                  <c:v>Premia</c:v>
                </c:pt>
              </c:strCache>
            </c:strRef>
          </c:cat>
          <c:val>
            <c:numRef>
              <c:f>'Pivot Analysis'!$H$4:$H$14</c:f>
              <c:numCache>
                <c:formatCode>General</c:formatCode>
                <c:ptCount val="10"/>
                <c:pt idx="0">
                  <c:v>64704</c:v>
                </c:pt>
                <c:pt idx="1">
                  <c:v>27037</c:v>
                </c:pt>
                <c:pt idx="2">
                  <c:v>23444</c:v>
                </c:pt>
                <c:pt idx="3">
                  <c:v>22860</c:v>
                </c:pt>
                <c:pt idx="4">
                  <c:v>22729</c:v>
                </c:pt>
                <c:pt idx="5">
                  <c:v>21977</c:v>
                </c:pt>
                <c:pt idx="6">
                  <c:v>18847</c:v>
                </c:pt>
                <c:pt idx="7">
                  <c:v>17570</c:v>
                </c:pt>
                <c:pt idx="8">
                  <c:v>17053</c:v>
                </c:pt>
                <c:pt idx="9">
                  <c:v>16235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9-4EC8-AC47-B252D686C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0289024"/>
        <c:axId val="378688144"/>
        <c:axId val="0"/>
      </c:bar3DChart>
      <c:catAx>
        <c:axId val="33028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88144"/>
        <c:crosses val="autoZero"/>
        <c:auto val="1"/>
        <c:lblAlgn val="ctr"/>
        <c:lblOffset val="100"/>
        <c:noMultiLvlLbl val="0"/>
      </c:catAx>
      <c:valAx>
        <c:axId val="37868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8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10 Products by Sales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Analysis'!$A$18:$A$28</c:f>
              <c:strCache>
                <c:ptCount val="10"/>
                <c:pt idx="0">
                  <c:v>Butterfly Stainless Steel Outer Lid Curve Cooker</c:v>
                </c:pt>
                <c:pt idx="1">
                  <c:v>Bathla Advance 5 Step Ladder-Orange</c:v>
                </c:pt>
                <c:pt idx="2">
                  <c:v>Borges Extra Light Olive Oil</c:v>
                </c:pt>
                <c:pt idx="3">
                  <c:v>Portronics Kronos Y1 Smart Watch - Grey</c:v>
                </c:pt>
                <c:pt idx="4">
                  <c:v>Wonderchef Nutri-Blend Red With 3 Jars</c:v>
                </c:pt>
                <c:pt idx="5">
                  <c:v>Philips UV-C Disinfection System</c:v>
                </c:pt>
                <c:pt idx="6">
                  <c:v>Boat Black Stone 650R Bluetooth Speaker</c:v>
                </c:pt>
                <c:pt idx="7">
                  <c:v>Bajaj GX8 Mixer Grinder - 750 W</c:v>
                </c:pt>
                <c:pt idx="8">
                  <c:v>Godrej Goldilocks Personal White Locker</c:v>
                </c:pt>
                <c:pt idx="9">
                  <c:v>Bathla Advance 4 Step Ladder-Orange</c:v>
                </c:pt>
              </c:strCache>
            </c:strRef>
          </c:cat>
          <c:val>
            <c:numRef>
              <c:f>'Pivot Analysis'!$B$18:$B$28</c:f>
              <c:numCache>
                <c:formatCode>General</c:formatCode>
                <c:ptCount val="10"/>
                <c:pt idx="0">
                  <c:v>4899</c:v>
                </c:pt>
                <c:pt idx="1">
                  <c:v>4300</c:v>
                </c:pt>
                <c:pt idx="2">
                  <c:v>4252</c:v>
                </c:pt>
                <c:pt idx="3">
                  <c:v>3500</c:v>
                </c:pt>
                <c:pt idx="4">
                  <c:v>3101</c:v>
                </c:pt>
                <c:pt idx="5">
                  <c:v>2991</c:v>
                </c:pt>
                <c:pt idx="6">
                  <c:v>2991</c:v>
                </c:pt>
                <c:pt idx="7">
                  <c:v>2676</c:v>
                </c:pt>
                <c:pt idx="8">
                  <c:v>2670</c:v>
                </c:pt>
                <c:pt idx="9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CFA-B8D1-C0363DA76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492992"/>
        <c:axId val="378718384"/>
      </c:barChart>
      <c:catAx>
        <c:axId val="39449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18384"/>
        <c:crosses val="autoZero"/>
        <c:auto val="1"/>
        <c:lblAlgn val="ctr"/>
        <c:lblOffset val="100"/>
        <c:noMultiLvlLbl val="0"/>
      </c:catAx>
      <c:valAx>
        <c:axId val="37871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Top 10 Products by Total Discount</a:t>
            </a:r>
            <a:endParaRPr lang="en-US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Analysis'!$A$33:$A$43</c:f>
              <c:strCache>
                <c:ptCount val="10"/>
                <c:pt idx="0">
                  <c:v>Philips UV-C Disinfection System</c:v>
                </c:pt>
                <c:pt idx="1">
                  <c:v>Hawkins Classic Pressure Cooker - CL50</c:v>
                </c:pt>
                <c:pt idx="2">
                  <c:v>Godrej Goldilocks Personal White Locker</c:v>
                </c:pt>
                <c:pt idx="3">
                  <c:v>Figaro Olive Oil Tin</c:v>
                </c:pt>
                <c:pt idx="4">
                  <c:v>Bathla Advance 5 Step Ladder-Orange</c:v>
                </c:pt>
                <c:pt idx="5">
                  <c:v>Bathla Advance 4 Step Ladder-Orange</c:v>
                </c:pt>
                <c:pt idx="6">
                  <c:v>Morphy Richards Primo Classique Mixer Grinder - 750 W</c:v>
                </c:pt>
                <c:pt idx="7">
                  <c:v>Saffola Gold Oil</c:v>
                </c:pt>
                <c:pt idx="8">
                  <c:v>RRO Primio Refined Groundnut Oil</c:v>
                </c:pt>
                <c:pt idx="9">
                  <c:v>Crompton Instant Water Heater</c:v>
                </c:pt>
              </c:strCache>
            </c:strRef>
          </c:cat>
          <c:val>
            <c:numRef>
              <c:f>'Pivot Analysis'!$B$33:$B$43</c:f>
              <c:numCache>
                <c:formatCode>General</c:formatCode>
                <c:ptCount val="10"/>
                <c:pt idx="0">
                  <c:v>7999</c:v>
                </c:pt>
                <c:pt idx="1">
                  <c:v>6829</c:v>
                </c:pt>
                <c:pt idx="2">
                  <c:v>4999</c:v>
                </c:pt>
                <c:pt idx="3">
                  <c:v>4751</c:v>
                </c:pt>
                <c:pt idx="4">
                  <c:v>4699</c:v>
                </c:pt>
                <c:pt idx="5">
                  <c:v>4149</c:v>
                </c:pt>
                <c:pt idx="6">
                  <c:v>3999</c:v>
                </c:pt>
                <c:pt idx="7">
                  <c:v>3998</c:v>
                </c:pt>
                <c:pt idx="8">
                  <c:v>3904</c:v>
                </c:pt>
                <c:pt idx="9">
                  <c:v>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3-4526-A00F-5E6C04D7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6582096"/>
        <c:axId val="378724624"/>
      </c:barChart>
      <c:catAx>
        <c:axId val="55658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24624"/>
        <c:crosses val="autoZero"/>
        <c:auto val="1"/>
        <c:lblAlgn val="ctr"/>
        <c:lblOffset val="100"/>
        <c:noMultiLvlLbl val="0"/>
      </c:catAx>
      <c:valAx>
        <c:axId val="37872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8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274320</xdr:colOff>
      <xdr:row>1</xdr:row>
      <xdr:rowOff>156210</xdr:rowOff>
    </xdr:from>
    <xdr:to>
      <xdr:col>13</xdr:col>
      <xdr:colOff>342900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F9F15-802F-00AD-5282-50AC2B667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480060</xdr:colOff>
      <xdr:row>30</xdr:row>
      <xdr:rowOff>140970</xdr:rowOff>
    </xdr:from>
    <xdr:to>
      <xdr:col>5</xdr:col>
      <xdr:colOff>655320</xdr:colOff>
      <xdr:row>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5E4219-D976-9E33-C4C0-3FC75ACF6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350520</xdr:colOff>
      <xdr:row>2</xdr:row>
      <xdr:rowOff>0</xdr:rowOff>
    </xdr:from>
    <xdr:to>
      <xdr:col>5</xdr:col>
      <xdr:colOff>617220</xdr:colOff>
      <xdr:row>14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3EECAF-C4AC-47B8-8CBE-44D5DD9FD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495300</xdr:colOff>
      <xdr:row>15</xdr:row>
      <xdr:rowOff>175260</xdr:rowOff>
    </xdr:from>
    <xdr:to>
      <xdr:col>5</xdr:col>
      <xdr:colOff>632460</xdr:colOff>
      <xdr:row>28</xdr:row>
      <xdr:rowOff>45720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8387B0-691D-4464-9EDD-673B725DC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5</xdr:col>
      <xdr:colOff>0</xdr:colOff>
      <xdr:row>17</xdr:row>
      <xdr:rowOff>155510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02B21-0762-41CF-8A03-FC54F4412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23326</xdr:colOff>
      <xdr:row>3</xdr:row>
      <xdr:rowOff>7620</xdr:rowOff>
    </xdr:from>
    <xdr:to>
      <xdr:col>10</xdr:col>
      <xdr:colOff>0</xdr:colOff>
      <xdr:row>17</xdr:row>
      <xdr:rowOff>155510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2EEBF-FA8C-4C00-93D8-3949494E6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5</xdr:col>
      <xdr:colOff>19050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7AB504-7B18-4E23-B9A1-6E483DF5E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17</xdr:row>
      <xdr:rowOff>171061</xdr:rowOff>
    </xdr:from>
    <xdr:to>
      <xdr:col>10</xdr:col>
      <xdr:colOff>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5CA348-6DDB-4D89-AAE1-D846CD72F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844095717592" createdVersion="8" refreshedVersion="8" minRefreshableVersion="3" recordCount="5189" xr:uid="{9CC68858-9899-4A78-95D3-4E31871D0F65}">
  <cacheSource type="worksheet">
    <worksheetSource name="sales_transactions_cleaned"/>
  </cacheSource>
  <cacheFields count="8">
    <cacheField name="sales_transaction_id" numFmtId="0">
      <sharedItems containsSemiMixedTypes="0" containsString="0" containsNumber="1" containsInteger="1" minValue="1" maxValue="5189"/>
    </cacheField>
    <cacheField name="Product_Name" numFmtId="0">
      <sharedItems count="4359">
        <s v="Premia Badam (Almonds)"/>
        <s v="Nutraj California Almonds (Badam)"/>
        <s v="Chana Dal"/>
        <s v="Rajma White"/>
        <s v="Rajma Kashmiri Red"/>
        <s v="Premia Mamra Badam"/>
        <s v="Tata Sampann Chana Dal"/>
        <s v="Rajma Red Small"/>
        <s v="Nutraj Almond"/>
        <s v="Satyam Rajma Pink"/>
        <s v="KMK Almond Mamra (Badam)"/>
        <s v="DMart Healthy Choice Unpolished Chana Dal"/>
        <s v="Satyam Rajma Sharmili"/>
        <s v="Satyam Chana Dal"/>
        <s v="Tata Sampann 100% Organic Unpolished Chana Dal"/>
        <s v="KMK Almond American (Badam)"/>
        <s v="Tata Sampann Organic Unpolished Rajma Red"/>
        <s v="DMart Premia Almonds Salted"/>
        <s v="ProV Select California Almonds"/>
        <s v="ProV Select California Independence"/>
        <s v="Moong Dal"/>
        <s v="Nutraj Cashews"/>
        <s v="Premia Regular Kaju (Cashews) - 320"/>
        <s v="Moong Dal Chilti"/>
        <s v="Tata Sampann Moong Dal"/>
        <s v="Kalbavi Cashews (Kaju)"/>
        <s v="Premia Kaju Tukda (Cashews)"/>
        <s v="Chowli Big"/>
        <s v="Chowli Premium"/>
        <s v="Premia Kaju"/>
        <s v="Chowli Small"/>
        <s v="Premia Cashew Broken"/>
        <s v="DMart Healthy Choice Unpolished Moong Dal"/>
        <s v="Premia Kaju Special (Cashews)"/>
        <s v="Kokan Gem Goa Cashew Classic (Kaju)"/>
        <s v="Kokan Gem Goa Cashew Premium (Kaju)"/>
        <s v="Tata Sampann Moong Chilka"/>
        <s v="Chowli Red"/>
        <s v="Satyam Moong Dal"/>
        <s v="Tata Sampann 100% Organic Unpolished Moong Dal"/>
        <s v="KMK Cashew Nut (Kaju)"/>
        <s v="Premia Premium Kaju (Cashews) - 210"/>
        <s v="24 Mantra Organic Moong Dal"/>
        <s v="Satyam Moong Chilti"/>
        <s v="DMart Premia Cashews Salted"/>
        <s v="Kokan Gem Goa Cashews Tukda"/>
        <s v="Satyam Chowla"/>
        <s v="Nutraj Broken Cashew"/>
        <s v="Organic Tattva Moong Dal Whole"/>
        <s v="DMart Premia Cashews Black Pepper"/>
        <s v="ProV Select Cashews"/>
        <s v="Tur Dal Latur"/>
        <s v="Tata Sampann Toor Dal"/>
        <s v="Tur Dal Premium Gujarat"/>
        <s v="Premia Pista Salty (Pistachio)"/>
        <s v="DMart Healthy Choice Unpolished Toor Dal"/>
        <s v="Premia Pista Plain (Pistachios)"/>
        <s v="Tata Sampann 100% Organic Unpolished Toor Dal"/>
        <s v="Nutraj Iranian Pistachios (Pista)"/>
        <s v="Nutraj Premium California Pistachios (Pista)"/>
        <s v="Premia Soyawadi"/>
        <s v="Satyam Tur (Toor) Dal"/>
        <s v="Nutrela Soya Mini Chunks"/>
        <s v="Organic Tattva Arhar Tur Dal"/>
        <s v="Toor Dal Plain"/>
        <s v="Nutrela Soya Chunks"/>
        <s v="Toor Dal Oily"/>
        <s v="24 Mantra Organic Tur Dal"/>
        <s v="Premia Mini Soya Chunks"/>
        <s v="Nutrela Soya Granules"/>
        <s v="KMK Pista Magaz"/>
        <s v="Satyam Toor Dal Oily"/>
        <s v="Carnival Classic Pista Magaz"/>
        <s v="Premia Soyabean"/>
        <s v="Carnival Classic California Pistachios"/>
        <s v="KMK Pista Salted Irani (Pistachios)"/>
        <s v="Tuwar Whole"/>
        <s v="Saffola Mealmaker Soya Chunks"/>
        <s v="Udid (Urad) Dal"/>
        <s v="Desi Kabuli Chana"/>
        <s v="Udid"/>
        <s v="Date Crown Fard (Khajur)"/>
        <s v="Tata Sampann Urad Dal"/>
        <s v="Emperor Dates - Deseeded Black Dates (Khajur)"/>
        <s v="Satyam Kabuli Chana"/>
        <s v="Udid (Urad) Dal Chilti"/>
        <s v="Falcon UAE Dates Seedless (Khajur)"/>
        <s v="Premia Red Dried Dates (Kharik)"/>
        <s v="Emperor Royal Peacock Seeded Dates (Khajur)"/>
        <s v="Emperor Dates Iranian Muzafati"/>
        <s v="24 Mantra Organic Kabuli Chana"/>
        <s v="Date Crown Bumaan Dates"/>
        <s v="Satyam Udid (Urad) Dal"/>
        <s v="Apis Royal Zahidi Premium Dates"/>
        <s v="King Solomon Medjoul Natural Dates"/>
        <s v="Premia Black Dried Dates (Kharik)"/>
        <s v="Falcon Safawi Dates"/>
        <s v="Tata Sampann Organic Unpolished Kabuli Chana"/>
        <s v="Organic Tattva Kabuli Chana"/>
        <s v="Nutraj Dry Dates (Chuara-Khareek)"/>
        <s v="Falcon Aqaba Dates"/>
        <s v="King Solomon Oriental Dates"/>
        <s v="Royal Delight Finest Oman Dates"/>
        <s v="Shamim Iranian Wet Dates"/>
        <s v="Emperor Premium Dates Zahidi"/>
        <s v="Tata Sampann Organic Unpolished Urad Dal"/>
        <s v="Falcon UAE Dates Seeded"/>
        <s v="Organic Tattva Urad Dal White Split"/>
        <s v="Azmah Dates"/>
        <s v="Apis Premium Seeded Dates"/>
        <s v="Royal Delight Finest Ajwa Dates"/>
        <s v="Organic Tattva Urad Dal Whole White"/>
        <s v="Royal Delight Finest Mabroom Dates"/>
        <s v="Royal Delight Finest Safavi Dates"/>
        <s v="Masoor Dal"/>
        <s v="Premia Kismis Indian (Raisins)"/>
        <s v="Chana Small"/>
        <s v="Chana Big"/>
        <s v="Tata Sampann Masoor Dal"/>
        <s v="Premia Kismis Black (Raisins)"/>
        <s v="Nutraj Raisins - Kishmish"/>
        <s v="Chana Green"/>
        <s v="Premia Kismis Black Seedless"/>
        <s v="Satyam Masur Dal"/>
        <s v="Mahafruit Premium Quality Kishmish (Raisins)"/>
        <s v="Premia Kismis Selected (Raisins)"/>
        <s v="Satyam Chana Mosambi"/>
        <s v="KMK Black Raisins Seedless (Kismis)"/>
        <s v="KMK Green Raisins Afghan (Kismis)"/>
        <s v="Satyam Chana Small"/>
        <s v="Organic Tattva Kala Chana"/>
        <s v="Satyam Chana Green"/>
        <s v="Carnival Premium Seedless Black Raisins"/>
        <s v="Tata Sampann Organic Unpolished Brown (Kala) Chana"/>
        <s v="Nutraj California Walnut Kernels (Akrod Magaj)"/>
        <s v="Premia Akrod Magaj (Walnut Kernels)"/>
        <s v="Nutraj California Whole Walnut (Akrod)"/>
        <s v="Daliya"/>
        <s v="Nutraj Daily Walnut Kernels"/>
        <s v="Udid (Urad) Black Whole"/>
        <s v="KMK Walnut Shell (Whole)"/>
        <s v="KMK Walnut Kernel (Akrod)"/>
        <s v="Satyam Dalia"/>
        <s v="Satyam Udid (Urad) Whole"/>
        <s v="Moong Whole"/>
        <s v="Mix Dal"/>
        <s v="Satyam Moong Whole"/>
        <s v="Premia Jardalu"/>
        <s v="Premia Dry Apricot"/>
        <s v="24 Mantra Organic Green Moong Whole"/>
        <s v="Dal - Rice Mix"/>
        <s v="Masoor Whole"/>
        <s v="Premia Mixed Dry Fruits"/>
        <s v="Nutraj Mix Dry Fruits"/>
        <s v="Satyam Masoor Whole"/>
        <s v="KMK Cranberry Whole"/>
        <s v="KMK Mix Mewa Cut Dry Fruits"/>
        <s v="Carnival Cranberry Premium Whole"/>
        <s v="Carnival Cranberry Classic Sliced"/>
        <s v="Carnival Dried Blueberry"/>
        <s v="Carnival Cranberry Whole"/>
        <s v="Vatana White"/>
        <s v="Vatana Green"/>
        <s v="Satyam Safed (White) Vatana"/>
        <s v="Vatana Black"/>
        <s v="Satyam Vatana Green"/>
        <s v="KMK Charoli"/>
        <s v="Premia Charoli"/>
        <s v="Satyam Vatana Black"/>
        <s v="Makhana"/>
        <s v="Matki"/>
        <s v="Matki Small"/>
        <s v="Morya Phool Makhana (Fox Nuts)"/>
        <s v="Mixed Pulses For Sprout"/>
        <s v="Wal"/>
        <s v="Moong Whole Small"/>
        <s v="Satyam Math (Matki)"/>
        <s v="Satyam Wal Kadwa"/>
        <s v="Mix Chana Vatana (for Sprout)"/>
        <s v="Ranguni Wal"/>
        <s v="Satyam Makhana"/>
        <s v="Wal Papdi"/>
        <s v="Satyam Wal"/>
        <s v="KMK Anjeer (Figs)"/>
        <s v="Premia Anjeer (Figs)"/>
        <s v="Kulith (Horse Gram)"/>
        <s v="Carnival Premium Anjeer Figs"/>
        <s v="Nutraj Signature Fig (Anjeer) Gold"/>
        <s v="Premia Groundnut"/>
        <s v="Satyam Singdana (Groundnut)"/>
        <s v="24 Mantra Organic Peanut"/>
        <s v="Organic Tattva Groundnuts (Peanuts)"/>
        <s v="Premia Sugar"/>
        <s v="Premia Cow Ghee Pouch"/>
        <s v="Premia Poha Jada"/>
        <s v="Premia Jeera"/>
        <s v="Premia Sabudana"/>
        <s v="Premium Jaggery"/>
        <s v="Premia Green Elaichi"/>
        <s v="Premia Dry Coconut"/>
        <s v="Keshar Premium Natural Jaggery Jar"/>
        <s v="Premia Black Pepper"/>
        <s v="Premia Dhaniya"/>
        <s v="Premia Kashmiri Chilli Powder Deluxe"/>
        <s v="Premia Badishep"/>
        <s v="Premia Rai"/>
        <s v="Premia Kashmiri Chilli Powder"/>
        <s v="Mamra (Puffed Rice)"/>
        <s v="Jaggery"/>
        <s v="Premia Cassia Taj"/>
        <s v="Premia Haldi Powder Deluxe"/>
        <s v="Premia Dhania Powder Deluxe"/>
        <s v="Premia Ajma"/>
        <s v="Premia Emli"/>
        <s v="Premia Rai Small"/>
        <s v="Premia Poha Patla"/>
        <s v="Premia Til White"/>
        <s v="Premia Coconut Powder"/>
        <s v="Premia Lukhnowi Badishep"/>
        <s v="Premia Khaskhas"/>
        <s v="Premia Green Elaichi Economy"/>
        <s v="Premia Star Anise (Badiyan)"/>
        <s v="Premia Guntur Chilli"/>
        <s v="Premia Roasted Badishep"/>
        <s v="Premia Lawang"/>
        <s v="Premia Dhaniya Dal"/>
        <s v="Premia Poha Basmati"/>
        <s v="Premia Kasoori Methi"/>
        <s v="Premia Methi"/>
        <s v="Premia Sabja"/>
        <s v="Premia Jeera Powder Deluxe"/>
        <s v="Premia Sabudana Small"/>
        <s v="Premia Black Pepper Powder"/>
        <s v="Premia Shaha Jeera"/>
        <s v="Premia Alsi"/>
        <s v="Premia Bedgi Chilli"/>
        <s v="Premia Chilli Kashmiri"/>
        <s v="Amchur Powder"/>
        <s v="Kolhapuri Surati Kurmura"/>
        <s v="Premia Garam Masala Powder Deluxe"/>
        <s v="Premia Jaipatri (Mace)"/>
        <s v="Premia Tej Patta"/>
        <s v="Premia Masala Elaichi"/>
        <s v="Premia Dhania Powder"/>
        <s v="Premia Sugar Crystals (Khadi Shakkar)"/>
        <s v="Premia Dhania Jeera Mix Khandela"/>
        <s v="Premia Jaifal"/>
        <s v="Premia Amsul Wet Kokam"/>
        <s v="Laxmi Jaya Kurmura"/>
        <s v="Premia Malwani Masala Deluxe"/>
        <s v="Premia Sugar Candy"/>
        <s v="Premia Reshampatti Chilli Khandela"/>
        <s v="Premia Til Black"/>
        <s v="Premia Kokam Rind Lonavala"/>
        <s v="Premia Eating Soda"/>
        <s v="Premia Ginger Powder"/>
        <s v="Premia Kalvanji"/>
        <s v="Miki Maize (Makai) Poha"/>
        <s v="Premia Dry Ginger (Sunth)"/>
        <s v="Premia Dinkh (Edible Gum)"/>
        <s v="Premia Nimbu Phool (Citric Acid)"/>
        <s v="Premia Dagad Phool (Black Stone Flower)"/>
        <s v="Premia Sakariya"/>
        <s v="Premia Sunday Mix Masala"/>
        <s v="Premia Halim"/>
        <s v="Fortune Sunlite Refined Sunflower Oil"/>
        <s v="Fortune Refined Sunflower Oil Tin"/>
        <s v="Sunrich Refined Sunflower Oil"/>
        <s v="Gemini Refined Sunflower Oil"/>
        <s v="Gulab Sunflower Oil Jar"/>
        <s v="Sunday Refined Sunflower Oil"/>
        <s v="Swaad Refined Sunflower Oil"/>
        <s v="Dhara Refined Sunflower Oil"/>
        <s v="Nature Fresh Refined Sunflower Oil Pouch"/>
        <s v="Dalda Refined Sunflower Oil"/>
        <s v="Sundrop Superlite Advanced Sunflower Oil"/>
        <s v="Sunny Sun Lite Refined Sunflower Oil"/>
        <s v="Gulab Sunflower Oil"/>
        <s v="Gemini Refined Sunflower Oil - 15 L"/>
        <s v="Godrej Refined Sunflower Oil"/>
        <s v="Aadhaar Refined Sunflower Oil Pouch"/>
        <s v="Saffola Gold Oil"/>
        <s v="Saffola Active Oil"/>
        <s v="Saffola Total Oil"/>
        <s v="Fortune Xpert Blended Oil"/>
        <s v="Hudson Canola Oil"/>
        <s v="Svity Kolam Refined Rice Bran Oil"/>
        <s v="Fortune Rice Bran Health Oil"/>
        <s v="Premia Refined Rice Bran Oil"/>
        <s v="Riso Ricebran Oil"/>
        <s v="Dhara Refined Rice Bran Oil"/>
        <s v="Ricela Refined Rice Bran Oil"/>
        <s v="Gemini Rice Bran Oil"/>
        <s v="Dhara Life Refined Rice Bran Oil Jar"/>
        <s v="Gulab Filtered Groundnut Oil"/>
        <s v="Guinea Filtered Groundnut Oil"/>
        <s v="Dhara Filtered Groundnut Oil Pouch"/>
        <s v="RRO Primio Gold Filtered Groundnut Oil"/>
        <s v="Gulab Groundnut Oil"/>
        <s v="RRO Primio Refined Groundnut Oil"/>
        <s v="Gramiyaa Wood Cold Pressed Groundnut Oil"/>
        <s v="Guinea Lite Groundnut Oil"/>
        <s v="Gramiyaa Wood Cold Pressed Coconut Oil"/>
        <s v="Del Monte Extra Light Olive Oil"/>
        <s v="Borges Extra Light Olive Oil"/>
        <s v="Figaro Olive Oil Tin"/>
        <s v="Borges Extra Virgin Olive Oil"/>
        <s v="Leonardo Olive Pomace Oil"/>
        <s v="Bertolli Extra Light Tasting Olive Oil"/>
        <s v="Figaro Extra Virgin Olive Oil Bottle"/>
        <s v="Borges Pure Olive Oil - Classic"/>
        <s v="Leonardo Extra Light Olive Oil"/>
        <s v="Patanjali Kachi Ghani Mustard Oil"/>
        <s v="Fortune Kachi Ghani Mustard Oil Bottle"/>
        <s v="Dhara Kachighani (Mustard) Oil"/>
        <s v="Patanjali Kachi Ghani Mustard Oil Pouch"/>
        <s v="Fortune Kachi Ghani Mustard Oil"/>
        <s v="Tez Mustard Kachchi Ghani Oil Bottle"/>
        <s v="RRO Premium Mustard Oil"/>
        <s v="RRO Mastdil Premium Mustard Oil Bottle"/>
        <s v="Tez Mustard Kachchi Ghani Oil Pouch"/>
        <s v="Gemini Refined Soyabean Oil"/>
        <s v="Swaad Soyabean Oil"/>
        <s v="Idhayam Gingelly Oil"/>
        <s v="KLF Coconut Oil"/>
        <s v="RRO Til Dil Premium Til Oil Bottle"/>
        <s v="Tilsona Til Oil Bottle"/>
        <s v="Fortune Plus Soya Health Oil"/>
        <s v="KPL Shudhi Coconut Oil"/>
        <s v="Idhayam Sesame Oil Bottle"/>
        <s v="Fortune Xpert Pro Immunity Jar"/>
        <s v="Gramiyaa Wood Cold Pressed Sesame Oil"/>
        <s v="Fortune Raag Gold Refined Palm Oil"/>
        <s v="Amul Pure Ghee Pouch"/>
        <s v="Gowardhan Pure Cow Ghee Pouch"/>
        <s v="Amul Cow Ghee Pouch"/>
        <s v="Aabad Cow Ghee Pouch"/>
        <s v="Mother Dairy Pure Cow Ghee"/>
        <s v="Sagar Pure Ghee Pouch"/>
        <s v="Prabhat Dairy Cow Ghee Pouch"/>
        <s v="Chitale Dairy Cow Ghee Box"/>
        <s v="Gowardhan Pure Cow Ghee Jar"/>
        <s v="Dynamix Cow Ghee Pouch"/>
        <s v="Govind Pure Ghee Pouch"/>
        <s v="Amul Pure Ghee Tin"/>
        <s v="Aabad Desi Ghee Pouch"/>
        <s v="Chitale Dairy Ghee Box"/>
        <s v="Sagar Pure Ghee Tin"/>
        <s v="Aashirvaad Svasti Pure Cow Ghee Pouch"/>
        <s v="Parsi Dairy Farm Cow Ghee Jar"/>
        <s v="Dynamix Cow Ghee Jar"/>
        <s v="Aabad Cow Ghee Jar"/>
        <s v="Dynamix Cow Ghee Tin"/>
        <s v="Haribol Desi Cow A2 Ghee"/>
        <s v="Parsi Dairy Farm Buffalo Ghee Jar"/>
        <s v="Organic India Organic Cow Ghee"/>
        <s v="Dalda Vanaspati"/>
        <s v="Aashirvaad Superior MP Wheat Atta"/>
        <s v="Aashirvaad Select Sharbati Wheat Atta"/>
        <s v="Aashirvaad Multigrain Atta"/>
        <s v="Pillsbury Chakki Fresh Wheat Atta"/>
        <s v="Fortune Chakki Fresh Wheat Atta"/>
        <s v="Nature Fresh Sampoorna Superior MP Wheat Atta"/>
        <s v="Taste For Life MP Sihore Chapati Fine Wheat Atta"/>
        <s v="Wheat Flour Chakki Atta"/>
        <s v="Pillsbury Multi Grain Atta"/>
        <s v="24 Mantra Organic Whole Wheat Atta"/>
        <s v="Rice Atta"/>
        <s v="Organic Tattva Organic Wheat Flour"/>
        <s v="24 Mantra Organic Ragi Flour"/>
        <s v="24 Mantra Organic Jowar Flour"/>
        <s v="Taste For Life Premium Khapli Wheat Atta"/>
        <s v="Wheat Lokwan (Lokvan)"/>
        <s v="Makai For Popcorn"/>
        <s v="Nachni"/>
        <s v="Satyam Sabudana"/>
        <s v="Bajari"/>
        <s v="Organic India Quinoa"/>
        <s v="Satyam Lapsi Medium"/>
        <s v="Satyam Barley"/>
        <s v="Pink Harvest Farms White Quinoa"/>
        <s v="Rava"/>
        <s v="Besan"/>
        <s v="Fortune Chana Dal Besan"/>
        <s v="Satyam Rava"/>
        <s v="Lapsi Rava Small Daliya"/>
        <s v="Lapsi Rava / Daliya"/>
        <s v="Tata Sampann Fine Besan"/>
        <s v="Jawari Atta"/>
        <s v="Bhagirathi Jowar Atta"/>
        <s v="Satyam Besan"/>
        <s v="Blue Bird Corn Flour"/>
        <s v="Satyam Maida"/>
        <s v="Nachni Atta"/>
        <s v="Bhagirathi Thalipeeth Bhajni"/>
        <s v="Satyam Rajgira Flour"/>
        <s v="Bhagirathi Nachani (Ragi) Atta"/>
        <s v="Bhagirathi Rice Atta"/>
        <s v="Bhagirathi Bajra Atta"/>
        <s v="Bhagirathi Upwas Bhajani"/>
        <s v="Organic Tattva Suji"/>
        <s v="Bhagirathi Sattu Atta"/>
        <s v="Bhagirathi Shingada Atta"/>
        <s v="Bhagirathi Rajgira Atta"/>
        <s v="Makai Atta"/>
        <s v="Weikfield Corn Flour"/>
        <s v="Kokan Gem Thalipeeth Bhajani"/>
        <s v="Bhagirathi Makai (Corn) Flour"/>
        <s v="Satyam Rice Atta (Flour)"/>
        <s v="Bhagirathi Multigrain Bhakari Atta"/>
        <s v="Brown &amp; Polson Corn Flour"/>
        <s v="Kokan Gem Kulith Pith"/>
        <s v="Bedekar Thalipith Bhajni"/>
        <s v="Bhagirathi Modak Atta"/>
        <s v="Bedekar Bhajjia Mix"/>
        <s v="K-Pra Ustav Modak Flour"/>
        <s v="India Gate Basmati Rice Rozana"/>
        <s v="Daawat Heritage Daily Feast Tukda Basmati Rice"/>
        <s v="Daawat Devaaya Basmati Rice"/>
        <s v="Daawat Rozana Super Basmati Rice"/>
        <s v="India Gate Mini Mogra (Broken) Basmati Rice"/>
        <s v="India Gate Super Basmati Rice"/>
        <s v="Basmati Rice Mogra"/>
        <s v="Fortune Everyday Hamesha Basmati Rice"/>
        <s v="Daawat Super Basmati Rice"/>
        <s v="India Gate Basmati Rice - Mini Mogra-II - Kanki"/>
        <s v="Daawat Rozana Gold Basmati Rice"/>
        <s v="Rice Pulav Basmati"/>
        <s v="India Gate Basmati Rice - Mogra"/>
        <s v="Basmati Rice Mini Mogra (Broken)"/>
        <s v="India Gate Basmati Rice - Classic"/>
        <s v="Daawat Biryani Basmati Rice"/>
        <s v="Basmati Rice Broken (Kani)"/>
        <s v="Rice Basmati"/>
        <s v="Fortune Biryani Special Basmati Rice"/>
        <s v="India Gate Basmati Rice - Tibar"/>
        <s v="Daawat Pulav Basmati Rice"/>
        <s v="Daawat Sehat Mini Mogra (Broken) Basmati Rice"/>
        <s v="Rice Basmati Tukda"/>
        <s v="Biryani Rice"/>
        <s v="Devaaya Biryani Basmati Rice"/>
        <s v="Daawat Brown Basmati Rice"/>
        <s v="Rice Tibar Basmati"/>
        <s v="India Gate Basmati Rice - Dubar"/>
        <s v="Daawat Traditional Basmati Rice"/>
        <s v="Daawat Sehat Mogra Basmati Rice"/>
        <s v="India Gate Regular Choice Basmati Rice"/>
        <s v="Rice Basmati Wand : 5 kgs"/>
        <s v="Mogra Basmati Rice"/>
        <s v="Lal Qilla Traditional Basmati Rice"/>
        <s v="Lal Qilla Super Silverline Basmati Rice"/>
        <s v="Lal Qilla Tibar Basmati Rice"/>
        <s v="Lal Qilla Dubar Basmati Rice"/>
        <s v="Lal Qilla Classic Whiteline Basmati Rice"/>
        <s v="Lal Qilla Brown Basmati Rice"/>
        <s v="Wada Kolam Rice"/>
        <s v="Silky Kolam Rice"/>
        <s v="HMT Kolam Rice"/>
        <s v="Eco Kolam Jirasar Sorted Rice"/>
        <s v="24 Mantra Organic Sonamasuri Brown Rice"/>
        <s v="India Gate Brown Rice"/>
        <s v="Tata Sampann Poha"/>
        <s v="Satyam Poha Jada"/>
        <s v="24 Mantra Organic Red Poha"/>
        <s v="24 Mantra Organic Poha"/>
        <s v="Satyam Poha (Powa) Patla"/>
        <s v="Organic Tattva Red Poha"/>
        <s v="Organic Tattva Poha"/>
        <s v="Ambemohar Rice"/>
        <s v="Idli Rice"/>
        <s v="Red Rice"/>
        <s v="Long Grain Rice"/>
        <s v="IR Boiled Rice"/>
        <s v="Masoori Boiled Rice"/>
        <s v="Satyam Sama"/>
        <s v="Satyam Jeera"/>
        <s v="Premchand Gold Dhana Dal"/>
        <s v="Satyam Kashmiri Chilly"/>
        <s v="Satyam Miri (Black Pepper)"/>
        <s v="Satyam Bedgi Chilly"/>
        <s v="Masala Elaichi"/>
        <s v="Satyam Pumpkin Seeds"/>
        <s v="Premia Grated Dry Coconut"/>
        <s v="Satyam Chia Seeds"/>
        <s v="Satyam Elaichi"/>
        <s v="Satyam Khobra (Coconut)"/>
        <s v="Satyam Dhania"/>
        <s v="24 Mantra Organic Flax Seeds"/>
        <s v="Tamarind"/>
        <s v="Satyam Elaichi Big"/>
        <s v="Satyam Watermelon Seed"/>
        <s v="Satyam Badishop"/>
        <s v="Satyam Taj (Cassia Bark)"/>
        <s v="Premia Chilli Guntur Stemless"/>
        <s v="Satyam Sabja"/>
        <s v="Satyam Sunflower Seeds"/>
        <s v="Satyam Tamarind"/>
        <s v="Satyam Rai"/>
        <s v="Satyam Pandi Chilli"/>
        <s v="Satyam Garam Masala Whole"/>
        <s v="Satyam Lavang"/>
        <s v="Satyam Bore Chilly"/>
        <s v="Satyam Ajma"/>
        <s v="Satyam Pumpkin Seeds Salted"/>
        <s v="Satyam Methi"/>
        <s v="Satyam Quinoa"/>
        <s v="Premia Rai Red"/>
        <s v="Amrut Dhana Dal"/>
        <s v="Carnival Pumpkin Seeds"/>
        <s v="Carnival Sunflower Seeds"/>
        <s v="Carnival Watermelon Seeds"/>
        <s v="Pink Harvest Farms Chia Seeds"/>
        <s v="Pink Harvest Farms Tri-Colour Quinoa"/>
        <s v="Everest Kashmirilal Red Chilli Powder"/>
        <s v="Everest Tikhalal Chilli Powder"/>
        <s v="Everest Garam Masala"/>
        <s v="Ramdev Strong Hing"/>
        <s v="Premia Extra Strong Hing Powder"/>
        <s v="Maggi Masala-A-Magic"/>
        <s v="Everest Chaat Masala"/>
        <s v="LG Hing"/>
        <s v="Vandevi Hing Powder"/>
        <s v="Premia Yellow Hing Powder"/>
        <s v="Everest Pav Bhaji Masala"/>
        <s v="Everest Kitchen King Masala"/>
        <s v="Everest Turmeric Powder"/>
        <s v="Vandevi Hing 2001 Powder"/>
        <s v="Everest Shahi Biryani Masala"/>
        <s v="Everest Coriander Powder"/>
        <s v="Everest Yellow Hing Powder"/>
        <s v="MTR Sambar Powder"/>
        <s v="Everest Chhole Masala"/>
        <s v="Premia Red Chilli Powder"/>
        <s v="Everest Tea Masala"/>
        <s v="Everest Chicken Masala"/>
        <s v="Tata Sampann Turmeric Powder"/>
        <s v="Everest Sambhar Masala"/>
        <s v="Everest Meat Masala"/>
        <s v="Suhana Paneer Tikka Mix Masala"/>
        <s v="Snapin Chilli Flakes Spice"/>
        <s v="Badshah Mumbai Bhaji Pav Masala"/>
        <s v="Suhana Paneer Butter Masala Mix"/>
        <s v="Suhana Chicken Biryani Mix"/>
        <s v="Nisarga Desiccated Coconut Powder"/>
        <s v="Ramdev Chilli Powder"/>
        <s v="Everest Tandoori Chicken Masala"/>
        <s v="Kubal Sunday Malvani Masala"/>
        <s v="Badshah Hing Compounded"/>
        <s v="MTR Idli/Dosa/Chilly Chutney Powder"/>
        <s v="Jalaram Brand Cardamom Powder"/>
        <s v="Shan Special Bombay Biryani Masala"/>
        <s v="Badshah Rajwadi Garam Masala"/>
        <s v="Everest Pani Puri Masala"/>
        <s v="Goldiee Kashmiri Mirch Powder"/>
        <s v="Maggi Masala Magic"/>
        <s v="Suhana Mutter Paneer Mix Masala"/>
        <s v="Ramdev Turmeric Powder"/>
        <s v="Badshah Chat Masala"/>
        <s v="Suhana Chicken Gravy Mix"/>
        <s v="Badshah Biryani Pulav Masala"/>
        <s v="Bedekar Ready Mix Pickle Masala"/>
        <s v="Kubal SP Sunday Malvani Masala"/>
        <s v="Suhana Paneer Makhanwala Mix Masala"/>
        <s v="Ching's Schezwan Fried Rice Masala"/>
        <s v="Everest Kutilal Chilli Powder"/>
        <s v="Kubal Chilli Powder"/>
        <s v="Goldiee Garam Masala"/>
        <s v="Everest Sabji Masala"/>
        <s v="Ramdev Coriander Powder"/>
        <s v="Suhana Butter Chicken Mix"/>
        <s v="Badshah Black Pepper Powder"/>
        <s v="Bedekar Goda Masala"/>
        <s v="Goldiee Chat Masala"/>
        <s v="Kapol Tea Masala"/>
        <s v="Snapin Cardamom Powder Spice"/>
        <s v="Kubal Turmeric Powder"/>
        <s v="Badshah Kitchen King Masala"/>
        <s v="Kapol Usal - Misal Masala"/>
        <s v="Suhana Chicken Tandoori Mix Masala"/>
        <s v="Goldiee Kitchen King Masala"/>
        <s v="Suhana Mutton Gravy Mix"/>
        <s v="Badshah Chicken Masala"/>
        <s v="Badshah Punjabi Chhole Masala"/>
        <s v="Goldiee Chicken Masala"/>
        <s v="Jalaram Brand Cinnamon Powder"/>
        <s v="Shan Chicken Tikka Masala"/>
        <s v="Suhana Veg Kolhapuri Mix"/>
        <s v="Snapin Ginger Garlic Mix Seasoning"/>
        <s v="Badshah Dry Mango Powder"/>
        <s v="Kubal Coriander Powder"/>
        <s v="Jalaram Brand Nutmeg (Jaifal) Powder"/>
        <s v="Kapol Sandwich Masala"/>
        <s v="MDH Chunky Chat Masala"/>
        <s v="MDH Kitchen King Masala"/>
        <s v="Shan Tandoori Barbeque Masala"/>
        <s v="Jalaram Brand Tea Masala with Saffron"/>
        <s v="MDH Garam Masala"/>
        <s v="Goldiee Pavbhaji Masala"/>
        <s v="MDH Deggi Mirch"/>
        <s v="Kapol Dabeli Masala"/>
        <s v="Shan Nihari Masala"/>
        <s v="Kubal SP Mix Usal Masala"/>
        <s v="Goldiee Sabji Masala"/>
        <s v="Snapin Cinnamon Powder Spice"/>
        <s v="Goldiee Meat Masala Special"/>
        <s v="Jalaram Brand Black Pepper Powder"/>
        <s v="Goldiee Biryani/Pulav Masala"/>
        <s v="Goldiee Chhole Masala"/>
        <s v="Jalaram Brand Kashmiri Milk Masala"/>
        <s v="MDH Chana Masala"/>
        <s v="Badshah Chana Masala"/>
        <s v="Shan Achar Gosht Masala"/>
        <s v="Ching's Chowmein Hakka Noodles Masala"/>
        <s v="Tata I-Shakti Cooking Soda"/>
        <s v="Badshah Kamal Tea Masala"/>
        <s v="MDH Pav Bhaji Masala"/>
        <s v="MDH Chicken Masala"/>
        <s v="Blue Bird Test-Mi-Nov Monosodium Glutamate"/>
        <s v="Catch Sprinklers Black Pepper"/>
        <s v="Catch Sprinklers Chat Masala"/>
        <s v="Catch Sprinklers Dahi Masala"/>
        <s v="Mother's Recipe Rozaana Ginger &amp; Garlic Paste"/>
        <s v="Dabur Hommade Coconut Milk"/>
        <s v="Smith &amp; Jones Ginger Garlic Paste"/>
        <s v="Mother's Recipe Ginger Garlic Paste"/>
        <s v="Maggi Magic Cubes - Vegetarian Masala"/>
        <s v="Hommade Ginger Garlic Paste"/>
        <s v="Hommade Tomato Puree"/>
        <s v="Blue Bird Baking Powder"/>
        <s v="Weikfield Baking Powder"/>
        <s v="Christopher Cocoa Baking Soda All Purpose"/>
        <s v="Christopher Cocoa Baking Powder"/>
        <s v="Et-Mi Baking Powder"/>
        <s v="Blue Bird Baking Soda"/>
        <s v="Jalaram Kesar (Saffron)"/>
        <s v="Snapin Oregano Herb"/>
        <s v="Snapin Pizza Mix Seasoning"/>
        <s v="Snapin Mixed Herbs"/>
        <s v="Snapin Pasta Mix Seasoning"/>
        <s v="Snapin Cheesy Garlic Bread Mix"/>
        <s v="Snapin Piri Piri Mix"/>
        <s v="Nutrivalue Moringa Oleifera Drum Stick Leaves Powder"/>
        <s v="Keya Wonder Hot Red Chilli Flakes"/>
        <s v="Keya Piri Piri"/>
        <s v="Keya Oregano"/>
        <s v="Keya Pizza Seasoning"/>
        <s v="MDH Peacock Kasoori Methi"/>
        <s v="Everest Kesari Milk Masala"/>
        <s v="Rasoi Magic Paneer Tikka Masala Spice Mix"/>
        <s v="Rasoi Magic Paneer Makhanwala Masala"/>
        <s v="Suhana Kesari Milk Masala"/>
        <s v="Mother's Recipe Kadhai Paneer Masala Mix"/>
        <s v="Kapol Special Chhas Masala"/>
        <s v="Rasoi Magic No Onion No Garlic Veg Kolhapuri Spice Mix"/>
        <s v="Mother's Recipe Paneer Butter Masala Mix"/>
        <s v="Rasoi Magic No Onion No Garlic Mutter Paneer Mix"/>
        <s v="Mother's Recipe Chicken Biryani Mix"/>
        <s v="Kubal Ready Mix Pickle Masala"/>
        <s v="Real Thai Coconut Milk"/>
        <s v="Flying Bird Artificial Food Essence Shahi Biryani"/>
        <s v="Tata Salt"/>
        <s v="Puro Healthy Salt"/>
        <s v="Tata Salt Lite"/>
        <s v="Tata Rock Salt Powder Pouch"/>
        <s v="Aashirvaad Salt"/>
        <s v="Rock Salt"/>
        <s v="Tata SuperLite Salt : 1 kg"/>
        <s v="Premia Yellow Chana"/>
        <s v="Premia Tea Masala"/>
        <s v="Premia Goda Masala"/>
        <s v="Premia Akrod Whole"/>
        <s v="Premia Big Sakariya"/>
        <s v="Shree Annapurna Jaggery Powder"/>
        <s v="GB Surti Kolam Sorted Rice"/>
        <s v="Amul Butter"/>
        <s v="Society Tea"/>
        <s v="Wagh Bakri Premium Leaf Tea Pouch"/>
        <s v="Brooke Bond Red Label Tea"/>
        <s v="Tata Tea Agni"/>
        <s v="Brooke Bond Red Label Natural Care Tea"/>
        <s v="Girnar Royal Cup Tea"/>
        <s v="Tata Tea Premium"/>
        <s v="Taj Mahal Tea"/>
        <s v="Tata Tea Gold"/>
        <s v="Society Masala Tea"/>
        <s v="Wagh Bakri Navchetan Tea"/>
        <s v="Nutralite Fat Spread"/>
        <s v="Tetley Lemon &amp; Honey Green Tea Bags"/>
        <s v="Brooke Bond Taaza Tea"/>
        <s v="Mother Dairy Pasteurized Butter"/>
        <s v="Delicious Fat Spread"/>
        <s v="Tata Tea Gold Care"/>
        <s v="Lipton Green Tea Bags - Honey Lemon"/>
        <s v="Society Masala Flavour Tea Pouch"/>
        <s v="Amul Garlic &amp; Herbs Buttery Spread"/>
        <s v="Tata Tea Teaveda"/>
        <s v="Girnar Detox Desi Kahwa Green Tea"/>
        <s v="Amul Butter School Pack"/>
        <s v="Brooke Bond Taj Mahal Tea Bags"/>
        <s v="Nutralite Fat Spread UKE"/>
        <s v="Girnar Jumbo Gulabi CTC Leaf Tea"/>
        <s v="Lipton Green Tea Bags - Pure &amp; Light"/>
        <s v="Goodricke Super Cup Tea"/>
        <s v="Girnar Masala Instant Premix Chai"/>
        <s v="Lipton Pure &amp; Light Green Tea"/>
        <s v="Amul Lite Milk Fat Bread Spread"/>
        <s v="Girnar Cardamom Instant Premix Chai"/>
        <s v="Tetley Ginger Mint Lemon Green Tea"/>
        <s v="Tea Country Honey &amp; Lemon Green Tea"/>
        <s v="President Premium Butter Salted"/>
        <s v="Amul White Butter Unsalted"/>
        <s v="Lipton Green Tea - Lemon Zest"/>
        <s v="Tetley Long Leaf Green Tea Powder"/>
        <s v="Wagh Bakri Green Tea Honey Lemon"/>
        <s v="Organic India Tulsi Green Tea - Lemon Ginger"/>
        <s v="Wagh Bakri Premix Instant Tea"/>
        <s v="Arbor Treat Assam CTC Tea"/>
        <s v="President Premium Butter Unsalted"/>
        <s v="Wagh Bakri Green Tea Tulsi"/>
        <s v="Wagh Bakri Premix Masala Instant Tea"/>
        <s v="Tea Country Original Green Tea"/>
        <s v="Wagh Bakri Premix Elaichi Instant Tea"/>
        <s v="Wagh Bakri Green Tea Mint"/>
        <s v="Wagh Bakri Green Tea Bags"/>
        <s v="Society Cleanse Detox Kahwa Green Tea Premix"/>
        <s v="TGL Co. Kashmiri Kahwa Green Tea"/>
        <s v="TGL Co. Mogo Mogo Green Tea"/>
        <s v="Twinings Green Tea &amp; Lemon"/>
        <s v="Twinings Green Tea &amp; Mint"/>
        <s v="Twinings Origins Darjeeling Tea"/>
        <s v="Society Premium Tea"/>
        <s v="Society Masala Tea Pouch"/>
        <s v="Amul Taaza Toned Milk"/>
        <s v="Nandini Good Life Toned Milk"/>
        <s v="Amul Gold Homogenised Standardised Milk"/>
        <s v="Go Double Toned Milk"/>
        <s v="Amul Slim-n-Trim Skimmed Milk"/>
        <s v="Nestlé A+ Nourish Toned Milk"/>
        <s v="Amul Kool Kesar Milk"/>
        <s v="Amul Kool Badam Milk"/>
        <s v="Amul Kool Café Milk"/>
        <s v="Amul Kool Elaichi Milk"/>
        <s v="Epigamia Milkshake Chocolate"/>
        <s v="Cavin's Chocolate Milkshake"/>
        <s v="Amul Kool Rose Milk"/>
        <s v="Amul Lactose Free Milk"/>
        <s v="Cavin's Vanilla Milkshake"/>
        <s v="Epigamia Milkshake Strawberry"/>
        <s v="Sofit Soya Drink Naturally Sugar Free"/>
        <s v="Raw Pressery Almond Milk Plain (Unsweetened)"/>
        <s v="Sofit Soya Drink Chocolate"/>
        <s v="Lipton Green Tea - Tulsi Natura"/>
        <s v="Sofit Soya Drink Vanilla"/>
        <s v="Tea Country Tulsi Green Tea"/>
        <s v="Chitale Flavoured Milk Butterscotch"/>
        <s v="Amul Basundi Kesar Elaichi"/>
        <s v="Arbor Qahwa Green Tea With Herbs &amp; Spices"/>
        <s v="Sofit Soya Drink Kesar Pista"/>
        <s v="Chitale Flavoured Milk - Coffee"/>
        <s v="Amul Cheese Chiplets "/>
        <s v="Amul Processed Cheese"/>
        <s v="Gowardhan Cheese Slice - 28 Slices"/>
        <s v="Amul Processed Cheese Block"/>
        <s v="Amul Cheese Slices"/>
        <s v="Britannia Cheese Slices"/>
        <s v="Amul Mozzarella Diced Pizza Cheese (Frozen)"/>
        <s v="Amul Diced Mozzarella &amp; Cheddar Cheese Blend (Frozen)"/>
        <s v="Gowardhan Processed Cheese"/>
        <s v="Amul Cheese Spread Plain"/>
        <s v="Britannia Cheese Block"/>
        <s v="Britannia Cheese Cubes"/>
        <s v="Britannia Cheeza Pizza Cheese"/>
        <s v="Tetley Green Tea Ginger Mint &amp; Lemon"/>
        <s v="Amul Easy To Grate Processed Cheese"/>
        <s v="D'lecta Cheese Slices"/>
        <s v="Amul Diced Blend Cheese"/>
        <s v="Gowardhan Go Cheese Slices - Plain"/>
        <s v="Tetley Classic Immune Green Tea"/>
        <s v="D'lecta Shredded Mozzarella Cheese"/>
        <s v="D'lecta Cheese Cubes"/>
        <s v="Mother Dairy Cheese Cubes"/>
        <s v="Mother Dairy Cheese Slices"/>
        <s v="Amul Mozzarella &amp; Cheddar Pizza Cheese"/>
        <s v="D'lecta Cream Cheese"/>
        <s v="D'lecta Processed Cheese Block"/>
        <s v="D'lecta Natural Feta Salad Cheese"/>
        <s v="Gowardhan Go Pizza Cheese"/>
        <s v="D'lecta Cheese Spread"/>
        <s v="D'lecta Natural Cheddar Cheese"/>
        <s v="Amul Mozzarella Pizza Cheese (Frozen)"/>
        <s v="D'lecta Frozen Shredded Mozzarella Cheese"/>
        <s v="Gowardhan Processed Cheese Angles Plain"/>
        <s v="D'lecta Natural Cheddar Cheese Slices"/>
        <s v="Wagh Bakri Shudh Kahwa Green Tea"/>
        <s v="Organic Tulsi Ginger Turmeric"/>
        <s v="Twinings Green Tea Lemon &amp; Honey"/>
        <s v="Tea Culture Of The World Soothing Chamomile Exotic Tea"/>
        <s v="Tea Culture Of The World Moroccan Mint Exotic Tea"/>
        <s v="Twinings Pure Green Tea"/>
        <s v="Tea Culture Of The World Flowery Bouquet Exotic Tea"/>
        <s v="Tea Culture Of The World Kashmiri Kahwa Exotic Tea"/>
        <s v="Tea Culture Of The World Tulsi Ritual Exotic Tea"/>
        <s v="Twinings Darjeeling Loose Leaf Tea"/>
        <s v="Britannia Diced Pizza Cheese Blend"/>
        <s v="Bru Instant Coffee Pouch"/>
        <s v="Nescafé Classic Coffee"/>
        <s v="Le Café 100% Pure Instant Coffee"/>
        <s v="Nestlé Everyday Dairy Whitener"/>
        <s v="Gowardhan Paneer Classic Block"/>
        <s v="Amul Masti Spiced Buttermilk"/>
        <s v="Nescafé Sunrise Coffee"/>
        <s v="Amul Fresh Paneer"/>
        <s v="Nescafé Classic Coffee Jar"/>
        <s v="Amul Fresh Cream"/>
        <s v="Yakult Probiotic Health Drink"/>
        <s v="House Instant Coffee"/>
        <s v="Amul Mithai Mate Sweetened Condensed Milk"/>
        <s v="Nestlé Milkmaid"/>
        <s v="Nescafe Gold Blend Coffee Jar"/>
        <s v="Chitale Fresh Paneer"/>
        <s v="Le Cafe Coffee Jar"/>
        <s v="Continental Xtra Coffee Jar"/>
        <s v="Prabhat Malai Paneer"/>
        <s v="Amul Malai Paneer (Frozen)"/>
        <s v="Amul Frozen Rasmalai"/>
        <s v="Continental Xtra Instant South Blend Coffee"/>
        <s v="Colombian Brew Instant Coffee Original"/>
        <s v="Id Natural Paneer"/>
        <s v="Davidoff Coffee Espresso Intense"/>
        <s v="Epigamia Milkshake Vanilla"/>
        <s v="Cothas Coffee Speciality Blend"/>
        <s v="Davidoff Coffee Rich Aroma"/>
        <s v="D'lecta Dairy Cream"/>
        <s v="Colombian Brew Instant Coffee Nutty Hazelnut"/>
        <s v="Le Café Instant Coffee"/>
        <s v="Amul Rose Lassi"/>
        <s v="Colombian Brew Cappuccino Coffee Premix"/>
        <s v="Amul Lassi Rose Flavour"/>
        <s v="Nescafe Chilled Latte Coffee &amp; Milk Beverage"/>
        <s v="Colombian Brew Double Chocolate Mocha Coffee Premix"/>
        <s v="Nescafe Cappuccino Flavour Instense Café"/>
        <s v="Nescafe Iced Latte Flavoured Can"/>
        <s v="Colombian Brew Hazelnut Coffee Premix"/>
        <s v="Nescafe Hazelnut Flavour Coffee &amp; Milk Beverage"/>
        <s v="Cavin's Strawberry Milkshake"/>
        <s v="Yakult Light Health Drink"/>
        <s v="Colombian Brew Instant Coffee Double Chocolate Mocha"/>
        <s v="Nescafe Cappuccino Flavour Can"/>
        <s v="Colombian Brew Vanilla Caramel Coffee Premix"/>
        <s v="ID Instant Filter Coffee Bold"/>
        <s v="Epigamia Artisanal Mishti Doi"/>
        <s v="Colombian Brew Instant Coffee Wild Vanilla"/>
        <s v="ID Instant Filter Coffee Strong"/>
        <s v="Davidoff Coffee Fine Aroma"/>
        <s v="Colombian Brew Instant Coffee Creamy Caramel"/>
        <s v="Continental Speciale Coffee Pouch"/>
        <s v="Davidoff Coffee Crema Intense"/>
        <s v="D'lecta Dairy Whipping Cream"/>
        <s v="Raw Pressery Milkshake Cold Coffee"/>
        <s v="Amul Kesar Elaichi Basundi"/>
        <s v="TGL Co. Euphoria Instant Coffee Powder"/>
        <s v="Nescafé Classic Black Roast Coffee Jar"/>
        <s v="Chitale Keshar Flavoured Milk"/>
        <s v="Nescafe Classic Coffee Jar"/>
        <s v="Colombian Brew Green Coffee"/>
        <s v="Cadbury Bournvita Health Drink Refill"/>
        <s v="Pediasure Nutritional Powder - Premium Chocolate Flavour"/>
        <s v="Protinex Original Health Drink"/>
        <s v="Protinex Chocolate Flavour Health Drink Tin"/>
        <s v="Cadbury Bournvita 5 Star Magic Health Drink"/>
        <s v="Protinex Original"/>
        <s v="Horlicks Health &amp; Nutrition Drink Refill - Chocolate"/>
        <s v="Amul Pro Whey Protein Malt Chocolate Drink"/>
        <s v="Cadbury Bournvita Jar"/>
        <s v="Horlicks Health &amp; Nutrition Drink Refill - Classic Malt"/>
        <s v="Complan Chocolate Health Drink"/>
        <s v="Protinex Vanilla Flavour"/>
        <s v="Pediasure Vanilla Delight"/>
        <s v="Women's Horlicks Health &amp; Nutrition Drink - Chocolate"/>
        <s v="Women's Horlicks Health &amp; Nutrition Drink Jar - Caramel"/>
        <s v="Boost Refill Pack"/>
        <s v="Britannia Thick Dahi"/>
        <s v="Amul Masti Dahi"/>
        <s v="Cadbury Hot Chocolate Drinking Powder"/>
        <s v="ID Creamy Thick Curd - Dahi"/>
        <s v="Pediasure Nutritional Powder - Vanilla Delight Flavour"/>
        <s v="Ensure Nutrition Powder - Vanilla Flavour"/>
        <s v="Horlicks Classic Malt Jar"/>
        <s v="Complan Kesar Badam Health Drink"/>
        <s v="Horlicks Chocolate Delight Jar"/>
        <s v="Protinex Health Drink Chocolate Flavour Tin"/>
        <s v="Horlicks Chocolate Delight Health Drink Refill"/>
        <s v="Hershey's Natural Unsweetened Cocoa Powder"/>
        <s v="Amul Premium Dahi"/>
        <s v="Mother Dairy Mishti Doi"/>
        <s v="Gaia Sport Whey Irish Chocolate Protein"/>
        <s v="Hershey's Milk Booster Chocolate Flavor"/>
        <s v="Christopher Dark Cocoa Powder For Baking &amp; Hot &amp; Cold Drinks"/>
        <s v="Christopher Cocoa Original Drinking Cocoa"/>
        <s v="Horlicks Chocolate Delight Flavour Jar"/>
        <s v="Blue Bird Cocoa Powder"/>
        <s v="Mirinda Orange"/>
        <s v="Thums Up"/>
        <s v="Sprite"/>
        <s v="Thums Up Bottle"/>
        <s v="Coca-Cola Bottle"/>
        <s v="Pepsi"/>
        <s v="Fanta Orange Flavour"/>
        <s v="Bisleri Club Soda"/>
        <s v="7 Up"/>
        <s v="Coca-Cola"/>
        <s v="Limca"/>
        <s v="Xotik Jeeru Jeera Masala Drink"/>
        <s v="Diet Coke Tin"/>
        <s v="Duke's Club Soda"/>
        <s v="Coolberg Assorted Non-Alcoholic Beer"/>
        <s v="Budweiser Green Apple Non-Alcoholic Beer Can"/>
        <s v="Cravova Classic Mojito"/>
        <s v="Coolberg Cranberry Non-Alcoholic Beer"/>
        <s v="Epigamia Low Fat Greek Yogurt Blueberry"/>
        <s v="Cravova Peach Mojito"/>
        <s v="Epigamia Low Fat Greek Yogurt Strawberry"/>
        <s v="Cravova Green Apple Mojito"/>
        <s v="Epigamia Greek Yogurt Natural"/>
        <s v="Bisleri Limonata - With Lime Juice"/>
        <s v="Coke Zero Sugar"/>
        <s v="Cravova Watermelon Mojito"/>
        <s v="Coolberg Peach Non-Alcoholic Beer"/>
        <s v="Epigamia Low Fat Greek Yogurt Alphonso Mango"/>
        <s v="Cravova Fresh Lemonade"/>
        <s v="Epigamia Low Fat Greek Yogurt Wild Raspberry"/>
        <s v="Coca-Cola Tin"/>
        <s v="Coolberg Ginger Non-Alcoholic Beer"/>
        <s v="Epigamia Greek Yogurt Zero Added Sugar Strawberry"/>
        <s v="Bisleri Spyci - Masala Maar Ke"/>
        <s v="Epigamia Greek Yogurt Smoothie - Blueberry"/>
        <s v="Coolberg Malt Non-Alcoholic Beer"/>
        <s v="Epigamia Greek Yogurt Smoothie - Strawberry"/>
        <s v="Epigamia Greek Yogurt Zero Sugar Mixed Berry"/>
        <s v="Epigamia Alphonso Mango Yogurt Smoothie"/>
        <s v="Schweppes Indian Tonic Water Tin"/>
        <s v="Schweppes Original Ginger Ale"/>
        <s v="O'cean Fruit Drink - Peach &amp; Passion Fruit Flavour"/>
        <s v="Maaza Mango Drink"/>
        <s v="Slice Mango Drink"/>
        <s v="Real Mixed Fruit"/>
        <s v="Minute Maid Pulpy Orange Juice"/>
        <s v="Frooti Mango Drink"/>
        <s v="Mango Merry Mango Drink"/>
        <s v="Real Fruit Power Orange"/>
        <s v="B Natural Mixed Fruit Beverage"/>
        <s v="Real Fruit Power Litchi"/>
        <s v="B Natural Guava Fruit Beverage"/>
        <s v="Real Fruit Power Guava"/>
        <s v="Tropicana Mixed Fruit Delight"/>
        <s v="B Natural Litchi Fruit Beverage"/>
        <s v="Raw Pressery Coconut Water"/>
        <s v="Chitale Full Cream Shrikhand Amba"/>
        <s v="Paper Boat Aamras"/>
        <s v="Real Fruit Power Apple"/>
        <s v="Real Fruit Power Masala Guava"/>
        <s v="Real Fruit Power Masala Mixed Fruit"/>
        <s v="Amul Amrakhand"/>
        <s v="Amul Shrikhand Badam Pista"/>
        <s v="Tropicana Apple Delight"/>
        <s v="Paper Boat Chilli Guava"/>
        <s v="Tropicana Orange Delight"/>
        <s v="Tropicana Litchi Delight"/>
        <s v="Paper Boat Alphonso Aam"/>
        <s v="Amul Shrikhand Mango"/>
        <s v="Amul Shrikhand Elaichi"/>
        <s v="Paper Boat Jaljeera"/>
        <s v="Chitale Full Cream Badam Pista Shrikhand"/>
        <s v="Raw Pressery Orange Juice"/>
        <s v="Amul Shrikhand Kesar"/>
        <s v="Paper Boat Anar - 1 L"/>
        <s v="Chitale Full Cream Keshar Shrikhand"/>
        <s v="Baidyanath Amla Juice"/>
        <s v="Raw Pressery Pomegranate Juice"/>
        <s v="Baidyanath Aloevera Juice"/>
        <s v="Raw Pressery Sugarcane"/>
        <s v="Baidyanath Karela Jamun Juice"/>
        <s v="Baidyanath Giloy Juice"/>
        <s v="O'cean Pink Fruit Drink - Guava Flavour"/>
        <s v="Glucon-D Orange"/>
        <s v="Red Bull Energy Drink"/>
        <s v="Glucon-D Nimbu Pani"/>
        <s v="Monster Energy Drink Tin"/>
        <s v="Glucon-D Plain"/>
        <s v="O'cean Natural Power Energy Drink"/>
        <s v="Chetran's Tofu"/>
        <s v="Budweiser Beats Energy Drink"/>
        <s v="Cipla Prolyte ORS - Orange Flavour"/>
        <s v="Cipla Prolyte ORS - Apple Flavour"/>
        <s v="Red Bull Sugarfree"/>
        <s v="Rooh Afza"/>
        <s v="Mapro Coolz Rose Sharbat"/>
        <s v="Guruji Kesaria Thandai"/>
        <s v="Kokan Gem Kokam Syrup"/>
        <s v="Mala's Rose Syrup"/>
        <s v="Hershey's Chocolate Syrup"/>
        <s v="Kokan Gem Kairi Panhe"/>
        <s v="Mapro Cocktail Mixology Kit"/>
        <s v="Home Made Lemon Pudina Fruit Squash"/>
        <s v="Jimmy's Cocktails - Cosmopolitan Cocktail Mixer"/>
        <s v="Jimmy's Cocktails - Mango Chilli Mojito Cocktail Mixer"/>
        <s v="Jimmy's Cocktails - SOTB Cocktail Mixer"/>
        <s v="Jimmy's Cocktails - Margarita Cocktail Mixer"/>
        <s v="Jimmy's Cocktails - Whiskey Sour Cocktail Mixer"/>
        <s v="Home Made Real Variyali Syrup"/>
        <s v="Jimmy's Cocktails - BM Cocktail Mixer"/>
        <s v="Home Made Rose Falooda Syrup"/>
        <s v="Home Made Masala Shikanji Syrup"/>
        <s v="Monin Mojito Mint Flavoured Syrup"/>
        <s v="Home Made Anjeer Kesar Fruit Squash"/>
        <s v="Guruji Rose Sharbat"/>
        <s v="Monin Blue Curacao Flavoured Syrup"/>
        <s v="Monin Green Apple Flavoured Syrup"/>
        <s v="Monin Vanilla Flavoured Syrup"/>
        <s v="Hershey's Strawberry Syrup"/>
        <s v="Britannia Good Day Cashew Cookies"/>
        <s v="Parle Hide &amp; Seek Chocolate Chip Cookies"/>
        <s v="Karachi's Fruit Biscuits"/>
        <s v="Parle Nutricrunch Digestive Cookies"/>
        <s v="Sunfeast Dark Fantasy Yumfills Cake"/>
        <s v="Britannia Good Day Chocochip Cookies"/>
        <s v="Unibic Choco Chip Cookies"/>
        <s v="Britannia Nice Time Coconut Biscuits"/>
        <s v="Sunfeast Mom's Magic Cashew &amp; Almond Cookies"/>
        <s v="Parle 20-20 Gold Cashew Almond Cookies"/>
        <s v="Unibic Fruit &amp; Nut Cookies"/>
        <s v="Unibic Cashew Badam Cookies"/>
        <s v="Britannia Little Hearts Classic Biscuits"/>
        <s v="Britannia Tiger Krunch Chocochips Biscuits"/>
        <s v="Patanjali Doodh Biscuits"/>
        <s v="Unibic Choco Nut Cookies"/>
        <s v="Unibic Choco Kiss Cookies"/>
        <s v="Malkist Chocolate Flavoured Crunchy Layered Crackers"/>
        <s v="Malkist Cheese Flavoured Crunchy Layered Crackers"/>
        <s v="Sunfeast Nice Sugar Sprinkled Biscuits"/>
        <s v="Munchy's Cream Crackers"/>
        <s v="Munchy's Vege Crackers"/>
        <s v="Cookie Man Almond Fingers"/>
        <s v="Cookie Man Assorted Cookies Tin"/>
        <s v="Cookie Man Hand Pound Chocolate Cookies"/>
        <s v="Sunfeast Mom's Magic Butter Cookies"/>
        <s v="Munchy's Wheat Crackers"/>
        <s v="Munchy's Sugar Crackers"/>
        <s v="Cookie Man Brownie Brittle"/>
        <s v="Lotus Biscoff Biscuit"/>
        <s v="Malkist Sugar Crackers"/>
        <s v="Cookie Man Brandy Snap Cookies"/>
        <s v="Cookie Man Nutty Magic Cookies"/>
        <s v="Tosita Baked Ragi Crackers"/>
        <s v="Tosita Cheese Straws"/>
        <s v="Tosita Baked Pita Chips Just Salted"/>
        <s v="Unibic Snappers Potato Crackers - Indi Spice"/>
        <s v="Unibic Snappers Potato Crackers - Cream N' Onion"/>
        <s v="Unibic Sugarfree Butter Cookies"/>
        <s v="Unibic Sugarfree Oatmeal Cookies"/>
        <s v="Orion O'Rice Cracker"/>
        <s v="Britannia Good Day Harmony"/>
        <s v="Parle-G Original Gluco Biscuits"/>
        <s v="Parle-G Gold Biscuits"/>
        <s v="Britannia Milk Bikis Biscuits"/>
        <s v="Britannia Marie Gold Biscuits"/>
        <s v="Britannia Vita Marie Gold Biscuits"/>
        <s v="Sunfeast Marie Light Biscuit"/>
        <s v="Parle Marie Biscuits"/>
        <s v="McVitie's Wholewheat Marie Biscuits"/>
        <s v="Parle Monaco Classic Regular Biscuit"/>
        <s v="Parle Krackjack Biscuits"/>
        <s v="Britannia 50-50 Maska Chaska Biscuits"/>
        <s v="Parle Monaco Cheeslings Classic"/>
        <s v="Bellie Cream Crackers Biscuit"/>
        <s v="Sunfeast Dark Fantasy Choco Fills Cookies"/>
        <s v="Lotte Choco Pie"/>
        <s v="Cadbury Oreo Original Biscuits - Value Pack"/>
        <s v="Bisky Bites Vanilla Magic Sandwich Biscuits"/>
        <s v="Britannia Jim Jam Cream Biscuits"/>
        <s v="Britannia Bourbon Sandwich Flavoured Biscuits"/>
        <s v="Cadbury Oreo Choco Crème Biscuits"/>
        <s v="Bisky Bites Chocolate Blast Sandwich Biscuits"/>
        <s v="Bisky Bites Bourbon Sandwich Biscuits"/>
        <s v="Sunfeast Dark Fantasy Choco Créme Biscuits"/>
        <s v="Sunfeast Dark Fantasy Vanilla Créme Biscuits"/>
        <s v="Dukes Bourbon Biscuits"/>
        <s v="Cadbury Oreo Cadbury Dipped"/>
        <s v="Parle Hide &amp; Seek Caffé Mocha Biscuits"/>
        <s v="Cadbury Bournvita Chocolate Cookies"/>
        <s v="Bellie Cheese Cream Sandwich Biscuit"/>
        <s v="Sunfeast Dark Fantasy Bourbon Biscuits"/>
        <s v="Cadbury Oreo Choco Cream Sandwich Biscuits Jumbo Pack"/>
        <s v="Bellie Chocolate Cream Sandwich Biscuits"/>
        <s v="Cadbury Oreo Red Velvet Biscuits"/>
        <s v="Britannia NutriChoice Digestive Hi-Fibre Biscuits"/>
        <s v="Sunfeast Farmlite 5 Grain Digestive Biscuit"/>
        <s v="Mcvitie's Digestive Biscuits"/>
        <s v="Britannia Toastea Premium Bake Rusk"/>
        <s v="Parle Real Elaichi Premium Rusk"/>
        <s v="Royal Toast"/>
        <s v="Kwality Maska Khari"/>
        <s v="Royal Maska Khari"/>
        <s v="Kwality Jeera Butter"/>
        <s v="Tosita Multi Grain Rusk"/>
        <s v="Tosita Wheat Khari"/>
        <s v="Tosita Milk Rusk"/>
        <s v="Tosita Maska Khari"/>
        <s v="Tosita Methi Khari"/>
        <s v="Tosita Kaju Rusk"/>
        <s v="Tosita Jeera Khari"/>
        <s v="Tosita Wheat Rusk"/>
        <s v="Tosita Bakery Maska Butter"/>
        <s v="Tosita Jeera Butter Bites"/>
        <s v="Tosita Baby Rusk Cheddar Cheese"/>
        <s v="Tosita Baby Rusk Peri Peri"/>
        <s v="Tosita Baby Rusk Tandoori Marinade"/>
        <s v="Tosita Soupsticks"/>
        <s v="Dukes Waffy Choco Roll"/>
        <s v="Dukes Waffy Chocolate Flavoured Wafer Biscuits"/>
        <s v="Pickwick Creamy Wafer Biscuits - Strawberry"/>
        <s v="Dukes Waffy Orange Flavoured Wafer Biscuits"/>
        <s v="Dukes Waffy Strawberry Flavoured Wafer Biscuits"/>
        <s v="Dukes Waffy Strawberry Roll"/>
        <s v="Pickwick Creamy Wafer Biscuits - Chocolate"/>
        <s v="Dukes Waffy Vanilla Flavoured Wafer Biscuits"/>
        <s v="Pickwick Creamy Wafer Biscuits - Orange"/>
        <s v="Loacker Quadratini Chocolate Wafer Cookies"/>
        <s v="Loacker Quadratini Dark Chocolate Wafer Cookies"/>
        <s v="Loacker Quadratini Napolitaner Wafer Cookies"/>
        <s v="Loacker Quadratini Vanilla Wafer Cookies"/>
        <s v="The Belgian Waffle Crisps - Chocolate"/>
        <s v="The Belgian Waffle Crisps - Double Chocolate"/>
        <s v="Threptin Diskettes - Vanilla"/>
        <s v="Threptin Diskettes - Chocolate"/>
        <s v="Threptin Biscuits Vanilla"/>
        <s v="Nutrivalue Whole Ragi Health Vizkits Biscuits"/>
        <s v="Nutrivalue Dibeck Health Biscuits"/>
        <s v="Haldiram's Bhujia Sev"/>
        <s v="Haldiram's Aloo Bhujia"/>
        <s v="Chheda's Mix Farsan"/>
        <s v="Rajam Snacks Garlic Mixture"/>
        <s v="Haldiram's Khatta Meetha"/>
        <s v="Bikaji Bhujia"/>
        <s v="Chheda's Farali Potato Chivda"/>
        <s v="Haldiram's Moong Dal"/>
        <s v="Bikaji Soya Sticks"/>
        <s v="Haldiram's Mixture"/>
        <s v="Peppy Cheese Balls"/>
        <s v="Peppy Tomato Discs"/>
        <s v="Haldiram's Boondi"/>
        <s v="Bikaneri Shree Ram Bhujia"/>
        <s v="Jayshree Special Farsan"/>
        <s v="Chheda's Golden Mix"/>
        <s v="Sitashree Laxminarayan Best Chiwda"/>
        <s v="Rajam Snacks Madras Mixture"/>
        <s v="Chheda's Soya Snax"/>
        <s v="Haldiram's Panchratan Mixture"/>
        <s v="Rajam Mix Farsan"/>
        <s v="Sitashree Laxminarayan Cornflakes Chiwda"/>
        <s v="Chheda's Mora Sev"/>
        <s v="Rajam Snacks Tikha Gathiya"/>
        <s v="Garden Diet Bhel"/>
        <s v="Haldiram's Phalhari Chiwda"/>
        <s v="Garden Raita Boondi"/>
        <s v="Garden Diet Chivda"/>
        <s v="Kurkure Masala Munch"/>
        <s v="Sitashree Laxminarayan Best Potato Chiwda"/>
        <s v="Agrawal's 420 Khatta Meetha Mix"/>
        <s v="Kurkure Green Chutney Style"/>
        <s v="Charliee Masala Butter Chakli"/>
        <s v="Garden Sabudana Chivda"/>
        <s v="Kurkure Chilli Chatka"/>
        <s v="Taali Protein Cheese &amp; Herbs Puffs"/>
        <s v="Taali Protein Masala Mania Puffs"/>
        <s v="Agrawal's 420 Laung Sev"/>
        <s v="Sun Special Masala Chakli"/>
        <s v="Agrawal's 420 Ujjaini Sev"/>
        <s v="Rajam Snacks Golden Mix"/>
        <s v="Taali Protein Cream &amp; Onion Puffs"/>
        <s v="Taali Protein Tomato Basil Puffs"/>
        <s v="Agrawal's 420 Cornflakes Mixture"/>
        <s v="Sun Schezwan Sticks"/>
        <s v="Chheda's Yellow Banana Chips"/>
        <s v="Chheda's Golden Potato Chips - Lightly Salted"/>
        <s v="Lays American Cream &amp; Onion Potato Chips"/>
        <s v="Lay's Indian Magic Masala Potato Chips"/>
        <s v="Chheda's Long Masala Banana Chips"/>
        <s v="Chheda's Salt-N-Pepper Banana Chips"/>
        <s v="Pringles Potato Chips - Original"/>
        <s v="Pringles Potato Chips - Sour Cream &amp; Onion"/>
        <s v="Motas Potato Chips"/>
        <s v="Lays Classic Salted"/>
        <s v="Lay's Spanish Tomato Tango Potato Chips"/>
        <s v="Chheda's Tomato Banana Chips"/>
        <s v="Britannia Potazos Masti Masala"/>
        <s v="Doritos Nacho Cheese Flavour"/>
        <s v="Rajam Snacks Yellow Banana Chips"/>
        <s v="Pringles Potato Chips - Peri Peri"/>
        <s v="Balaji Cream &amp; Onion Wafers"/>
        <s v="Balaji Wafers Simply Salted"/>
        <s v="Balaji Sizzling Chilly Stack Up"/>
        <s v="Lay's Hot 'N' Sweet Chilli Potato Chips"/>
        <s v="Pringles Potato Chips - Desi Masala Tadka"/>
        <s v="Cornitos Nacho Crisps - Cheese &amp; Herbs"/>
        <s v="Doritos Sweet Chilli Flavour Chips"/>
        <s v="Garden Potato Chips - Premium Salted"/>
        <s v="Bingo Mad Angles Achaari Masti"/>
        <s v="Balaji Simply Salted Stack Up"/>
        <s v="Makino Nacho Cheese Chips"/>
        <s v="Tastilo Cheesy Crispy Nacho Chips"/>
        <s v="Wayback Baked Moong Chips - Chees N Herbs"/>
        <s v="Bingo Yumitos Chilli Sprinkled Potato Chips"/>
        <s v="Cornitos Nacho Crisps- Sizzlin Jalapeno"/>
        <s v="Lays Potato Chips - Sizzlin Hot"/>
        <s v="Balaji Tomato Flavour Potato Wafers"/>
        <s v="Lays Maxx Potato Chips - Peppery Cheddar"/>
        <s v="Tastilo Spicy Jalapeno Nacho Chips"/>
        <s v="Makino Nacho Jalapeno Chips"/>
        <s v="Lay's Wafer Style Potato Chips - Salt With Pepper"/>
        <s v="Bingo Mad Angles Very Peri Peri"/>
        <s v="Wayback Baked Bajra Chips - Spezieitalian"/>
        <s v="Wayback Baked Jowar Chips - Ginger Lemon"/>
        <s v="Kurkure Puffcorn Yummy Cheese"/>
        <s v="Wayback Baked Multigrain Chips - Tom Chi"/>
        <s v="Lay's Wafer Style Potato Chips - Sundried Chilli"/>
        <s v="Tastilo Nacho Chips - Cheesy Crispy"/>
        <s v="Tastilo Nacho Chips - Peri Peri"/>
        <s v="Makino Nacho Sweet Chilly Chips :  150 gms"/>
        <s v="Wayback Baked Barley Chips- Desi Tadka"/>
        <s v="Wingreens Naan Chips Butter Garlic"/>
        <s v="Tastilo Nacho Chips - Mexican Salsa"/>
        <s v="Cornitos Nacho Crisps - Tomato Mexicana"/>
        <s v="Tastilo Nacho Chips - Spicy Jalapeno"/>
        <s v="Makino Corn Twist Tomato"/>
        <s v="Makino Nacho Roasted Masala Chips"/>
        <s v="Wayback Baked Bajra Chips- Salt N Pepper : 150 gms"/>
        <s v="Makino Nacho Cream &amp; Onion Corn Chips"/>
        <s v="Makino Red Chilli Chatka Corn Chips"/>
        <s v="Wingreens Naan Chips Chatpata Pudina"/>
        <s v="Makino Nacho Tomato Salsa Chips"/>
        <s v="Too Yumm Style Cream &amp; Onion Potato Chips"/>
        <s v="Too Yumm Indian Masala Potato Chips"/>
        <s v="Shiv Shakti Sabudana Kurdai"/>
        <s v="Doritos Nacho Cheese Flavour Chips"/>
        <s v="Too Yumm Classic Salted Potato Chips"/>
        <s v="Bingo Mad Angles Cheese Nachos"/>
        <s v="Makino Nacho Cheese Chips Can Pack"/>
        <s v="Makino Nacho Jalapeno Chips Can Pack"/>
        <s v="Chitale Bandhu Bakarwadi"/>
        <s v="Chheda's Diet Poha Chivda"/>
        <s v="Charliee Butter Chakli"/>
        <s v="Garden Nylon Sev"/>
        <s v="Chheda's Kachori"/>
        <s v="Kurkure Masala Munch Namkeen"/>
        <s v="Rajam Snacks Murukku"/>
        <s v="Panjwani's Skinwala Sing"/>
        <s v="Panjwani Roasted Brown Chana"/>
        <s v="Rajam Snacks Masala Murukku"/>
        <s v="Natural's Bite  Methi Masala Khakhra"/>
        <s v="Panjwani's White Sing"/>
        <s v="Rajam Snacks Chakli"/>
        <s v="Garden Mini Bhakarwadi"/>
        <s v="Makhanawala's Roasted Makhana (Foxnuts) Pudina Punch"/>
        <s v="Agrawal's 420 Hing Chana Tasty"/>
        <s v="Bikaji Falahari Mix"/>
        <s v="Panjwani Roasted Black Chana"/>
        <s v="Makhanawala's Roasted Makhana (Foxnuts) Peri-Peri"/>
        <s v="Makhanawala's Roasted Makhana (Foxnuts) Cream &amp; Onion"/>
        <s v="Makhanawala's Roasted Makhana (Foxnuts) Spicy Indiana"/>
        <s v="Makhanawala's Roasted Makhana (Foxnuts) Himalayan Pink Salt"/>
        <s v="Charliee Sev Puri"/>
        <s v="Natural's Bite Jeera Masala Khakhra"/>
        <s v="Charliee Yellow Chana"/>
        <s v="Natural's Bite Multigrain Khakhra"/>
        <s v="Tong Garden Party Snack"/>
        <s v="Charliee Tea Time Puri"/>
        <s v="Jabsons Methi Khakhra"/>
        <s v="Makhanawala's Roasted Makhana (Foxnuts) Spicy Black Salt"/>
        <s v="Natural's Bite Ragi Khakhra"/>
        <s v="Jaine Methi Masala Khakhra"/>
        <s v="Natural's Bite Mahableshwar Chana"/>
        <s v="Agrawal's 420 Fiki Nukti (Boondi)"/>
        <s v="Jabsons Chilly Garlic Khakhra"/>
        <s v="Jabsons Bajra Methi Khakhra"/>
        <s v="Tong Garden Salted Sunflower Seeds"/>
        <s v="Tong Garden Roasted Pumpkin Kernels"/>
        <s v="Jaine Jeera Khakhra"/>
        <s v="Jabsons Jeera Khakhra"/>
        <s v="Jabsons Punjabi Masala Khakhra"/>
        <s v="Jaine Masala Khakhra"/>
        <s v="Tong Garden Paprika Pumpkin Seeds"/>
        <s v="Too Yumm Karare Baked Masala Munchy"/>
        <s v="Too Yumm Karare Baked Noodle Masala"/>
        <s v="Tong Garden Roasted Sunflower Kernels"/>
        <s v="Garden Yellow Banana Chips"/>
        <s v="Tong Garden BBQ Sunflower Spicy"/>
        <s v="Tong Garden Salted Peanuts"/>
        <s v="Tong Garden Salted Pumpkin Seeds"/>
        <s v="Tong Garden BBQ Flavour Coated Broad Bean"/>
        <s v="Tong Garden Salted Cocktail Nuts"/>
        <s v="Haldiram's Fine Bhel Sev"/>
        <s v="Lijjat Udad Papad"/>
        <s v="Lijjat Garlic Papad"/>
        <s v="Lijjat Punjabi Masala Papad"/>
        <s v="Chheda's Bhel Mix"/>
        <s v="Appu Appalam Papad"/>
        <s v="Lijjat Moong Papad"/>
        <s v="Haldiram's Tasty Nuts"/>
        <s v="Haldiram's Mini Bhakarwadi"/>
        <s v="Royal Peanut Chikki"/>
        <s v="Lijjat Udad Mini Papad"/>
        <s v="Royal Udad Papad Mini"/>
        <s v="Sun Yellow Chana"/>
        <s v="Rajam Snacks Mangalore Mixture"/>
        <s v="Act II Classic Salted Popcorn"/>
        <s v="Piknik Classic Tomato Chilli Sticks"/>
        <s v="Act II Microwave Popcorn - Butter"/>
        <s v="Rajam Snacks Tukda Masala Murukku"/>
        <s v="Natural's Bite Pani Puri Papad"/>
        <s v="Charliee Plain Salted Peanuts"/>
        <s v="Act II Golden Sizzle Popcorn"/>
        <s v="Sitashree Laxminarayan Mix Farsan"/>
        <s v="Act II Butter Delite Popcorn"/>
        <s v="Rajam Snacks Fry Masala Groundnut"/>
        <s v="Makhanawala's Himalayan Pink Salt Makhana"/>
        <s v="Jabsons Roasted Peanuts Classic Salted"/>
        <s v="Natural's Bite Sabudana Upwas Papad"/>
        <s v="Makhanawala's Peri-Peri Makhana"/>
        <s v="Jabsons Roasted Peanuts Nimboo Pudina"/>
        <s v="Charliee Rajgira Laddu"/>
        <s v="Makhanawala's Cream &amp; Onion Makhana"/>
        <s v="Sun Rajgira Chikki"/>
        <s v="Shiv Shakti's Makhana"/>
        <s v="Makhanawala's Roasted Salt-N-Pepper Foxnuts"/>
        <s v="Makhanawala's Spicy Treat Makhana"/>
        <s v="Jabsons Roasted Peanuts Spicy Masala"/>
        <s v="Act II Butter Pepper Popcorn"/>
        <s v="Natural's Bite Roasted Yellow Chana"/>
        <s v="Jabsons Roasted Peanuts Hing Jeera"/>
        <s v="Jabsons Roasted Peanuts Black Pepper"/>
        <s v="Sitashree Laxminarayan Lite Chiwda"/>
        <s v="Charliee Rajgira Chikki"/>
        <s v="Sitashree Laxminarayan Shabuflakes Chiwda"/>
        <s v="Mother's Recipe Sabudana Papad With Sendha Namak"/>
        <s v="Act II Movie Theatre Butter Flavour Popcorn"/>
        <s v="Shiv Shakti's Sabudana Mini Papad"/>
        <s v="Act II Tandoori Tadka Popcorn"/>
        <s v="Act II Tomato Chilli Popcorn"/>
        <s v="Act II Microwave Popcorn - Original"/>
        <s v="Sitashree Laxminarayan Patal Poha Chiwda"/>
        <s v="Charliee Peanut Laddu"/>
        <s v="Shiv Shakti's Rice Papad"/>
        <s v="Too Yumm Sour Cream &amp; Onion Veggie Stix"/>
        <s v="Act II Cheese Flavour Popcorn"/>
        <s v="Sun Mix Fryums"/>
        <s v="Charliee Butter Scotch Chikki"/>
        <s v="Charliee Kurmura Laddu"/>
        <s v="Charliee 3 In 1 Peanut Chikki"/>
        <s v="Rajam Snacks Tukda Murukku"/>
        <s v="McCain French Fries"/>
        <s v="Safal Green Peas (Frozen)"/>
        <s v="Freshezza Frozen Green Peas"/>
        <s v="Godrej Yummiez Frozen Green Peas"/>
        <s v="McCain Potato Cheese Shotz"/>
        <s v="McCain Chilli Garlic Potato Bites"/>
        <s v="Godrej Yummiez French Fries"/>
        <s v="McCain Veggie Fingers"/>
        <s v="McCain Aloo Tikki"/>
        <s v="McCain Smiles - Crispy Happy Potatoes"/>
        <s v="McCain Chilli Cheesy Nuggets"/>
        <s v="McCain Veggie Burger Patty"/>
        <s v="Prasuma Mixed Veg Frozen Momos"/>
        <s v="Godrej Yummiez Green Peas"/>
        <s v="Sumeru Piri Piri Masala French Fries - Crispy &amp; Spicy"/>
        <s v="McCain Variety Pack - 3 Packs Inside"/>
        <s v="Prasuma Cheesy Spicy Veg Frozen Momos"/>
        <s v="ITC Master Chef Veggie Pizza Pocket"/>
        <s v="Mccain Emotibites"/>
        <s v="Godrej Yummiez Potato Cheese Bites"/>
        <s v="ITC Master Chef Veg Burger Patty"/>
        <s v="Godrej Yummiez Crispy Veg Sticks"/>
        <s v="ITC Master Chef Chilli Garlic Potato Shots"/>
        <s v="Prasuma Vegetable Frozen Momos"/>
        <s v="Godrej Yummiez Veg Masala Nuggets"/>
        <s v="Sumeru Vegetable Spring Rolls"/>
        <s v="Switz Samosa Dough Sheet"/>
        <s v="Safal Frozen Mixed Vegetables"/>
        <s v="Switz Spring Roll Dough Sheet"/>
        <s v="ID Wheat Lachha Paratha"/>
        <s v="Godrej Yummiez Veg Burger Patty"/>
        <s v="ITC Master Chef Cheesy Corn Triangles"/>
        <s v="ITC Masterchef Lebanese Falafel Kebab"/>
        <s v="Safal Hara Bhara Kabab"/>
        <s v="Sumeru Malabar Paratha"/>
        <s v="Safal Frozen French Fries"/>
        <s v="Mccain Emoti Bites"/>
        <s v="ITC Master Chef Hara Bhara Kebab 210 gms"/>
        <s v="Sumeru Chilli Garlic Masala French Fries"/>
        <s v="ITC Master Chef Alphabytes"/>
        <s v="4700 BC Cheese Microwave Popcorn"/>
        <s v="4700 BC Butter Microwave Popcorn"/>
        <s v="4700 BC Himalayan Salt Caramel Gourmet Popcorn"/>
        <s v="Act II Butter Delite Flavour Popcorn"/>
        <s v="4700 BC Nutty Tuxedo Chocolate Gourmet Popcorn"/>
        <s v="4700 BC Barbeque Microwave Popcorn"/>
        <s v="4700 BC Natural Microwave Popcorn"/>
        <s v="4700 BC Instant Butter Popcorn"/>
        <s v="4700 BC Instant Barbeque Popcorn"/>
        <s v="4700 BC Instant Seven Spices Popcorn"/>
        <s v="4700 BC Instant Natural Popcorn"/>
        <s v="Kellogg's Corn Flakes Original"/>
        <s v="Kellogg's Chocos"/>
        <s v="Nutri Delite Chocoflakes"/>
        <s v="Kellogg's Chocos Variety Pack"/>
        <s v="Bagrry's Corn Flakes"/>
        <s v="Kellogg's Crunchy Granola Almonds &amp; Cranberries"/>
        <s v="Kellogg's Chocos Fills"/>
        <s v="Kellogg's Chocos Crunchy Bites"/>
        <s v="Kellogg's All Bran Wheat Flakes"/>
        <s v="Kellogg's Froot Loops Cereal"/>
        <s v="Kwality Corn Flakes Pouch"/>
        <s v="Soulfull Ragi Bites Choco Fills"/>
        <s v="Kwality Cornflakes Combi Pack"/>
        <s v="Soulfull Ragi Bites Vanilla Fills"/>
        <s v="Nutri Delite Variety Pack"/>
        <s v="Quaker Oats"/>
        <s v="Saffola Masala Oats Veggie Twist"/>
        <s v="Bagrry's White Oats"/>
        <s v="Kellogg's Oats"/>
        <s v="Nutri Delite Oats"/>
        <s v="Saffola Masala Oats Peppy Tomato"/>
        <s v="Saffola Masala Oats Classic"/>
        <s v="Yogabar Dark Chocolate Oats"/>
        <s v="Yogabar Veggies Masala Oats"/>
        <s v="Kellogg's Muesli Fruit And Nut"/>
        <s v="Gaia Crunchy Muesli"/>
        <s v="Kellogg's Muesli Nuts Delight"/>
        <s v="Gaia Crunchy Muesli Mixed Fruit"/>
        <s v="Bagrry's Crunchy Muesli with Almonds-Raisins-Honey"/>
        <s v="Yoga Bar Muesli Drk Choco Cranbery"/>
        <s v="Yoga Bar Muesli Fruits Nuts And Seeds"/>
        <s v="Kellogg's Honey Almond Pumpkin Seeds Granola"/>
        <s v="Yoga Bar Muesli - Almond + Quinoa Crunch"/>
        <s v="Munchilicious Granola - Original"/>
        <s v="Munchilicious Granola - Dark Chocolate"/>
        <s v="Munchilicious Granola - Dried Fruits"/>
        <s v="Tata Soulfull Millet Muesli - Crunchy"/>
        <s v="Tata Soulfull Millet Muesli - Fruit and Nut"/>
        <s v="Cadbury Dairy Milk Home Treats Chocolate"/>
        <s v="Cadbury Choclairs Gold Pouch"/>
        <s v="Amul Chocominis Chocolate Box"/>
        <s v="Nestle Kitkat Chocolate"/>
        <s v="Amul Dark Chocolate"/>
        <s v="Cadbury Dairy Milk Silk Fruit &amp; Nut Chocolate"/>
        <s v="Cadbury 5 Star Home Treat Chocolate"/>
        <s v="Nestle Munch Share Bag"/>
        <s v="Cadbury Dairy Milk Silk Chocolate"/>
        <s v="Ferrero Rocher - 16 Pieces"/>
        <s v="Cadbury Dairy Milk Silk Home Treats"/>
        <s v="Amul Fruit 'N' Nut Dark Chocolate"/>
        <s v="Cadbury Dairy Milk"/>
        <s v="Cadbury Gems Minis"/>
        <s v="Ferrero Rocher - 24 Pieces"/>
        <s v="Cadbury Dairy Milk Chocolate"/>
        <s v="Cadbury Dairy Milk Silk Bubbly Chocolate"/>
        <s v="Morde Dark Compound (CO D15)"/>
        <s v="Parle Melody Chocolaty"/>
        <s v="Bounty Miniatures Chocolate"/>
        <s v="Amul India Twilight Tryst Dark Chocolate"/>
        <s v="Snickers Veg Chocolate"/>
        <s v="Kinder Joy Blue"/>
        <s v="Cadbury Fuse Home Treats"/>
        <s v="Candyman Choco Double Eclairs"/>
        <s v="Cadbury Gems Surprise - Ball"/>
        <s v="Cadbury Dairy Milk Silk Oreo Chocolate"/>
        <s v="Kinder Joy Pink"/>
        <s v="Yoga Bar 20G Protein Bar - Almond Fudge"/>
        <s v="Snickers Home Pack"/>
        <s v="Yoga Bar Breakfast Protein Bar - Apricot Fig"/>
        <s v="Didier &amp; Frank Crunchy Hazelnut Dark Chocolate"/>
        <s v="Cadbury Dairy Milk Crackle Chocolate"/>
        <s v="Morde Dark Chocolate (CH D45)"/>
        <s v="Amul Almondo Chocolate Coated Almonds"/>
        <s v="Nestle Kitkat Bar 4 Finger"/>
        <s v="Yoga Bar Breakfast Protein Bar - Blueberry Pie"/>
        <s v="Morde Milk Compound (CO M21 )"/>
        <s v="Didier &amp; Frank Wicked Dark 85% Dark Chocolate"/>
        <s v="Cadbury Dairy Milk Fruit &amp; Nut Chocolate"/>
        <s v="Hershey's Kisses Almond Chocolate Pouch"/>
        <s v="Didier &amp; Frank Roasted Almond Dark Chocolate"/>
        <s v="Hershey's Kisses Milk Chocolate Pouch"/>
        <s v="Yoga Bar Multigrain Energy Bar - Nuts &amp; Seeds"/>
        <s v="Ferrero Rocher - 4 Pieces"/>
        <s v="Didier &amp; Frank Spanish Orange Dark Chocolate"/>
        <s v="Yoga Bar Multigrain Energy Bar - Chocolate Chunk Nut"/>
        <s v="Amul Milk Chocolate"/>
        <s v="Morde White Compound (CO W33)"/>
        <s v="Luvit Chocwich White Home Delight Pouch"/>
        <s v="Didier &amp; Frank Intense Dark 75% Dark Chocolate"/>
        <s v="Cadbury 5 Star Chocolate"/>
        <s v="Flying Bird Vanilla Essence"/>
        <s v="Bounty Chocolate"/>
        <s v="Cadbury Dairy Milk Silk Bubbly Bubble Gum Chocolate"/>
        <s v="Kinder Creamy Milky &amp; Crunchy"/>
        <s v="Luvit Loca Choco Caramel Home Delights Pack"/>
        <s v="Cadbury Gems DUO Pack"/>
        <s v="Nestle Classic Home Treat Chocolate"/>
        <s v="Hershey's Kisses Cookies &amp; Crème Chocolate Pouch"/>
        <s v="Hershey's Blueberry &amp; Acai Flavored Chocolate"/>
        <s v="Nestle Munch Chocolate"/>
        <s v="Christopher Double Chocolate Hot Cocoa Mix"/>
        <s v="Cadbury Perk Double Glucose Chocolate"/>
        <s v="Luvit Chocwich Home Delights Pouch"/>
        <s v="Toblerone Dark Chocolate"/>
        <s v="Didier &amp; Frank Crunchy Hazelnut Milk Chocolate"/>
        <s v="Toblerone Fruit &amp; Nut Chocolate"/>
        <s v="Didier &amp; Frank Rich &amp; Creamy Milk Chocolate"/>
        <s v="Galaxy Milk Chocolate With Fruit &amp; Nut"/>
        <s v="Didier &amp; Frank Roasted Almond Milk Chocolate"/>
        <s v="Didier &amp; Frank Hot Chocolate With Dark Chocolate Buttons"/>
        <s v="Hershey's Dark Pomegranate Flavored Chocolate"/>
        <s v="Hershey's Exotic Dark Almond Blackberry Flavor Chocolate"/>
        <s v="Hershey's Exotic Dark Almond Guava Mexican Chili Flavor Chocolate"/>
        <s v="Toblerone Crunchy Almonds Chocolate"/>
        <s v="Galaxy Milk Chocolate With Cookie Crumble"/>
        <s v="Ferrero Rocher Moments"/>
        <s v="Nestle L'Atelier Cranberries Almonds Dark Chocolate"/>
        <s v="Christopher Cocoa White Chocolate Chips"/>
        <s v="Hershey's Cookies N Crème Chocolate Bar"/>
        <s v="Hershey's Whole Almonds Chocolate Bar"/>
        <s v="Toblerone White Chocolate"/>
        <s v="Hershey's Creamy Milk Chocolate Bar"/>
        <s v="Toblerone Tiny Milk Chocolate Bag"/>
        <s v="Toblerone Tiny Dark Chocolate Bag"/>
        <s v="Cadbury Silk 24 Luxurious Pralines"/>
        <s v="Cadbury Dairy Milk Silk 16 Luxurious Pralines"/>
        <s v="Cadbury Dairy Milk Silk 24 Premium Miniatures"/>
        <s v="Cadbury Celebrations"/>
        <s v="Galaxy Shubh Avsar Miniatures"/>
        <s v="Nature Valley Oats &amp; Dark Chocolate Granola Bar : 42 gms"/>
        <s v="Nature Valley Roasted Almond Granola Bar : 42 gms"/>
        <s v="Cadbury Celebrations Rich Dryfruit"/>
        <s v="Medley Premium Chocolates Pack"/>
        <s v="Lindt Milk Ball Lindor"/>
        <s v="Lindt Excellence Intense Orange Dark Chocolate"/>
        <s v="Lindt Excellence 70% Cocoa Dark Chocolate"/>
        <s v="Lindt Excellence 85% Cocoa Dark Chocolate"/>
        <s v="Lindt Excellence 90% Cocoa Dark Chocolate"/>
        <s v="Kinder Joy With Surprise"/>
        <s v="Kinder Joy Gift Pack"/>
        <s v="Milka Tablet Milka LU"/>
        <s v="Cadbury Dairy Milk Bites Almond Chocolates"/>
        <s v="Cadbury Dairy Milk Bites Hazelnut Chocolates"/>
        <s v="Kissan Fresh Tomato Ketchup"/>
        <s v="Home Chef Tomato Ketchup"/>
        <s v="Del Monte Tomato Ketchup"/>
        <s v="Surabhi D-Lite Tomato Ketchup No Onion No Garlic"/>
        <s v="Maggi Rich Tomato Ketchup"/>
        <s v="Veeba Tomato Ketchup"/>
        <s v="Maggi Tomato Ketchup Pichkoo"/>
        <s v="Veeba No Onion Garlic Tomato Ketchup"/>
        <s v="Kissan Chotu Fresh Tomato Ketchup"/>
        <s v="Veeba Truly Tomato Ketchup Bottle"/>
        <s v="Maggi Hot &amp; Sweet Tomato Chilli Sauce"/>
        <s v="Kissan No Onion No Garlic Tomato Sauce"/>
        <s v="Ching's Red Chilli Sauce"/>
        <s v="Ching's Soy Sauce"/>
        <s v="Funfoods Pasta &amp; Pizza Sauce"/>
        <s v="Maggi Rich Tomato No Onion No Garlic Sauce"/>
        <s v="Wingreens Pizza &amp; Pasta Sauce"/>
        <s v="Wingreens Cheesy Sauce"/>
        <s v="Ching's Green Chilli Sauce"/>
        <s v="Veeba Pasta &amp; Pizza Sauce"/>
        <s v="Knorr Schezwan Sauce Pouch"/>
        <s v="Knorr Pizza &amp; Pasta Sauce Pouch"/>
        <s v="Sriracha Hot Chili Sauce"/>
        <s v="Veeba Schezwan Stir Fry Sauce"/>
        <s v="Tabasco Red Pepper Sauce"/>
        <s v="Amul Cheese Sauce Pizza"/>
        <s v="American Garden BBQ Sauce Original"/>
        <s v="Amul Cheese Sauce Green Chutney"/>
        <s v="Amul Cheese Sauce Jalapeno"/>
        <s v="Tabasco Mild Green Pepper Sauce"/>
        <s v="Ragu Traditional Pasta Sauce"/>
        <s v="American Garden Pizza Sauce Jar"/>
        <s v="Sriracha Chili Garlic Sauce"/>
        <s v="Barilla Olive With 100% Italian Tomatoes"/>
        <s v="Ragu Pizza Sauce"/>
        <s v="Ragu Tomato Garlic &amp; Onion Pasta Sauce"/>
        <s v="Ragu Garden Combination Chunky Sauce"/>
        <s v="Ragu Super Chunky Mushroom Pasta Sauce"/>
        <s v="Wingreens Tandoori Sauce Tube"/>
        <s v="Wingreens Honey Mustard Tube"/>
        <s v="Wingreens Mint Mayo Tube"/>
        <s v="Wingreens Thousand Island Tube"/>
        <s v="Wingreens Butter Garlic Naan Chip &amp; Makhani Dip"/>
        <s v="Wingreens Tangy Cheese Pita Chips With Mexican Salsa Dip"/>
        <s v="Wingreens Chatpata Pudina Naan Chip &amp; Tandoori Dip"/>
        <s v="Naagin Indian Hot Sauce - Original"/>
        <s v="Naagin Indian Hot Sauce - Smoky Bhoot"/>
        <s v="Naagin Indian Hot Sauce - Kantha Bomb"/>
        <s v="Ching's Schezwan Chutney"/>
        <s v="Ruchira Special Khatti Mithhi Imli Chutney"/>
        <s v="Ruchira Special Chaupati Pani Puri Chutney"/>
        <s v="Pravin Red Chilli Thecha Kolhapuri Style"/>
        <s v="Veeba Garlic Chilli Chutney"/>
        <s v="Ching's Chilli Vinegar"/>
        <s v="Kalvert White Vinegar"/>
        <s v="Borges Apple Cider Vinegar With The Mother"/>
        <s v="American Garden Apple Cider Vinegar"/>
        <s v="Kalvert Red Vinegar"/>
        <s v="Kissan Mixed Fruit Jam"/>
        <s v="Mala's Jambo Mix Fruit Jam Jar"/>
        <s v="Meal Time Mixed Fruit Jam"/>
        <s v="Bhuira Strawberry Preserve"/>
        <s v="Bhuira Bitter Orange Preserve"/>
        <s v="Bhuira Black Grape Preserve"/>
        <s v="Bhuira Marmalade 3 Fruit Preserve"/>
        <s v="Dana Mixed Fruit Jam"/>
        <s v="Nutella Hazelnut Spread with Cocoa"/>
        <s v="Hershey's Choco Spreads Cocoa With Almond"/>
        <s v="Veeba Peanut Crunchy Butter"/>
        <s v="Veeba Peanut Creamy Butter"/>
        <s v="Hershey's Choco Spreads Cocoa"/>
        <s v="Funfoods Peanut Butter Crunchy"/>
        <s v="Funfoods Peanut Butter Creamy"/>
        <s v="Pintola Peanut Butter Crunchy Unsweetened"/>
        <s v="Pintola Peanut Butter Creamy Unsweetened"/>
        <s v="Funfoods Chocolate Spread Fudge"/>
        <s v="Veeba Cheese &amp; Chili Sandwich Spread"/>
        <s v="Veeba Cheesy Spread &amp; Dressing"/>
        <s v="Hershey's Spreads Cocoa With Cookies"/>
        <s v="Pillsbury Milk Choco Spread Jar"/>
        <s v="Lotus Biscoff Original Spread"/>
        <s v="Lotus Biscoff Crunchy Spread"/>
        <s v="Dabur Honey"/>
        <s v="Dabur Honey Squeezy Pack"/>
        <s v="Patanjali Honey"/>
        <s v="Apis Himalaya Honey"/>
        <s v="Saffola Honey Glass Jar"/>
        <s v="Phondaghat Honey"/>
        <s v="24 Mantra Organic Wild Honey"/>
        <s v="Baidyanath Honey"/>
        <s v="Organic India Multi Floral Honey"/>
        <s v="Veeba Eggless Mayonnaise"/>
        <s v="Funfoods Veg Mayonnaise"/>
        <s v="Wingreens Premium Veg Mayo"/>
        <s v="Hellmann's Real Mayonnaise"/>
        <s v="Del Monte Eggless Mayo Pouch"/>
        <s v="Funfoods Veg Mayonnaise - Garlic"/>
        <s v="Funfoods Eggless Mayonnaise for Burger"/>
        <s v="Wingreens Italian Herb Mayo"/>
        <s v="Veeba Mint Mayonnaise"/>
        <s v="Veeba Eggless Garlic Mayonnaise"/>
        <s v="Veeba Chipotle Southwest Dressing"/>
        <s v="Veeba Thousand Island Dressing"/>
        <s v="Veeba Peri Peri Sauce"/>
        <s v="Funfoods Pizza Topping"/>
        <s v="Veeba Cheese &amp; Jalapeno Dip"/>
        <s v="Veeba Chilli Oregano Sauce"/>
        <s v="Veeba Thousand Island Sandwich Spread"/>
        <s v="American Garden U.S. Mustard Sauce"/>
        <s v="Wingreens Cheesy Chipotle Sauce Tube"/>
        <s v="St. Dalfour Wild Blueberry"/>
        <s v="St. Dalfour Four Fruits"/>
        <s v="St. Dalfour Strawberry"/>
        <s v="Dana Strawberry Jam"/>
        <s v="Maggi Masala Veg Atta Noodles"/>
        <s v="Sunfeast Yippee Noodles Magic Masala"/>
        <s v="Top Ramen Masala Noodles"/>
        <s v="Maggi Oats Masala Noodles"/>
        <s v="Top Ramen Curry Noodles"/>
        <s v="Maggi No Onion No Garlic Masala Noodles"/>
        <s v="Maggi Special Masala Noodles"/>
        <s v="Sunfeast Yippee Magic Masala Noodles"/>
        <s v="Ching's Schezwan Instant Noodles"/>
        <s v="Ching's Manchurian Instant Noodles"/>
        <s v="Saffola Oodles Yummy Masala"/>
        <s v="Ching's Hot Garlic Instant Noodles"/>
        <s v="Inchi Veg Chow Mein Noodles"/>
        <s v="Nongshim Shin Ramyun Korean Style Noodles"/>
        <s v="Nongshim Kimchi Ramyun Korean Style Noodles"/>
        <s v="Nongshim Shin Red Super Spicy Korean Style Noodles"/>
        <s v="Slurrp Farm Foxtail Millet Noodles"/>
        <s v="Slurrp Farm Little Millet Noodles"/>
        <s v="Maggi 2-Minute Masala Noodles"/>
        <s v="Ching's Veg Hakka Noodles"/>
        <s v="Inchi Veg Hakka Noodles"/>
        <s v="Borges Penne Rigate Durum Wheat Pasta"/>
        <s v="Borges Fusilli Durum Wheat Pasta"/>
        <s v="Maggi Pazzta Cheese Macaroni"/>
        <s v="Borges Spaghetti Durum Wheat Pasta"/>
        <s v="Blue Bird Penne Pasta"/>
        <s v="Maggi Pazzta Masala Penne"/>
        <s v="Blue Bird Elbow Macaroni Pasta"/>
        <s v="Homechef Macaroni Elbow Pasta"/>
        <s v="Borges Farfalle Durum Wheat Pasta"/>
        <s v="Blue Bird Fusilli Pasta"/>
        <s v="Sunfeast Yippee Masala Pasta"/>
        <s v="Sunfeast Yippee Pasta Cheese"/>
        <s v="Sunfeast Yippee Creamy Corn Tricolor Pasta"/>
        <s v="Barilla Spaghetti"/>
        <s v="Barilla Fusilli Pasta"/>
        <s v="Home Chef Pasta Macaroni Elbow"/>
        <s v="Barilla Penne Rigate"/>
        <s v="Borges Mini Penne Rigate Durum Wheat Pasta"/>
        <s v="Barilla Farfalle"/>
        <s v="Borges Mini Fusilli Durum Wheat Pasta"/>
        <s v="Pink Harvest Farms Chickpea Fusilli Pasta"/>
        <s v="Pink Harvest Farms Red Lentil Penne Pasta"/>
        <s v="MTR Vermicelli"/>
        <s v="Bambino Roasted Vermicelli"/>
        <s v="Home Chef Roasted Vermicelli"/>
        <s v="Premium Seviyan Roasted"/>
        <s v="Bambino Plain Vermicelli"/>
        <s v="Home Chef Vermicelli"/>
        <s v="Concord Rice Sevai"/>
        <s v="MTR Roasted Vermicelli"/>
        <s v="Royal Udad Papad"/>
        <s v="Royal Punjabi Masala Papad"/>
        <s v="Ganesh Bikaneri Special Moong Papad"/>
        <s v="Ganesh Chana Masala Papad"/>
        <s v="Mother's Recipe Potato Papad"/>
        <s v="Bikaneri Mahesh Papad"/>
        <s v="Ganesh Appalam Papad"/>
        <s v="Ganesh Punjabi Masala Papad"/>
        <s v="Ganesh Rice Crispie Jeera Papad"/>
        <s v="Garden Mini Bhakharwadi"/>
        <s v="Ganesh Mini Udad Papad"/>
        <s v="Jain Moong Sada Papad"/>
        <s v="Ganesh Udad Papad"/>
        <s v="Ganesh Garlic Papad"/>
        <s v="Jain DLS Chana Masala Papad"/>
        <s v="Ganesh Rice Crispie Garlic Papad"/>
        <s v="Ganesh Rice Crispie Green Chilli Papad"/>
        <s v="Sun Bulbul Fryums"/>
        <s v="Ganesh Rice Crispie Red Chilli Papad"/>
        <s v="Shiv Shakti's Tikha Potato Papad"/>
        <s v="Shiv Shakti's Bulbul Fryums"/>
        <s v="Shiv Shakti's Plain Potato Papad"/>
        <s v="Talod Dahiwada Mix"/>
        <s v="Gits Gulab Jamun Mix"/>
        <s v="MTR Rava Idli Mix"/>
        <s v="ID Idly &amp; Dosa Batter Mix"/>
        <s v="Chitale Bandhu Instant Gulab Jamun Mix"/>
        <s v="Chitale Instant Khaman Mix"/>
        <s v="Betty Crocker Complete Pancake Mix"/>
        <s v="Talod Nylon Khaman Mix Flour"/>
        <s v="Et-Mi Falooda Mix Rose Flavour"/>
        <s v="Gits Khaman Dhokla Mix"/>
        <s v="Agrawal's 420 Moong Bhajiya (Pakodi) Instant Mix"/>
        <s v="Talod Handwa Mix Flour"/>
        <s v="Jalani Mini Pani Puri Magic"/>
        <s v="MTR Multigrain Dosa Mix"/>
        <s v="Harnik Caramel Pudding Mix"/>
        <s v="MTR 3 Minute Breakfast Regular Poha"/>
        <s v="MTR Dosa Mix"/>
        <s v="MTR 3 Minute Breakfast Vegetable Upma"/>
        <s v="Chitale Gulabjam Mix"/>
        <s v="Chitale Khaman Mix"/>
        <s v="Aashirvaad Gulab Jamun Instant Mix"/>
        <s v="Pillsbury Vanilla Flavoured Custard Powder"/>
        <s v="Et-Mi Basundi Mix"/>
        <s v="Gits Basundi Mix"/>
        <s v="Blue Bird Custard Powder Vanilla"/>
        <s v="ID Malabar Parota"/>
        <s v="Weikfield Custard Powder Vanilla"/>
        <s v="Chitale Bandhu Gulabjam"/>
        <s v="Et-Mi Ice Cream Mix Kesar Pista Flavour"/>
        <s v="MTR Upma Mix"/>
        <s v="ID Homestyle Whole Wheat Paratha"/>
        <s v="MTR Gulab Jamun Ready Mix"/>
        <s v="Et-Mi Ice Cream Mix Vanilla Flavour"/>
        <s v="Pillsbury Choco Cooker Cake Mix"/>
        <s v="Pillsbury Rich Choco Oven Cake Mix Egg-Free"/>
        <s v="MTR Vada Mix"/>
        <s v="GoodDot Plant-Based Eggless Bhurji Kit : 100 gms"/>
        <s v="Blue Bird China Grass Kesar Pista"/>
        <s v="Blue Bird Active Dry Yeast"/>
        <s v="Betty Crocker Triple Choco Brownie Mix"/>
        <s v="GoodDot Plant-Based UnMutton"/>
        <s v="Gits Kesar Kulfi Mix"/>
        <s v="Christopher Cocoa Instant Active Dry Yeast"/>
        <s v="Talod Gota Mix Flour"/>
        <s v="Brown &amp; Polson Custard Powder - Vanilla"/>
        <s v="Gooddot Vegetarian Biryani"/>
        <s v="Gooddot Vegetarian Pulao"/>
        <s v="GoodDot Plant-Based Eggless Bhurji Kit"/>
        <s v="Satyam Rajgira Puff"/>
        <s v="Real Thai Green Curry Paste"/>
        <s v="Real Thai Red Curry Paste"/>
        <s v="Veeba Salsa Tomato Sauce"/>
        <s v="Heidi Dark Chocolate - Espresso"/>
        <s v="Heidi Dark Vegan Chocolate - Extreme 85%"/>
        <s v="Heidi Dark Vegan Chocolate - Cranberry"/>
        <s v="Heidi Dark Chocolote - Lemon &amp; Mint"/>
        <s v="Heidi Dark Chocolate - Orange"/>
        <s v="Heidi Dark Vegan Chocolate - Intense 75%  :"/>
        <s v="Karachi's Besan Mysore Pak"/>
        <s v="Natural's Bite Aam Papad Cubes"/>
        <s v="Chandan 4 In 1 Mix Mouth Freshener"/>
        <s v="Luvit Chocorich Eclairs Party Pack"/>
        <s v="Phondaghat Amla Candy"/>
        <s v="Gula Gula Orange Candy"/>
        <s v="Parle Grand Londonderry Caramelised Milk Candy"/>
        <s v="Natural's Gulkand Shahi Paan"/>
        <s v="Natural's Bite Honey Amla"/>
        <s v="Jelly Mazza Fruity Pops Orange"/>
        <s v="Jelly Mazza Fruity Strawberry Chews"/>
        <s v="Parle Kismi Toffee"/>
        <s v="Jelly Mazza Fruity Pops Grape"/>
        <s v="Chandan Anardana Punch"/>
        <s v="Natural's Bite Meetha Amla"/>
        <s v="Gula Gula Lemon Candy"/>
        <s v="Natural's Bite Meethi Imli"/>
        <s v="Skittles Original Candies"/>
        <s v="Jelly Mazza Guava Fruity Chews"/>
        <s v="Gula Gula Kaccha Mango Flavour"/>
        <s v="Frumato Pulpy Fruit Chew Strawberry"/>
        <s v="Orbit Spearmint Sugar Free Chewing Gum"/>
        <s v="Chandan Mango Tango"/>
        <s v="Chandan Jamun Vati"/>
        <s v="Alpenliebe Eclairs Choco Caramel Pouch"/>
        <s v="Wrigley's Orbit Mixed Fruit Sugar Free Chewing Gum"/>
        <s v="Skittles Wild Berry Candies"/>
        <s v="Chandan Grape Tangy"/>
        <s v="Natural's Bite Mint Variyali"/>
        <s v="Kopiko Cappuccino Coffee Candies"/>
        <s v="Wrigley's Double Pepper Mints"/>
        <s v="Wrigley's Double Lemon Mints"/>
        <s v="Tic Tac Mint"/>
        <s v="Tic Tac Apple Treat"/>
        <s v="Tic Tac Orange Flavoured"/>
        <s v="Tic Tac Saunf Flavour"/>
        <s v="Orbit Raw Mango Flavour Sugar Free Chewing Gum Tube"/>
        <s v="Haldiram's Soan Papdi"/>
        <s v="Haldiram's Rasgulla"/>
        <s v="Haldiram's Gulab Jamun"/>
        <s v="Bikaji Rasgulla Gol-Matol"/>
        <s v="Bikaji Gulab Jamun Gol-M-Gol"/>
        <s v="Royal Gulab Jamun"/>
        <s v="Lal Dharwad Peda"/>
        <s v="Shri Ram Soan Papdi"/>
        <s v="Lal Premium Mysore Pak"/>
        <s v="Haldiram's Besan Ladoo"/>
        <s v="Amul Kaju Katri"/>
        <s v="Bikaneri Madhuras Rasgulla"/>
        <s v="Royal Rasgulla"/>
        <s v="Lal Besan Laddoo"/>
        <s v="Phondaghat Pravalyukta Gulkand"/>
        <s v="Bikaji Manbhavan Soan Papdi"/>
        <s v="Crave Eatables Bachubhai's Soan Papdi"/>
        <s v="Crave Eatables Bachubhai's Rasgulla"/>
        <s v="Crave Eatables Bachubhai's Besan Laddu"/>
        <s v="Haldiram's Badam Halwa"/>
        <s v="Lal Shahi Mysore Pak"/>
        <s v="Amul Kesar Peda"/>
        <s v="Sun Shengh Chikki"/>
        <s v="Madhuras Soan Papdi"/>
        <s v="Lal Bombay Halwa"/>
        <s v="Amul Malai Peda"/>
        <s v="Divya Gulkand"/>
        <s v="Vaidehi Premium Dink Ladoo"/>
        <s v="Crave Eatables Bachubhai's Gulab Jamun"/>
        <s v="Amul Milk Cake"/>
        <s v="Vaidehi Premium Ragi Ladoo"/>
        <s v="Vaidehi Premium Multi Grain Ladoo"/>
        <s v="Ghasitaram's Rasmalai Tin"/>
        <s v="Vaidehi Premium Rava Besan Ladoo"/>
        <s v="Vaidehi Premium Methi Ladoo"/>
        <s v="Vaidehi Premium Moong Ladoo"/>
        <s v="Vaidehi Premium Besan Ladoo"/>
        <s v="Ghasitaram's Rassogulla With Natural Sweetener Tin"/>
        <s v="Madhur Bikaneri Rasgulla"/>
        <s v="Kokan Gem Kaju Modak - 21 Pieces"/>
        <s v="Kokan Gem Hapus Amba Modak - 21 Pieces"/>
        <s v="Chitale Kaju Katli"/>
        <s v="Bedekar Tasty Foods Moog Dal Halwa"/>
        <s v="Bedekar Besan Ladu"/>
        <s v="Pravin Mango Pickle"/>
        <s v="Mother's Recipe Mango Pickle - Jar"/>
        <s v="Pravin Mango Pickle - Pouch"/>
        <s v="Shree Siddhivinayak Mango Pickle"/>
        <s v="Bedekar Mango Pickle"/>
        <s v="Shree Siddhivinayak Sweet Mango Pickle"/>
        <s v="Mother's Recipe Mango Pickle - Pouch"/>
        <s v="Kubal Mango Pickle Pouch"/>
        <s v="Shree Siddhivinayak Sweet Lime Pickle"/>
        <s v="Shree Siddhivinayak Lime Pickle"/>
        <s v="Bedekar Lime Pickle (Sweet)"/>
        <s v="Bedekar Lime Pickle"/>
        <s v="Mother's Recipe Mixed Pickle Jar"/>
        <s v="Pravin Mixed Pickle"/>
        <s v="Bedekar Mixed Pickle"/>
        <s v="Mother's Recipe Mixed Pickle Pouch"/>
        <s v="Shree Siddhivinayak Mixed Pickle"/>
        <s v="Kubal Mix Pickle Pouch"/>
        <s v="Pravin Green Chilli Pickle - Pouch"/>
        <s v="Shree Siddhivinayak Chilly Pickle"/>
        <s v="Bedekar Green Chilli Pickle"/>
        <s v="Jain DLS Marwadi Mirchi Red Pickle"/>
        <s v="Jain DLS Marwadi Mirchi Green Pickle"/>
        <s v="Inchi Schezwan Chutney"/>
        <s v="Nasle Shenga (Groundnut) Chutney"/>
        <s v="Bedekar Garlic Chutney"/>
        <s v="Vaidehi Lasun Chutney"/>
        <s v="Bedekar Groundnut (Singdana) Chutney"/>
        <s v="Mother's Recipe Gujarati Choondo Pickle"/>
        <s v="Jain DLS Ker Sangri Pickle"/>
        <s v="Jain Ker Ka Achar"/>
        <s v="Mother's Recipe Gujarati Gorkeri Pickle"/>
        <s v="Sugar Free Gold Pellets"/>
        <s v="Dabur Chyawanprash Awaleha"/>
        <s v="Sugar Free Gold Powder"/>
        <s v="Sugar Free Natura Pellets"/>
        <s v="Hamdard Roghan Badam Shirin Sweet Almond Oil"/>
        <s v="Patanjali Saffron Chyawanprash"/>
        <s v="RiteBite Max Protein Daily Choco Almond Bar"/>
        <s v="Horlicks Chocolate Delight Flavour"/>
        <s v="Dabur Chyawanprakash Sugarfree"/>
        <s v="RiteBite Max Protein Daily Choco Berry Bar"/>
        <s v="Sugar Free Natura Powder"/>
        <s v="RiteBite Max Protein Daily Choco Classic Bar"/>
        <s v="Saffola Immuniveda Chyawanprash"/>
        <s v="Sugar Free Natura Diet Sugar"/>
        <s v="Baidyanath Sugarfree Chyawan-Fit"/>
        <s v="Hamdard Safi Natural Blood Purifier"/>
        <s v="Sugar Free Green Stevia Powder"/>
        <s v="Baidyanath Chyawanprash Special"/>
        <s v="Sugar Free Natura Sweet Drops"/>
        <s v="RiteBite Sports Snack Bar"/>
        <s v="RiteBite Peanut Butter Snack Bar"/>
        <s v="Sugar Free Gold Sachets"/>
        <s v="Nutrivalue Stevia Leaves - Natural Sweetener"/>
        <s v="Baidyanath Kesari Kalp"/>
        <s v="Baidyanath Shankha Pushpi Syrup"/>
        <s v="Organic India Chyawanprash"/>
        <s v="Bean To Bark Milk Chocolate - Granola Munch"/>
        <s v="Bean To Bark Dark Chocolate - Quinoa Crackle"/>
        <s v="Dhootapapeshwar Shatavari Kalpa Granules"/>
        <s v="Dhootapapeshwar Shilapravang Special Tablet"/>
        <s v="Dhootapapeshwar Swamala Chywanprash"/>
        <s v="Dhootapapeshwar Shatavari Kalpa Granules - Elaichi"/>
        <s v="Knorr Thick Tomato Soup"/>
        <s v="Knorr Corn Veg Soup"/>
        <s v="Knorr Instant Tomato Chatpata Cup A Soup"/>
        <s v="Knorr Manchow Veg Cup-A-Soup"/>
        <s v="Knorr Hot &amp; Sour Veg Soup"/>
        <s v="Knorr Mixed Vegetable Soup"/>
        <s v="Knorr Hot &amp; Sour Veg Cup-A-Soup"/>
        <s v="Ching's Manchow Instant Soup"/>
        <s v="Knorr Sweet Corn Chicken Soup"/>
        <s v="Knorr Sweet Corn Veg Cup-A-Soup"/>
        <s v="Knorr International Shanghai Hot &amp; Sour Chicken Soup"/>
        <s v="Knorr International Hong Kong Manchow Noodle Soup"/>
        <s v="Ching's Hot &amp; Sour Instant Soup"/>
        <s v="Knorr Mixed Vegetable Cup-A-Soup"/>
        <s v="Knorr International Mexican Tomato Corn Soup"/>
        <s v="Ching's Mix Veg Instant Soup"/>
        <s v="Ching's Sweet Corn Veg Instant Soup"/>
        <s v="Chandan Shehanshahi Paan Mix"/>
        <s v="Chandan Super Green Mix"/>
        <s v="Chandan Regal Rose Mix"/>
        <s v="Chandan Parampara Paan Mix"/>
        <s v="Satyam Mukhwas Seven Seeds"/>
        <s v="Chandan Jeera Goli"/>
        <s v="Et-mi Saunf Mukhwas"/>
        <s v="Chandan Elaichi Fennel Mix"/>
        <s v="Chandan Coated Fennel Mix"/>
        <s v="Chandan Fresh Minty Mix"/>
        <s v="Nature's Treat Omega Natural Mix"/>
        <s v="Chandan Chatpat Awla"/>
        <s v="Chandan Natkhat Imli"/>
        <s v="Fisherman's Friend Mint Flavour Lozenges"/>
        <s v="Fresh Watermelon (Tarbooj)"/>
        <s v="Fresh Pomegranate (Anar)"/>
        <s v="Apple Royal Gala (Seb)"/>
        <s v="Fresh Pear (Nashpati)"/>
        <s v="Fresh Muskmelon (Kharbooja)"/>
        <s v="Fresh Banana (Kela) Elaichi"/>
        <s v="Fresh Orange (Santra) Imported"/>
        <s v="Apple Red Delicious"/>
        <s v="Fresh Kiwi"/>
        <s v="Fresh Papaya (Papita)"/>
        <s v="Fresh Apple Green"/>
        <s v="Fresh Raw Mango"/>
        <s v="Fresh Sweet Lime (Mosambi)"/>
        <s v="Fresh Dragon Fruit (Pitaya)"/>
        <s v="Fresh Guava (Peru)"/>
        <s v="Fresh Indian Gooseberry (Amla)"/>
        <s v="Sweet Tamarind (Thailand)"/>
        <s v="Fresh Apple (Seb) Washington"/>
        <s v="Fresh Sapota (Chikku)"/>
        <s v="Robusta Banana (Kela)"/>
        <s v="Raw Banana (Kela) Madras"/>
        <s v="Fresh Pear - Indian"/>
        <s v="Apple Shimla (Seb)"/>
        <s v="Plum Indian"/>
        <s v="Fresh Onion (Pyaaj)"/>
        <s v="Fresh Potato (Aloo)"/>
        <s v="Coconut"/>
        <s v="Garlic (Lahsun)"/>
        <s v="Fresh Tomato (Tamaatar)"/>
        <s v="Fresh Lemon (Nimboo)"/>
        <s v="Ginger (Adrak)"/>
        <s v="Fresh Button Mushrooms"/>
        <s v="Tender Coconut"/>
        <s v="Fresh Cucumber White (Safed Kakdi)"/>
        <s v="Fresh Lady Finger (Bhendi)"/>
        <s v="Cauliflower (Ful Gobi)"/>
        <s v="Fresh Capsicum Green (Shimla Mirch)"/>
        <s v="Fresh English Carrot (Gajar)"/>
        <s v="Sweet Potato (Ratala)"/>
        <s v="Fresh Groundnut (Mungfali)"/>
        <s v="Malgudi Garlic Peeled"/>
        <s v="Sambhar Onion (Madras Onion)"/>
        <s v="Fresh Avocado"/>
        <s v="Fresh Green Chilli (Mirchi)"/>
        <s v="Bottle Gourd (Dudhi)"/>
        <s v="Fresh Green Cucumber (Kakdi)"/>
        <s v="Fresh Brinjal (Bharta Baingan)"/>
        <s v="Fresh Beetroot (Chukandar)"/>
        <s v="Cabbage (Patta Gobi)"/>
        <s v="Fresh Sweet Corn"/>
        <s v="Drumsticks (Shevgyacha Shenga)"/>
        <s v="Fresh Capsicum Red &amp; Yellow"/>
        <s v="Fresh Baby Potato (Dum Aloo)"/>
        <s v="Fresh Elephant Foot Yam (Suran)"/>
        <s v="Fresh Baby Corn"/>
        <s v="Bitter Gourd (Karela)"/>
        <s v="Fresh Colocasia (Arbi)"/>
        <s v="French Beans (Faliya)"/>
        <s v="Fresh Brinjal Round (Kateri Wangi)"/>
        <s v="Fresh Sponge Gourd (Ghosale)"/>
        <s v="Fresh Disco Pumpkin (Kaddu/Bhopla)"/>
        <s v="Fresh Brinjal Small"/>
        <s v="Fresh Cluster Beans (Gavar)"/>
        <s v="Fresh Sprouts Mixed Gram"/>
        <s v="Zucchini Green"/>
        <s v="Malgudi Fried Rice/Noodles Mix"/>
        <s v="Fresh Lemon Grass"/>
        <s v="Fresh Cabbage - Red"/>
        <s v="Broad Beans (Papadi)"/>
        <s v="Zucchini Yellow"/>
        <s v="Malgudi Sambar Mix"/>
        <s v="Malgudi Coconut Chutney"/>
        <s v="Malgudi Sugarcane Cubes"/>
        <s v="Malgudi Thai Curry Mix Vegetables"/>
        <s v="Malgudi Biryani/Pulav Mix"/>
        <s v="Fresh Sprouts Moong Green"/>
        <s v="Surf Excel Easy Wash Detergent Powder"/>
        <s v="Tide Plus Detergent Powder Jasmine &amp; Rose"/>
        <s v="Ariel Matic Top Load Detergent Washing Powder"/>
        <s v="Rin Advanced Detergent Powder"/>
        <s v="Star Bright Detergent Powder"/>
        <s v="Surf Excel Matic Front Load Detergent Powder"/>
        <s v="Surf Excel Matic Top Load Detergent Powder"/>
        <s v="Ariel Matic Front Load Detergent Washing Powder"/>
        <s v="Tide Plus Detergent Powder - Lemon &amp; Mint"/>
        <s v="Ariel Complete Detergent Powder"/>
        <s v="Wheel Green Lemon &amp; Jasmine Detergent Powder"/>
        <s v="Surf Excel Quick Wash Detergent Powder"/>
        <s v="Ghadi Detergent Powder"/>
        <s v="Rin Refresh Lemon &amp; Rose Detergent Powder"/>
        <s v="Wheel Active Blue Powder"/>
        <s v="More Light Detergent Powder"/>
        <s v="Tide Naturals Detergent Powder Lemon &amp; Chandan"/>
        <s v="Vanish Oxi Action Fabric Powder"/>
        <s v="Wipro Safewash Top Load Liquid Detergent Pouch"/>
        <s v="Mr. White Detergent Powder"/>
        <s v="Henko Stain Champion Oxygen Power Washing Powder"/>
        <s v="Wipro Safewash Front Load Liquid Detergent Pouch"/>
        <s v="Ariel Colour Care Detergent"/>
        <s v="Henko Matic Lintelligent Front Load Detergent Washing Powder"/>
        <s v="Henko Matic Lintelligent Top Load Powder"/>
        <s v="Rin Detergent Bar"/>
        <s v="Surf Excel Detergent Bar"/>
        <s v="Star Light Detergent Bar"/>
        <s v="Tide Detergent Bar"/>
        <s v="Sunlight Detergent Bar"/>
        <s v="Dhanthak's BB Soap"/>
        <s v="Ghadi Detergent Cake"/>
        <s v="Surf Excel Top Load Matic Liquid"/>
        <s v="Surf Excel Matic Liquid Detergent Front Load Pouch"/>
        <s v="Comfort After Wash Fabric Conditioner - Lily Fresh"/>
        <s v="Comfort After Wash Lily Fresh Fabric Conditioner Pouch"/>
        <s v="Rin Ala Fabric Whitener"/>
        <s v="Star Light Fabric Whitener"/>
        <s v="Ariel Matic Top Load Liquid Detergent Refill: 2 Litres"/>
        <s v="Ariel Matic Front Load Liquid Detergent Refill: 2 Litres"/>
        <s v="Genteel Liquid Detergent"/>
        <s v="Comfort After Wash Anti Bacterial Fabric Conditioner"/>
        <s v="Vanish Liquid Stain Remover"/>
        <s v="Ariel Matic Front Load Liquid Detergent"/>
        <s v="Ariel Matic Top Load Liquid Detergent"/>
        <s v="Godrej Ezee Liquid Detergent Bottle + Refill"/>
        <s v="Ujala Supreme Fabric Whitener"/>
        <s v="Revive Liquid Stiffener"/>
        <s v="Sof N Fluffy Fabric Conditioner"/>
        <s v="Wipro Softouch 2x French Perfume Fabric Conditioner"/>
        <s v="Wipro Softouch 2X Royal Perfume Fabric Conditioner"/>
        <s v="Wipro Softouch Fabric Conditioner Ocean Breeze"/>
        <s v="Wipro Softouch Fabric Conditioner Garden Bouquet"/>
        <s v="Lizol Disinfectant Surface Cleaner - Citrus"/>
        <s v="Sparkle Disinfectant Floor Cleaner - Citrus"/>
        <s v="Sunny Premium Green Cleaner"/>
        <s v="Phenox Strong Disinfectant Cleaner"/>
        <s v="Lizol Disinfectant Surface Cleaner - Floral"/>
        <s v="Dettol Antiseptic Liquid"/>
        <s v="Lizol Disinfectant Surface Cleaner - Lavender"/>
        <s v="Colin Glass Cleaner Pump"/>
        <s v="Domex Disinfectant Floor Cleaner"/>
        <s v="Harpic Bathroom Cleaner - Floral"/>
        <s v="Kli-Nol Premium Floor Cleaner"/>
        <s v="Glito 3 In 1 Perfumed Floor-Surface-Dish Cleaner"/>
        <s v="Glito Lime Perfumed Floor Cleaner"/>
        <s v="Sparkle Disinfectant Floor Cleaner - Floral"/>
        <s v="Sparkle Disinfectant Floor Cleaner - Lavender"/>
        <s v="Glito Lavender Perfumed Floor Cleaner"/>
        <s v="Glito Jasmine Bliss Perfumed Cleaner"/>
        <s v="Wipro Max Kleen Floral Bliss Disinfectant Floor Cleaner"/>
        <s v="Wipro Max Kleen Citrus Joy Disinfectant Floor Cleaner"/>
        <s v="Wipro Maxkleen Disinfectant Floor Cleaner - Floral Bliss"/>
        <s v="Wipro Maxkleen Disinfectant Floor Cleaner - Citrus Joy"/>
        <s v="Nimyle Herbal Anti-Bacterial Floor Cleaner"/>
        <s v="Nimyle Lemongrass Anti-Bacterial Floor Cleaner"/>
        <s v="Harpic Power Plus Toilet Cleaner - Original"/>
        <s v="Harpic Bathroom Cleaner - Lemon"/>
        <s v="Force 10 Bathroom Cleaner"/>
        <s v="Force 10 Power Max Toilet Cleaner"/>
        <s v="Harpic Floral Bathroom Cleaner"/>
        <s v="Harpic Flushmatic Toilet Cleaner Marine"/>
        <s v="Glito Super Thick  Toilet Cleaner"/>
        <s v="Sani Fresh Toilet Cleaner"/>
        <s v="Harpic Hygienic Toilet Rim Block - Lavender"/>
        <s v="Harpic Hygienic Toilet Citrus Rim Block"/>
        <s v="Harpic Hygienic Toilet Rim Block - Jasmine"/>
        <s v="Harpic Floral Delight Toilet Rim Block"/>
        <s v="Harpic Marine Splash Toilet Rim Block"/>
        <s v="Domex Disinfectant Toilet Cleaner - Lime Fresh Guard"/>
        <s v="Domex Disinfectant Toilet Cleaner - Ocean Fresh Guard"/>
        <s v="Dettol Disinfectant Spray - Original Pine"/>
        <s v="Pitambari Shining Powder"/>
        <s v="Pitambari Rooperi Silver Shine"/>
        <s v="Mr. Muscle Kiwi Dranex Drain Cleaner"/>
        <s v="Drenfix Drain Cleaner"/>
        <s v="CIF Creams Cleaner Lemon"/>
        <s v="Sparkle Disinfectant Glass Cleaner Refill"/>
        <s v="Glito Glass Cleaner"/>
        <s v="CIF Sprays Cleaner Oven &amp; Grill"/>
        <s v="CIF Creams Cleaner Original"/>
        <s v="Sparkle Disinfectant Glass Cleaner"/>
        <s v="CIF Sprays Cleaner LimeScale"/>
        <s v="Cif Multipurpose Cream Cleaner Pink Flower"/>
        <s v="Chamak Dhamak Shining Powder"/>
        <s v="CIF Sprays Cleaner Stainless Steel"/>
        <s v="Pidilite WD-40 Multiple Maintenance Spray"/>
        <s v="Vim Dishwash Bar"/>
        <s v="Reflect Lemon Power Dishwash Round Bar"/>
        <s v="Vim Dishwash Liquid Gel - Lemon"/>
        <s v="Reflect Super Lemon Power Concentrated Gel"/>
        <s v="Vim Dishwash Liquid Gel Can - Lemon"/>
        <s v="Exo Ant Bacterial Round Dish Wash Bar"/>
        <s v="Vim Dishwash Bar Anti Smell With Pudina"/>
        <s v="Reflect Dishwash Liquid Bottle"/>
        <s v="Reflect Jugmug Metal Shining Powder"/>
        <s v="Pril Lime Liquid"/>
        <s v="Vim Anti Bac With Neem Dishwash Bar"/>
        <s v="Patanjali Super Dishwash Bar"/>
        <s v="Giffy Lemon &amp; Active Salt Dish Wash Gel"/>
        <s v="Gala Kitchen Sponge Wipe"/>
        <s v="Pril Dishwash Bar"/>
        <s v="Scotch Brite Steel Scrubber"/>
        <s v="Gala Super Scrub"/>
        <s v="Glito Liquid Dish Wash Lemon Frgn"/>
        <s v="Pril Perfect Tamarind Dishwash Liquid"/>
        <s v="Finish Dishwasher Powerball Super Charged"/>
        <s v="Giffy Concentrated Dish Wash Gel"/>
        <s v="Hit For Hidden Cockroaches"/>
        <s v="Hit Spray Mosquitoes and Flies"/>
        <s v="Good Knight Power Activ + Refill"/>
        <s v="Good knight Gold Flash Twin Pack"/>
        <s v="Odonil Air Freshener Multi Piece Pack"/>
        <s v="Hit Spray Flying Insect Killer - Lime Fragrance"/>
        <s v="Hit Anti-Roach Gel"/>
        <s v="All Out Ultra Day &amp; Night Protection - Refill"/>
        <s v="Mangalam Campure Camphor Cone - Original"/>
        <s v="Godrej Aer Bathroom Fragrance Berry Rush Pocket"/>
        <s v="Good knight Gold Flash Liquid Vapouriser Lavender"/>
        <s v="Good Knight Gold Flash (1 Machine + 2 Refills x 45 ml)"/>
        <s v="D Homes Rechargeable Mosquito Racket With Torch"/>
        <s v="Godrej Aer Bathroom Fragrance Sea Breeze Pocket"/>
        <s v="Rechargeable Mosquito Racket"/>
        <s v="Godrej Aer Bathroom Fragrance Fresh Blossom Pocket"/>
        <s v="Godrej Aer Spray - Cool Surf Blue"/>
        <s v="Godrej Aer Morning Spray"/>
        <s v="Nippo Rechargeable Mosquito Bat"/>
        <s v="Godrej HIT Anti Mosquito Racquet"/>
        <s v="Everfresh Round Sanicubes Air Freshener"/>
        <s v="Meadows Air Freshener Citrus Fresh"/>
        <s v="Odonil Blissful Citrus Air Freshener Zipper"/>
        <s v="Godrej Aer Bathroom Fragrance Lavender Bloom Pocket"/>
        <s v="Winall Naphthalene Balls"/>
        <s v="Everfresh Napthalene Balls"/>
        <s v="Odonil Lavender Mist Room Freshener"/>
        <s v="Odonil Joyful Lavender Air Freshener Zipper"/>
        <s v="Mangalam Campure Camphor Cone - Sandalwood"/>
        <s v="Good knight Gold Flash"/>
        <s v="Meadows Air Freshener Jasmine Glow"/>
        <s v="All Out 1 Machine + 2 Refills"/>
        <s v="Ambi Pur Lavender Bouquet Air Freshener Spray"/>
        <s v="Mortein 2 In 1 Insect Killer"/>
        <s v="Odonil Soulful Jasmine Air Freshener"/>
        <s v="Godrej Aer Bathroom Fragrance Pocket"/>
        <s v="Godrej Aer Twist Cool Car Fragrance"/>
        <s v="Mangalam Campure Camphor Cone - Lavender"/>
        <s v="Mangalam Campure Camphor Cone - Jasmine"/>
        <s v="Good Knight Gold Flash Machine &amp; Refill"/>
        <s v="Godrej Aer Power Pocket Floral Delight"/>
        <s v="Godrej Aer Relax Aroma Effects Spray"/>
        <s v="Winall Premium Sanicubes"/>
        <s v="Mangalam Campure Camphor Cone - Rose"/>
        <s v="Khatnil"/>
        <s v="Odonil Jasmine Room Freshener"/>
        <s v="Winall French Lavender Air Freshener"/>
        <s v="Godrej Aer Alive Aroma Effects Spray"/>
        <s v="Odomos Naturals Non-Sticky Mosquito Repellent Cream"/>
        <s v="Meadows Air Freshener Lavender Blossom"/>
        <s v="Good Knight Fabric Roll On"/>
        <s v="Odonil Scintillating Rose Zipper"/>
        <s v="Godrej Aer Passion Aroma Effects Spray"/>
        <s v="Mangalam Campure Camphor Cone - Bhimseni"/>
        <s v="Winall Jasmine Bliss Air Freshener"/>
        <s v="Ambi Pur Sweet Berries Air Freshener Spray"/>
        <s v="Good knight Gold Flash Liquid Vapouriser Lavender (Machine 1U+Refill 45ml)"/>
        <s v="Winall Bouquet Fresh Air Freshener"/>
        <s v="Meadows Air Freshener Rose Wonder"/>
        <s v="Winall Exotic Rose Air Freshener"/>
        <s v="Meadows Rose Wonder Air Freshener"/>
        <s v="Absorbia Moisture Absorber Charcoal"/>
        <s v="Original Laxmanrekhaa Chalks"/>
        <s v="Lovin Luxury Air Freshener Lemon"/>
        <s v="Lovin Air Freshener SandalLovin Luxury Air Freshener Sandalwood"/>
        <s v="Godrej Aer Matic Automatic Air Freshener - Violet Valley Bloom"/>
        <s v="Good Knight Fabric Roll-On Mosquito Repellent Mild Bloom"/>
        <s v="Ambi Pur Room Fresh Gel - Love Bouquet"/>
        <s v="Ambi Pur Room Fresh Gel - Relax &amp; Unwind"/>
        <s v="Mortein Cockroach Killer Spray"/>
        <s v="Mortein Mosquito Killer Spray"/>
        <s v="Cortina 3 Seater Jacquard Sofa Cover (185-230 cm) Brown"/>
        <s v="Cortina 3 Seater Jacquard Sofa Cover (185-230 cm) Navy Blue"/>
        <s v="MHF Sofa Slip Cover Cloud Coffee - Coffee"/>
        <s v="MHF Sofa Slip Cover Cloud Aqua - Aqua"/>
        <s v="MHF Sofa Slip Cover Jazz 06 - Gold Maroon"/>
        <s v="MHF Sofa Slip Cover Knitted Net Fabric Denver 02 - Silver"/>
        <s v="MHF Sofa Slip Cover Knitted Net Fabric Cotton Embose 14 - Beige"/>
        <s v="MHF Sofa Slip Cover Cloud Navy Blue - Navy Blue"/>
        <s v="MHF Sofa Slip Cover Knitted Net Fabric Pile Border 01 - Multicolour"/>
        <s v="Cortina 1 Seater Jacquard Sofa Cover (90-145 cm) Navy Blue"/>
        <s v="MHF Sofa Slip Cover Knitted Net Fabric Cotton Embose 11 - Beige"/>
        <s v="Cortina 2 Seater Jacquard Sofa Cover (145-185 cm) Beige"/>
        <s v="Cortina 2 Seater Jacquard Sofa Cover (145-185 cm) Brown"/>
        <s v="MHF Sofa Slip Cover Knitted Net Fabric Galaxy 05 - White"/>
        <s v="Cortina Elastic Chair Cover - Jacquard"/>
        <s v="Chair Cushion Pad"/>
        <s v="Nilkamal Route Folding Storage Ottoman"/>
        <s v="Nilkamal Church Folding Storage Ottoman"/>
        <s v="Shares Vireo Silver Look Wall Clock"/>
        <s v="Shades Vireo Mandala Wall Clock"/>
        <s v="Shades Vireo Abstract Wall Clock"/>
        <s v="Shades Vireo Wooden Tiles Wall Clock"/>
        <s v="Shares Vireo White Rabbit Wall Clock"/>
        <s v="Shades Wooden Step Wall Clock"/>
        <s v="Shades Track Wall Clock - Yellow"/>
        <s v="Shades Wall Clock - Grey &amp; Black"/>
        <s v="Shades Blue Shine Wall Clock"/>
        <s v="Shades Roman Bearing Wall Clock"/>
        <s v="Shades Number Bearing Wall Clock"/>
        <s v="Shades Pink Parrot Mukut Table Runner - 30x182 cm"/>
        <s v="Nilkamal Freedom Mini Shoe Cabinet"/>
        <s v="Dettol Disinfectant Multi-Use Hygiene Liquid"/>
        <s v="Savlon Surface Disinfectant Spray"/>
        <s v="Dettol Disinfectant Spray Spring Blossom"/>
        <s v="Philips UV-C Disinfection System"/>
        <s v="Asahi Kasei Premium Cling Film Wrap"/>
        <s v="Asahi Kasei Aluminium Frying Pan Foil"/>
        <s v="Asahi Kasei Zipper Bag Large - 27x28 cm"/>
        <s v="Asahi Kasei Cooking Sheet Baking Paper"/>
        <s v="Hindalco Freshwrapp Aluminium Foil"/>
        <s v="Hindalco Superwrap Standard Aluminium Foil"/>
        <s v="Asahi Kasei Zipper Bag Medium - 18x20 cm"/>
        <s v="CleanPlus Face Tissues"/>
        <s v="Origami So Soft Face Tissue"/>
        <s v="Premier Face Tissue Pack"/>
        <s v="Origami So Soft Aloe Vera Wet Wipes"/>
        <s v="Fresh Ones Soft &amp; Silky Facial Tissues"/>
        <s v="Origami So Soft Wet Wipes Rose"/>
        <s v="Unigreen Compostable Green Garbage Bag 19X21 Inches"/>
        <s v="Compostable Blue Garbage Bag - 19x21 cms"/>
        <s v="Earthmate Compostable Garbage Bag 25x30 Inches"/>
        <s v="Clean Plus Kitchen Roll 60 Pulls"/>
        <s v="Origami So Soft Godya 2-In-1 Kitchen Tissue Towel"/>
        <s v="Premier Kitchen Towel"/>
        <s v="Cleanplus Party Tissues"/>
        <s v="Taina Cocktail Napkins"/>
        <s v="Jackson Party Tissue Papers"/>
        <s v="Royal Cutie Tissue"/>
        <s v="Bio Compostable Green Garbage Bag - 19X21 Inches"/>
        <s v="Origami So Soft 2 Ply Tissues"/>
        <s v="Origami So Soft 1 Ply Plain Napkins (Tissue)"/>
        <s v="Premier Toilet 2 Ply Tissue Roll"/>
        <s v="Origami So Soft 3 Ply Tissue Rolls"/>
        <s v="Taina Eco-Friendly 2 Ply Toilet Roll"/>
        <s v="CleanPlus Toilet Rolls"/>
        <s v="Jackson Toilet Rolls"/>
        <s v="Japa Denim Kitchen Apron - A2-717"/>
        <s v="Japa Denim Kitchen Apron - A3-718"/>
        <s v="Japa Denim Kitchen Apron - A4-719"/>
        <s v="Scotch-Brite Scrub Net Sponge"/>
        <s v="Naag Brand 505 Grass Broom"/>
        <s v="Gala No-Dust Plastic Broom"/>
        <s v="Gala Kingkong Grass Broom"/>
        <s v="Gala Chandra Kharata Broom"/>
        <s v="Gala No Dust Broom XL"/>
        <s v="Scotch Brite No Dust Broom"/>
        <s v="Spotzero Zero Dust Broom XL"/>
        <s v="Gala Dust Pan - Medium"/>
        <s v="Gala Laxmi Grass Broom"/>
        <s v="Gala Extendable No Dust Broom 2 in 1"/>
        <s v="Gala Modular No Dust Broom"/>
        <s v="Joyo Square Pedal Dust-Bin"/>
        <s v="Dustpan And Brush With Handle"/>
        <s v="Beezy 2 In 1 Soap Dispenser With Sponge Holder"/>
        <s v="Scotch Brite Scrub Sponge Large"/>
        <s v="Scotch Brite Spone Wipe Saver"/>
        <s v="Scotch Brite Stainless Steel Scrubber + Scrub Pad Combo"/>
        <s v="Gala Swash Stain Steel Scourer - 1 Pc"/>
        <s v="Gala Double Hockey Brush"/>
        <s v="Scotch Brite Silver Spark Scrub Pads"/>
        <s v="Champion 2 In 1 Soap Dispenser With Sponge Holder"/>
        <s v="Scotch Brite Scrub Pad"/>
        <s v="Gala Double Hockey Antibacterial Toilet Brush"/>
        <s v="Gala Cloth Brush"/>
        <s v="Scotch-Brite Jet Scrubber"/>
        <s v="Gala Scrub Pad"/>
        <s v="Gala Toilex Square Brush with Square Container"/>
        <s v="Reflect Sponge Wipe"/>
        <s v="Scotch-Brite Scrub Sponge 10 cm X 6 cm"/>
        <s v="Scotch Brite Power Scrub"/>
        <s v="Scotch Brite Double Side Toilet Brush"/>
        <s v="Gala Stylo Sink Brush"/>
        <s v="Gala Toilean Toilet Brush"/>
        <s v="Gala Toilet &amp; Kitchen Plunger Medium"/>
        <s v="Gala Iron Bull Scrub Pad"/>
        <s v="Force 10 Handle Scrubber"/>
        <s v="Lock &amp; Lock Water Bottle Cleaning Brush - ETM113 (Green)"/>
        <s v="Gala Chandra Gold Plastic Cloth Brush"/>
        <s v="Gala Scrub Sponge Utensil Cleaner"/>
        <s v="Scotch Brite Premium Toilet Brush"/>
        <s v="Scotch Brite Antibacterial Scrub Pad"/>
        <s v="Scotch Brite Sponge Wipes - 17.5 cm x 15 cm"/>
        <s v="Gala Microfiber Cleaning Cloth"/>
        <s v="Kitchen Napkin Pink 240 GSM - 45x45 cm"/>
        <s v="Scotch Brite Sponge Wipe"/>
        <s v="MST Big Floor Duster"/>
        <s v="Gala Sponge Wipe Set"/>
        <s v="Scotch-Brite Sponge Wipe 20 cm X 17.5 cm"/>
        <s v="MST Duster Monochex Set - Maroon"/>
        <s v="Glass Cloth Towel White 220 GSM - 58x58 cm"/>
        <s v="Gala Advanced Floor Cloth"/>
        <s v="Scotch Brite Floor Cleaning Cloth Pocha - 48x53 cm"/>
        <s v="Gala Actifiber Sponge Cloth"/>
        <s v="Gala Microfiber Multipurpose Cloth"/>
        <s v="Scotch Brite Microfiber Kitchen Wipe"/>
        <s v="Handy Plus Household Gloves"/>
        <s v="Flocklined Household Gloves"/>
        <s v="Gala Quick Spin Mop"/>
        <s v="Gala Double Lip Bathroom Wiper"/>
        <s v="Gala Deck Mop With Handle"/>
        <s v="Gala Turbo Spin Mop Set"/>
        <s v="Gala Microfiber Twist Mop"/>
        <s v="Gala Ezee Squeezee"/>
        <s v="Gala Clip N Fit Cotton Mop"/>
        <s v="Scotch Brite Floor Squeegee"/>
        <s v="Gala Spin Mop Rod Spare Rod"/>
        <s v="D Homes Mop Pad Refill"/>
        <s v="Scotch Brite Cotton Handle Mop"/>
        <s v="Gala High Quality Quick-Spin Mop Refill"/>
        <s v="Scotch-Brite Bathroom Squeegee - 99 cm X 30 cm"/>
        <s v="Gala Clip N Fit Mop Refill"/>
        <s v="Gala Power Mop Refill"/>
        <s v="Scotch Brite Butterfly Mop"/>
        <s v="DHomes Aqua Easy Clean Mop &amp; Bucket Set - Assorted"/>
        <s v="Eureka Super Clean Vacuum Cleaner"/>
        <s v="Pigeon Handy Chopper Pro Mini - 400 ml"/>
        <s v="Sealing Clip Bag"/>
        <s v="Dr.WaterR Stainless Steel Milk Frother"/>
        <s v="Pigeon Stainless Steel Knife Set"/>
        <s v="Paras Stainless Steel Flexi 2 Layer Lunch Box - Assorted"/>
        <s v="Stainless Steel Champ Fridge Bottle - 1000 ml"/>
        <s v="Anjali Stainless Steel Gas Lighter Dura"/>
        <s v="DHomes Multi Tool Set - 6 Pieces"/>
        <s v="Stainless Steel Tea Strainer"/>
        <s v="Wonderchef Classic String Chopper"/>
        <s v="Anjali Tadkavati Wire Handle No. 5"/>
        <s v="Stainless Steel Masala Spice Box"/>
        <s v="Anjali Gas Round Trolley - Super"/>
        <s v="Joyo Oil Can - Blue"/>
        <s v="Wonderchef Nutri-Blend Black"/>
        <s v="Anjali Kitchenware Utility Set Super"/>
        <s v="Joyo Chop-N-Store Cutting Board With Tray &amp; Strainer - Green"/>
        <s v="Pigeon Handy Chopper - Value Pack"/>
        <s v="Dhomes Scissor Set (Jinda)"/>
        <s v="Stainless Steel Grill Jali With Wooden Handle"/>
        <s v="Ambition Stainless Steel Push &amp; Chop Chopper"/>
        <s v="Beezy Gas Lighter Peeler &amp; Knife"/>
        <s v="Prestige Kitchenware Utility Set"/>
        <s v="Stainless Steel Cloth Clip"/>
        <s v="Om White Polpat (Roti Roller / Chakla)"/>
        <s v="Stainless Steel Round Potato Masher With Wooden Handle"/>
        <s v="Nova Stainless Steel Baby Spoon Set"/>
        <s v="Stainless Steel Pav Bhaji Plate - Oval Shape"/>
        <s v="Anjali Stainless Steel Gas Trolley"/>
        <s v="Steel Royal Foody Lunch Box Set"/>
        <s v="Anjali Manual Hand Juicer Ras Dhara"/>
        <s v="Veer Stainless Steel Bidding Tope Set"/>
        <s v="D Homes 10 Pieces Egg Saver Box - Assorted"/>
        <s v="Measuring Cup Set - Multicolour"/>
        <s v="Anjali Kitchen Express Gripper With 12 Jalis"/>
        <s v="Joyo Knit Basket with Jali - Light Brown"/>
        <s v="Stainless Steel Round Table Ring"/>
        <s v="Anjali Knife &amp; Peeler Set (3 Knives + 1 Peeler)"/>
        <s v="Anjali Coconut Scraper - Sleekmate"/>
        <s v="Gokul Stainless Steel Fancy Water Jug"/>
        <s v="Aluminium Cake Baking Mould - Assorted Shapes"/>
        <s v="Joyo Cooking Oil Dispenser"/>
        <s v="Stainless Steel Serving Tong (Chimata)"/>
        <s v="Stainless Steel Damru Glass - 320 ml : 3 Pieces"/>
        <s v="Aluminium Lemon Squeezer"/>
        <s v="Anjali Fantastique Deluxe Vegetable Cutter"/>
        <s v="Dhomes Scissor Set (Xinyi)"/>
        <s v="Stainless Steel Lifter (Pakkad)"/>
        <s v="Crystal Cut Peel &amp; Slice (Value Pack)"/>
        <s v="Nova Stainless Steel Baby Fork Set"/>
        <s v="Stainless Steel Juice Strainer"/>
        <s v="Godrej Cartini Knife Set - Assorted"/>
        <s v="Om Wooden Teak Punjabi Belan"/>
        <s v="Boss Apexx B125 Hand Blender"/>
        <s v="Crystal Stainless Steel Pizza Cutter"/>
        <s v="Stainless Steel Serving Mukta Bowl"/>
        <s v="Anjali Cut &amp; Wash Chopping Board - Deluxe"/>
        <s v="Anjali Pizza Cutter"/>
        <s v="Anjali Coconut Scraper - Premier"/>
        <s v="Candy Plastic Ice Tray"/>
        <s v="Unknown Product"/>
        <s v="Anjali Juicy Lemon Squeezer With Opener"/>
        <s v="Wonderchef Egg Boiler"/>
        <s v="Eureka Aquasure Cartridge - 4000 Litres"/>
        <s v="Stainless Steel Gas Round Trolley"/>
        <s v="Beezy Oil Pump - Assorted"/>
        <s v="Scotch Multi-purpose Scissors"/>
        <s v="Beezy Aluminium Puri Press No.5"/>
        <s v="Dr. WaterR Stainless Steel Tumbler With Straw"/>
        <s v="Dr. WaterR Stainless Steel Straw With Cleaning Brush Set"/>
        <s v="Beezy Stainless Steel Push Chopper"/>
        <s v="Joyo Better Home Homio Kitchen Basket"/>
        <s v="Joyo Knit Masala Box - Sky Dark Grey"/>
        <s v="Joyo Knit Masala Box - Brown"/>
        <s v="Joyo Fridge Storage Tray"/>
        <s v="Command Medium Designer Hooks"/>
        <s v="Command Micro Hooks"/>
        <s v="Command Clear DacorClips"/>
        <s v="Command Small Wire Hooks"/>
        <s v="Joyo Better Home Bucket - Blue"/>
        <s v="Joyo Better Home Bucket - Grey"/>
        <s v="Joyo Better Home Tuff Patla - Big (Grey)"/>
        <s v="Joyo Knit Step Stool Medium - Dark Brown"/>
        <s v="Bath Mesh Sponge"/>
        <s v="Joyo Better Home Tuff Patla - Big (Ivory)"/>
        <s v="Joyo Ruf-N-Tuf Step Stool - Jumbo - Silver"/>
        <s v="Joyo Better Home Bath Mug - 1100 - Blue"/>
        <s v="Joyo Better Home Basin Tub - Blue"/>
        <s v="Joyo Better Home Bath Mug - 1100 - Grey"/>
        <s v="Joyo Ruf-N-Tuf Step Stool - Jumbo - Ivory"/>
        <s v="Joyo Comfort Step Stool - Small - Ivory"/>
        <s v="Joyo Comfort Step Stool - Small - White"/>
        <s v="Joyo Better Home Basin Tub - Grey"/>
        <s v="Joyo Knit Step Stool Medium - Light Brown"/>
        <s v="Back Bath Mesh"/>
        <s v="Ruchi Printed Plastic Bathroom Set"/>
        <s v="Joyo Fantasy Bath Accessory Set"/>
        <s v="Trident Comfort Living Double Bedsheet NICGR 120 TC"/>
        <s v="Trident Comfort Living Double Bedsheet NICBR 120 TC"/>
        <s v="Trident Comfort Living Double Bedsheet BOSBR 120 TC"/>
        <s v="Trident Comfort Living Double Bedsheet BOSTE 120 TC"/>
        <s v="Trident Comfort Living Double Bedsheet CHABR 120 TC"/>
        <s v="Trident Comfort Living Double Bedsheet CHAPE 120 TC"/>
        <s v="Trident Comfort Living Double Bedsheet ZULBE 120 TC"/>
        <s v="Trident Comfort Living Double Bedsheet ZULBL 120 TC"/>
        <s v="Trident Comfort Living Double Bedsheet ZOEPI 120 TC"/>
        <s v="Trident Comfort Living Double Bedsheet ZOEPE 120 TC"/>
        <s v="Trident Comfort Living Double Bedsheet STRBR 120 TC"/>
        <s v="Trident Comfort Living Double Bedsheet STRMA 120 TC"/>
        <s v="Raymond Hazel Double Bedsheet - 009890"/>
        <s v="Raymond Hazel Double Bedsheet - 009892"/>
        <s v="Raymond Hazel Double Bedsheet - 009893"/>
        <s v="Raymond Hazel Double Bedsheet - 009896"/>
        <s v="Raymond Hazel Double Bedsheet - 009902"/>
        <s v="Raymond Hazel Double Bedsheet - 009907"/>
        <s v="Raymond Hazel Double Bedsheet - 009908"/>
        <s v="Raymond Hazel Double Bedsheet - 009912"/>
        <s v="MST Blanket Polar - Maroon"/>
        <s v="Cortina Daffodil Door Curtain - Coffee"/>
        <s v="Cortina Pearl Door Curtain - Coffee"/>
        <s v="Cortina Daffodil Door Curtain - Blue"/>
        <s v="Cortina Pearl Window Curtain - Coffee"/>
        <s v="Cortina Daffodil Door Curtain - Maroon"/>
        <s v="Cortina Crystal Window Curtain - Aqua"/>
        <s v="Cortina Daffodil Window Curtain - Blue"/>
        <s v="Cortina Daffodil Window Curtain - Coffee"/>
        <s v="Cortina Crystal Window Curtain - Coffee"/>
        <s v="Cortina Daffodil Window Curtain - Maroon"/>
        <s v="Cortina Stripe Window Curtain - Blue"/>
        <s v="Cortina Stripe Door Curtain - Coffee"/>
        <s v="Cortina ABST Window Curtain - Blue"/>
        <s v="Cortina Crystal Door Curtain - Maroon"/>
        <s v="Cortina Stripe Door Curtain - Blue"/>
        <s v="Cortina Stripe Window Curtain - Maroon"/>
        <s v="Cortina ABST Door Curtain - Blue"/>
        <s v="Cortina ABST Door Curtain - Maroon"/>
        <s v="Cortina Stripe Door Curtain - Maroon"/>
        <s v="Happy To Hang Home Hangers Red"/>
        <s v="Classic Hanger Set - Assorted"/>
        <s v="Stainless Steel Hanger"/>
        <s v="Happy To Hang Supreme Hangers"/>
        <s v="Happy To Hang Officio Hangers Red &amp; Yellow"/>
        <s v="All Time Plastic Hanger Set - Assorted (022)"/>
        <s v="All Time Plastic Hanger Set - Assorted (050)"/>
        <s v="Elegant Weavers Rally Bathmat 38x58 cm - Assorted"/>
        <s v="Elegant Weavers Lucky Bathmat - Brown"/>
        <s v="Elegant Weavers Loops Mat - Brown"/>
        <s v="Elegant Weavers Stripe Bathmat - Grey"/>
        <s v="Elegant Weavers Stripe Bathmat - Brown"/>
        <s v="Elegant Weavers Eden Ovel Mat 33x53 cm - Assorted"/>
        <s v="Sahil Multipurpose Plastic Mat - 4X6 Feet"/>
        <s v="Elegant Weavers Shine Bathmat - Silver"/>
        <s v="Elegant Weavers Primier Rug Doormat - Black &amp; Grey"/>
        <s v="Elegant Weavers Croche Mat - Brown"/>
        <s v="Elegant Weavers Marble Bathmat - Black Grey"/>
        <s v="Elegant Weavers Bliss Bathmat - Brown : 40x60 cm"/>
        <s v="Elegant Weavers Celebration Bathmat - Brown"/>
        <s v="Elegant Weavers Croche Mat - Pink"/>
        <s v="Welcome Doormat PVC - Assorted"/>
        <s v="Recron Zest Fibre White Pillow"/>
        <s v="Recron Zest Fibre White Cushion - 41x41 cm"/>
        <s v="DHomes Travel Neck Pillow - Assorted"/>
        <s v="Memory Pillow Foam - 50x30 cms"/>
        <s v="SC Crochet Cushion Cover - White"/>
        <s v="MHF Cushion Cover Festival 07 - Beige"/>
        <s v="MHF Cushion Cover Rose Gold 02 - Blue Aqua"/>
        <s v="MHF Cushion Cover Rose Gold 04 - Coffee Beige"/>
        <s v="MHF Cushion Cover Rose Gold 03 - Off-White Beige"/>
        <s v="MHF Cushion Cover Festival-05 - Blue Aqua"/>
        <s v="SC Crochet Cushion Cover - Beige"/>
        <s v="MHF Cushion Cover Shield 02 - Purple"/>
        <s v="MHF Cushion Cover Shield 01 - Beige"/>
        <s v="MHF Cushion Cover Festival 01 - Black Greay"/>
        <s v="MHF Cushion Cover Rose Gold 05 - Maroon Beige"/>
        <s v="MHF Cushion Cover Festival 04 - Blue Silver"/>
        <s v="MHF Cushion Cover Festival 03 - Maroon Beige"/>
        <s v="Shades Cushion Cover - Crown Red Colour"/>
        <s v="Shades Cushion Cover - Red &amp; Yellow Patch Work"/>
        <s v="Shades Cushion Cover - Crown Off White Colour"/>
        <s v="Shades Cushion Cover - Lotus Blue Colour"/>
        <s v="Shades Cushion Cover - Mughal Art Yellow Colour"/>
        <s v="Shades Cushion Cover - Mughal Art Beige Colour"/>
        <s v="Shades Cushion Cover - Blue &amp; Green Patch Work"/>
        <s v="Pillow Cover Cotton Beige - 16x24 Inches"/>
        <s v="Pillow Cover Cotton White - 16x24 Inches"/>
        <s v="Pillow Cover Cotton Deep Blue - 16x24 Inches"/>
        <s v="Pillow Cover Cotton Chocolate Brown - 16x24 Inches"/>
        <s v="Pillow Cover Cotton Maroon - 16x24 Inches"/>
        <s v="Pillow Cover Cotton Black - 16x24 Inches"/>
        <s v="Modern Bath Towel Cabana 400 GSM - Brown"/>
        <s v="Modern Bath Towel Solid 380 GSM - Coral"/>
        <s v="Modern Hand Towel Solid 380 GSM (Coral) 40x60 cm"/>
        <s v="Welspun Bath Towel 450 GSM - Teal"/>
        <s v="Trident Comfort Living Bath Towel 380 GSM - Tango Tomato"/>
        <s v="Welspun Hand Towel 450 GSM - Teal"/>
        <s v="Welspun Hand Towel 450 GSM - Brown"/>
        <s v="Welspun Bath Towel 450 GSM - Magenta Pink"/>
        <s v="Welspun Bath Towel 450 GSM - Brown"/>
        <s v="Welspun Bath Towel 450 GSM - Cobalt Blue"/>
        <s v="Welspun Hand Towel 450 GSM - Magenta"/>
        <s v="Welspun Hand Towel 450 GSM - Cobalt Blue"/>
        <s v="Welspun Hand Towel 450 GSM - Cream"/>
        <s v="Welspun Bath Towel 450 GSM - Cream"/>
        <s v="Trident CF Hand Towel 380 GSM - Tango Tomato - 40x60 cm"/>
        <s v="Disposable Paper Glass - 150 ml"/>
        <s v="Disposable Paper Plates - 10 inches"/>
        <s v="Disposable Wooden Spoon - 14 cm"/>
        <s v="Disposable Bagasse Paper Plates - 17 cms"/>
        <s v="Disposable Aluminium Foil Container With Lid - 450 ml"/>
        <s v="Disposable Paper Dona Bowl - 150 ml"/>
        <s v="Disposable Paper Straw - 6 mm"/>
        <s v="Disposable Bagasse Bowl - 180 ml"/>
        <s v="Disposable Wooden Fork - 14 cm"/>
        <s v="Disposable Paper Glass Riple - 250 ml"/>
        <s v="Butterfly Stainless Steel Outer Lid Curve Cooker"/>
        <s v="Pigeon Hard Anoised All-In-One Super Pressure Cooker"/>
        <s v="Pigeon Titanium Hard Anodized Pressure Cooker"/>
        <s v="Prestige Deluxe Alpha Svachh Stainless Steel Pressure Cooker Handi"/>
        <s v="Surya Intech Pressure Cooker Combo"/>
        <s v="Prestige Svachh Pressure Cooker Hard Anodized"/>
        <s v="Prestige Deluxe Plus Hard Anodised Pressure Handi Cooker"/>
        <s v="Prestige Popular Aluminium Pressure Cooker"/>
        <s v="Pigeon Favourite Aluminium Pressure Cooker"/>
        <s v="Prestige Aluminium Popular Cooker"/>
        <s v="Hawkins Contura Hard Anodised Pressure Cooker - CB20"/>
        <s v="Hawkins Classic Pressure Cooker - CL50"/>
        <s v="Prestige Nakshatra Plus Svachh Hard Anodized Handi Cooker"/>
        <s v="Hawkins Contura Black Hard Anodised Cooker CB30 : 3 Litres"/>
        <s v="Prestige Nakshatra Aluminium Inner Lid Pressure Handi"/>
        <s v="Pigeon Storm Non-Stick Induction Base Flat Tawa"/>
        <s v="Stainless Steel Idli Maker with Lid"/>
        <s v="Anjali Non-Stick Dosa Tawa"/>
        <s v="Veer Stainless Steel Saucepan &amp; Tope Set"/>
        <s v="Prestige Omega Deluxe Granite Dosa Tawa"/>
        <s v="Anjali Uttappa Tawa 4 Cavities"/>
        <s v="Shri &amp; Sam Sauce Pan &amp; Tope Stainless Steel Set"/>
        <s v="Wonderchef Acura Non-stick Cookware Set"/>
        <s v="Nidhi Non-Stick Cookware Set"/>
        <s v="Prestige Concave Tava Omega - 280 mm"/>
        <s v="Keyur Kitchenware Mini Multi Kadai With 5 Plates"/>
        <s v="Wonderchef Royal Velvet 24 Cm Fry Pan"/>
        <s v="Prestige Omega Omni Tawa - 275 mm"/>
        <s v="Wonderchef Royal Velvet 24 cm Grill Pan"/>
        <s v="Wonderchef Royal Velvet 28 Cm Dosa Tawa"/>
        <s v="Trupti Non-stick Pizza Pan - 22 cm"/>
        <s v="Kitchen Essentials Nonstick Handi Set with Stand"/>
        <s v="Wonderchef Orchid 24 cm Fry Pan"/>
        <s v="Borosil Glass Lunch Box Round"/>
        <s v="Signoraware Compact Lunch Box - Blue"/>
        <s v="Vaya Tyffyn Lunch Box - Plain - 600 ml"/>
        <s v="Vaya Tyffyn Lunch Box - Plain - 1 Litre"/>
        <s v="Dr. Copper Water Bottle"/>
        <s v="Cello Sportigo Water Bottle - Assorted Colours"/>
        <s v="Cello H2O Squaremate Water Bottle - Assorted Colours"/>
        <s v="Nayasa Pineapple PET Bottle - Assorted"/>
        <s v="Crystal Stainless Steel Silk Water Bottle"/>
        <s v="Jolly Aqua Cool Water Bottle - Assorted"/>
        <s v="Nayasa Turtle Plastic Bottle"/>
        <s v="Crystal Stainless Steel Cola Water Bottle"/>
        <s v="Ski Gym Shaker Bottle - Assorted"/>
        <s v="Nayasa Glacier Plastic Bottle"/>
        <s v="Cello Diamond Plastic Bottle"/>
        <s v="Lock &amp; Lock Aqua Easy Grip Bottle (1.5 Litres) - KIT059AN"/>
        <s v="Aura Water Bottle - Blue"/>
        <s v="Milton Prism Plastic Bottle - Assorted"/>
        <s v="Milton Thunder Plastic Bottle"/>
        <s v="Aura Water Bottle - Green"/>
        <s v="Cello Venice Plastic Bottle"/>
        <s v="Aura Water Bottle - Grey"/>
        <s v="DHomes Plastic PET Bottle - 1.6 Litres - Red"/>
        <s v="DHomes Plastic PET Bottle - 1.6 Litres - Blue"/>
        <s v="Milton Thermosteel Flask"/>
        <s v="Gokul Stainless Steel Double Wall Tea Cup"/>
        <s v="Paras Hot Meal Casserole - 2.4 Litres"/>
        <s v="Veer Steel Combo Set"/>
        <s v="Gokul Steel Single Wall Ice-Cream Bowl &amp; Spoon"/>
        <s v="Stainless Steel Tea Time Canister"/>
        <s v="La Opala Opal Novo Pudding Set"/>
        <s v="Pinnacle Picasso Plastic Inner Steel Insulated Casserole"/>
        <s v="Gokul Stainless Steel Single Wall Fame Tea Cup"/>
        <s v="Sonic Thermo Casserole (1 Litre + 1.5 Litres)"/>
        <s v="Gokul Stainless Steel Lotus Flower Bowls &amp; Tray"/>
        <s v="Eco Grace Casserole"/>
        <s v="Joyo Kitchen Cutlery Tray - Ivory"/>
        <s v="Olympic Elite Gold Insulated Casserole"/>
        <s v="Trupti Stainless Steel Insulated Casserole"/>
        <s v="Wooden Spatula"/>
        <s v="Stainless Steel Spoon"/>
        <s v="Anjali Baby Spoon"/>
        <s v="Gokul Stainless Steel Cutlery Holder No.4"/>
        <s v="Anjali Baby Fruit Fork"/>
        <s v="Pigeon ESS Non-Stick Gift Set - Red"/>
        <s v="Crystal Non-Stick Cookware Set - CNS 897"/>
        <s v="Wonderchef Milano Set - Red"/>
        <s v="Nidhi Cookware Non-stick Gift Set"/>
        <s v="Veer Stainless Steel Serving Dish Set"/>
        <s v="Stainless Steel Modak Maker with Glass Lid"/>
        <s v="Anjali Fab Non-Stick Granita Gift Set"/>
        <s v="Gokul Stainless Steel Milk Boiler"/>
        <s v="Copper Base Steel Prabhu Chetty Cookware Set"/>
        <s v="Wonderchef Non-Stick Burlington Set : 5 Pieces"/>
        <s v="Yera Dotted Glass Tumbler - 215 ml"/>
        <s v="Yera X Series Glass Jar With Lid - 320 ml"/>
        <s v="Dinesmart Stylon Melamine Dinner Set"/>
        <s v="Yera Glass Tumbler Assorted - 250 ml"/>
        <s v="La Opala W &amp; L English Lavender Dinner Set"/>
        <s v="Borosil Radius Glass - 295 ml"/>
        <s v="Yera Lucia Jar Glass Bowls - 245 ml"/>
        <s v="La Opala W &amp; L Radiant Curve Dinner Set"/>
        <s v="La Opala Novo Dinner Set"/>
        <s v="La Opala Coffee Cup Set - Assorted"/>
        <s v="Ocean Unity Glass"/>
        <s v="La Opala Cup &amp; Saucer Set - Assorted : 6 Pieces"/>
        <s v="La Opala Jamaica Coffee Cup Set"/>
        <s v="Pasabahce Pub Pilsner Glass - 320 ml"/>
        <s v="La Opala Coffee Mug Set - Assorted"/>
        <s v="Ocean Glass Plaza"/>
        <s v="La Opala W &amp; L Blissful Green Dinner Set"/>
        <s v="La Opala Jamaican Cup &amp; Saucer Set"/>
        <s v="La Opala Sovrana Cup &amp; Saucer Set"/>
        <s v="La Opala W &amp; L Petite Roses Dinner Set"/>
        <s v="Yera Liva Glass Bowls - 270 ml"/>
        <s v="La Opala Sovrana Coffee Mug Set"/>
        <s v="Yera Glass Polaris Pudding Set"/>
        <s v="Yera Glass Andromeda Bowl Set"/>
        <s v="La Opala W &amp; L Trinity Green Dinner Set"/>
        <s v="Treo Rosebell Glass Tumbler Assorted - 250 ml"/>
        <s v="Srithai Handy Tray T300-15 - Victorian"/>
        <s v="Srithai Handy Tray T300-15 - Oriental Gold"/>
        <s v="Srithai Handy Tray T300-15 - Marbo Stitch"/>
        <s v="Srithai Mixing Bowl B61060-6 - Polka Dot- Red"/>
        <s v="Srithai Mixing Bowl B61060-6 - Polka Dot - Yellow"/>
        <s v="Srithai Mixing Bowl B61060-6 - Diana"/>
        <s v="Srithai Dinner Plate P6161-11 - Queen Diamond"/>
        <s v="Srithai Dinner Plate P6161-11 - Royal Opera"/>
        <s v="Srithai Katori B6548-3.5 - Royal Opera"/>
        <s v="Srithai Katori B6548-3.5 - Queen Diamond"/>
        <s v="Sanjeev Kapoor Florence Water Glass Set - 270 ml : 6 Pieces"/>
        <s v="Sanjeev Kapoor Classic Borosilicate Round Jar - 700 ml"/>
        <s v="Sanjeev Kapoor Chicago Glass Jar Assorted - 600 ml"/>
        <s v="Sanjeev Kapoor Avo Glass Rectangle Dish - 1.6 Litres"/>
        <s v="Sanjeev Kapoor Tendy Round Glass Dish - 1.5 Litres"/>
        <s v="Sanjeev Kapoor Taffy Square Glass Dish - 1.6 Litres"/>
        <s v="Sanjeev Kapoor Paris Crystal Juice Glass - 230 ml"/>
        <s v="Sanjeev Kapoor Paris Crystal Whiskey Glass - 330 ml : 6 Pieces"/>
        <s v="Joyo Kitchen Storewell Container Printed - Assorted"/>
        <s v="Gokul Stainless Steel Ghee Pot Mercury Pot &amp; Spoon"/>
        <s v="Mastercook Malta Square Container Set"/>
        <s v="Mastercook Promax Round Container Set"/>
        <s v="Gokul Stainless Steel Tea Time Canister"/>
        <s v="Joyo Spacio Container - 1.5 Litres (Blue)"/>
        <s v="Joyo Fresherware container with box - Blue"/>
        <s v="Signoraware Modular Oval No.3 Container - Blue"/>
        <s v="Lock &amp; Fresh Container - 1.3 Litres"/>
        <s v="Dynamic Container Set - Assorted"/>
        <s v="Joyo Spacio Container - 1.5 Litres (Pink)"/>
        <s v="Signoraware Steel Tiny Wonder Container - Blue"/>
        <s v="Signoraware Stainless Steel Tumbler - Blue"/>
        <s v="Lock &amp; Lock Square Food Container - HPL823"/>
        <s v="Joyo Food Keeper Container - Polka - Blue"/>
        <s v="Lock &amp; Lock Square Food Container - HPL850"/>
        <s v="Signoraware Steel Mixing Bowl - Blue"/>
        <s v="Joyo Food Keeper container - Polka - Pink"/>
        <s v="Asian Flora Container Set - Assorted"/>
        <s v="Lock &amp; Lock Round Food Container - HPL933A"/>
        <s v="Lock &amp; Lock Tall Rectangular Food Container - HPL813F"/>
        <s v="Lock &amp; Lock Round Food Container - HPL932"/>
        <s v="Venus Storage Container 333 - 54 Litres"/>
        <s v="Lock &amp; Lock Square Food Container - HPL854"/>
        <s v="Signoraware Jumbo Easy Flow Container - Assorted"/>
        <s v="Asian Super Seal Plus Container Set"/>
        <s v="Signoraware Executive Steel Medium Blue Container"/>
        <s v="Lasvegas Multipurpose Container Set"/>
        <s v="Steelo Skippar Plastic Container Set - 250 ml"/>
        <s v="Joyo Butter Box Utility Container"/>
        <s v="Joyo Alfa Container Set - Blue"/>
        <s v="Joyo Alfa Container Set - Violet"/>
        <s v="Surabhi Pure Camphor Container"/>
        <s v="Kaveri Camphor Pouch"/>
        <s v="Mangalam Pure Bhimseni Camphor"/>
        <s v="Kaveri Camphor"/>
        <s v="Cycle Om Shanthi Pure Camphor"/>
        <s v="Cycle 3 In 1 Pure Agarbathi"/>
        <s v="Mangaldeep Mogra Puja Agarbattis"/>
        <s v="Mangaldeep Sandalwood Pooja Agarbatti"/>
        <s v="Mangaldeep 4 in 1 Puja Agarbattis"/>
        <s v="Cycle Navin Pure Sambrani"/>
        <s v="Mangaldeep Rose Pooja Agarbatti"/>
        <s v="Mangaldeep French Lavender Premium Agarbattis"/>
        <s v="Cycle Woods Agarbathi"/>
        <s v="Hem Soham But Mogra Agarbathi"/>
        <s v="Cycle Durgeshwari Sambrani Dhoop"/>
        <s v="Heritage Chandanam Prayer Sticks"/>
        <s v="Hem Pama Sandal Incense Sticks"/>
        <s v="Hem Shubh Kaamana Masala Agarbatti"/>
        <s v="Hem Soham Sandal Agarbathi"/>
        <s v="Hem Soham Champa Agarbathi"/>
        <s v="Laxmi Dhoop"/>
        <s v="Hem Pama Kewda Incense Sticks"/>
        <s v="Mangaldeep Anushri Fresh Florals Puja Agarbattis"/>
        <s v="Nirmal Chandan Agarbatti Muttha Pack"/>
        <s v="Nirmal Mogra Agarbatti Muttha Pack"/>
        <s v="Nirmal Champa Agarbatti Muttha Pack"/>
        <s v="Hem Soham Rose Agarbathi"/>
        <s v="Hem Soham 4 In One Agarbatti"/>
        <s v="Mangaldeep Anushri Sweet Florals Puja Agarbattis"/>
        <s v="Shubh Kart Raatrani Agarbatti"/>
        <s v="Nirmal Lily Agarbatti Muttha Pack"/>
        <s v="Cycle Popular Flavàrz Agarbathi"/>
        <s v="Pitambari Deepshakti Oil"/>
        <s v="Om Shanthi Parijata Puja Oil"/>
        <s v="Mangalmai Puja Lamp and Diya Oil"/>
        <s v="Om Shanthi Chandanam Pure Puja Oil"/>
        <s v="Om Shanthi Jasmine Pure Puja Oil"/>
        <s v="Homelites Safety Matches"/>
        <s v="Mysore Sandal Dhoop"/>
        <s v="Ship Safety Matches"/>
        <s v="Prasanna Jyot Cow Ghee Diya"/>
        <s v="Shubhkart Sandalwood Agarbatti"/>
        <s v="Siddhi Full Vat Big : 33 gms"/>
        <s v="Prasanna Jyot Vanaspati Ghee Diya"/>
        <s v="Cycle Om Shanthi Pure Cotton Wicks"/>
        <s v="Siddhi Cotton"/>
        <s v="Siddhi Ful Wati Medium"/>
        <s v="Hem Abhiyan Agarbathi"/>
        <s v="Scented Tea Light Candles - Fresh Lavender"/>
        <s v="Siddhi Dhoop"/>
        <s v="Manohar Special Keshar Ashtagandha"/>
        <s v="Siddhi Samai Wati Long Roll Big"/>
        <s v="Arihant Dhoop Sticks"/>
        <s v="Hem Soham Pama Incense Sticks"/>
        <s v="Shubhkart Nitya Crystal Deep Medium"/>
        <s v="Siddhi Samai Wati Long"/>
        <s v="Shubhkart Nitya Pyali Size 0 - 31 gms"/>
        <s v="Siddhi Full Vat Small"/>
        <s v="Pan Aromas Crystal Collection Scent Candle - Blue"/>
        <s v="Siddhi Pooja Samagri"/>
        <s v="Eveready 1015 R6 AA Battery : 10 Units"/>
        <s v="Eveready AAA 1012 Pencil Cell"/>
        <s v="Nippo 4D Gold AAA Battery"/>
        <s v="Syska LED Tube Light"/>
        <s v="Nippo 3D Bolt AA Battery"/>
        <s v="Duracell AA Battery"/>
        <s v="Duracell AAA Batteries"/>
        <s v="Syska LED Bulb B22 6500K"/>
        <s v="Pigeon LED Bulb"/>
        <s v="Compton Greaves Ecoglo B22 CDL LED Bulb"/>
        <s v="Syska Emergency LED Bulb"/>
        <s v="Bajaj Ivora Plus Base B22 LED T-Bulb"/>
        <s v="Philips Stellar Bright T-Bulb"/>
        <s v="Pigeon LED Tube Light"/>
        <s v="Philips Ujjwal LED Batten"/>
        <s v="Bajaj Ivora Plus Base B22 LED Bulb"/>
        <s v="Philips LED Bulb B22 6500K"/>
        <s v="Crompton Greaves DynaRay LED Bulb B22 CDL"/>
        <s v="Philips Stellar Bright LED Bulb"/>
        <s v="Philips Stellar Bright LED T-Bulb"/>
        <s v="Philips LED Deco Mini White Lamp"/>
        <s v="Pigeon Emergency LED Bulb"/>
        <s v="Philips Acesaver LED Bulb"/>
        <s v="Philips FlexiShine LED Rope Light (5 Metres) - White"/>
        <s v="Philips SB T-Beamer LED Lamp"/>
        <s v="Philips Emergency Inverter LED Bulb"/>
        <s v="DHomes Rechargeable Led Light - 9903A"/>
        <s v="D Homes LED Lantern For Table - 9864 LA"/>
        <s v="DHomes Rechargeable Table Tube &amp;  LED - KN9924LB"/>
        <s v="Eveready Ultima AAA Batteries"/>
        <s v="Philips FlexiShine LED Rope Light (5 Metres) - Blue"/>
        <s v="Portronics Brillo 3-Led Lamp"/>
        <s v="Decoration LED Bulb Flower Light - Multi Colour"/>
        <s v="DHomes Rechargeable LED Lantern - KN9854 LA"/>
        <s v="Duracell AA 8 Battery"/>
        <s v="Eveready LED Bulb B22 6500k"/>
        <s v="Decoration 50 LED Bulb Light"/>
        <s v="Decoration 56 LED Bulb Light"/>
        <s v="Philips Stellar Bright T-Bulb B22"/>
        <s v="Decoration 28 LED Bulb Light - Multi Colour"/>
        <s v="Philips Tunable Wi-Fi T-Beamer B22"/>
        <s v="Philips Motion Sensing T-Bulb B22"/>
        <s v="Philips Tunable Wi-Fi T-Bulb B22"/>
        <s v="Philips LED Wi-Fi Bulb B22"/>
        <s v="DHomes 3 Layer Clothes Hanger Stand"/>
        <s v="DHomes Multi-Hanger Steel Cloth Stand"/>
        <s v="DHomes Cloth Drying Stand - Assorted"/>
        <s v="Plastic Cloth Clips : Pack of 20"/>
        <s v="Cloth Drying Metal Rope With Pvc Coated"/>
        <s v="Wooden Cloth Clip : 20 Pieces"/>
        <s v="Godrej Goldilocks Personal White Locker"/>
        <s v="GM 4+1 Power Strip"/>
        <s v="Geep Extreme 3 PIN Multi Plug Adapter"/>
        <s v="GM 2 Pin Square Flex Box"/>
        <s v="Geep Micro USB High Speed Charging Cable (1 Metre)"/>
        <s v="Geep G-Square Flex Box"/>
        <s v="Zebronics TU240C Type C Charging Cable"/>
        <s v="Portronics Extension Power Plate 5"/>
        <s v="Zebronics Car Charger - CC242A3"/>
        <s v="Panasonic City Ding Dong Door Bell"/>
        <s v="Portronics Power Bank"/>
        <s v="Micro USB Charging Cable (1 Metre)"/>
        <s v="Portronics Adapto 22 Power Adapter"/>
        <s v="Portronics Adapto Iii Power Adapter"/>
        <s v="Portronics Adapto One-Power Adapter"/>
        <s v="Portronics Konnect A Charging Cable"/>
        <s v="Good Year Claw Hammer"/>
        <s v="Good Year D.O.E Spanner Set 8 Pieces Set"/>
        <s v="Good Year Wire Striper &amp; Cutter"/>
        <s v="Good Year Voltage Tester"/>
        <s v="Good Year Combination Piler"/>
        <s v="Pidilite Fevicol MR White - General Purpose Glue"/>
        <s v="Pidilite Fevicol Allfix - All Purpose Adhesive"/>
        <s v="Sapna Brown Tape - 48 mm X 50 Metres"/>
        <s v="Sapna Transparent Tape - 48 mm X 50 Metres"/>
        <s v="Pidilite Fevikwik - Instant Adhesive"/>
        <s v="Pidilite M-Seal Fast Curing Epoxy Compound"/>
        <s v="Pidilite Home Kit"/>
        <s v="Garden Spray Pump Bottle - Assorted"/>
        <s v="Bathla Advance 4 Step Ladder-Orange"/>
        <s v="Bathla Advance 5 Step Ladder-Orange"/>
        <s v="Pedigree Adult Dog Food - Chicken &amp; Vegetables"/>
        <s v="Whiskas Adult Chicken In Gravy (1+ Years)"/>
        <s v="Pedigree Adult Dog Food Chicken &amp; Liver Chunks Flavour In Gravy"/>
        <s v="Whiskas Adult Ocean Fish Flavour (1+ Years)"/>
        <s v="Pedigree Puppy Chicken &amp; Milk"/>
        <s v="Pears Pure &amp; Gentle Bathing Bar"/>
        <s v="Mild &amp; Clear Soap With Glycerine &amp; Natural Oils"/>
        <s v="Dove Cream Beauty Bathing Bar"/>
        <s v="Medimix Ayurvedic Classic 18 Herbs Soap"/>
        <s v="Mysore Sandal Soap"/>
        <s v="Lux Soft Glow Rose &amp; Vitamin E Beauty Soap"/>
        <s v="Grace Gentle Touch Soap"/>
        <s v="Lux Velvet Glow Jasmine &amp; Vitamin E Beauty Soap"/>
        <s v="Grace Beauty Soap With Jasmine Oil &amp; Moisturiser"/>
        <s v="Dettol Original Soap"/>
        <s v="Liril Lime &amp; Tea Tree Oil Soap"/>
        <s v="Santoor Sandal &amp; Turmeric Soap"/>
        <s v="Dettol Intense Cool 2X Menthol Soap"/>
        <s v="Cinthol Lime Refreshing Deo Soap"/>
        <s v="Dove Care &amp; Protect Beauty Bathing Bar"/>
        <s v="Lifebuoy Total 10 Soap"/>
        <s v="Medimix Ayurvedic Natural Glycerine Soap"/>
        <s v="Grace Lime Fresh Soap"/>
        <s v="Godrej No. 1 Lime &amp; Aloe Vera Soap"/>
        <s v="Jo Lime Soap"/>
        <s v="Dettol Skincare Soap"/>
        <s v="Godrej Cinthol Cool Deo Soap"/>
        <s v="Pears Soft &amp; Fresh Bathing Bar"/>
        <s v="Mild &amp; Clear Pure and Fresh Soap"/>
        <s v="Cinthol Original Deodorant &amp; Complexion Soap"/>
        <s v="Medimix Ayurvedic Sandal Soap"/>
        <s v="Lifebuoy Lemon Fresh Soap"/>
        <s v="Chandrika Ayurvedic Soap"/>
        <s v="Mysore Luxury Bath Soap"/>
        <s v="Lux Fresh Splash Water Lily &amp; Cooling Mint Soap"/>
        <s v="Santoor Aloe Vera &amp; Lime"/>
        <s v="Godrej Cinthol Lime Soap"/>
        <s v="Khadi Natural Sandalwood Soap"/>
        <s v="Godrej No. 1 Sandal &amp; Turmeric Soap"/>
        <s v="Khadi Natural Aloevera Soap"/>
        <s v="Khadi Natural Lemon Soap"/>
        <s v="Dove Pink Rosa Beauty Bathing Bar"/>
        <s v="Park Avenue Luxury Men's Soap"/>
        <s v="Khadi Natural Rosewater Soap"/>
        <s v="Lux Creamy Prefection Soap"/>
        <s v="Khadi Natural Neem Tulsi Soap"/>
        <s v="Jo Almond &amp; Cream Soap"/>
        <s v="Margo Original Neem Soap"/>
        <s v="Santoor  Sandal and Almond Milk Soap"/>
        <s v="Park Avenue Cool Blue Fragrant Soap"/>
        <s v="Khadi Natural Chandan Haldi Soap"/>
        <s v="Godrej No. 1 Kesar &amp; Milk Cream Soap"/>
        <s v="Dove Pink Rosa Bathing Soap"/>
        <s v="Santoor Glycerine Soap"/>
        <s v="Godrej Cinthol Original Soap"/>
        <s v="Mysore Sandal Gold Soap"/>
        <s v="Hamam Neem Tulsi and Aloe Vera Soap Bar"/>
        <s v="Chandan Sparsh Soap"/>
        <s v="Khadi Natural Jasmine Soap"/>
        <s v="Patanjali Neem Kanti Soap"/>
        <s v="Godrej Cinthol Health Soap : 4x100 gms"/>
        <s v="Khadi Natural Strawberry Soap"/>
        <s v="Jo Rose &amp; Cream Soap"/>
        <s v="Godrej No.1 Rose Water &amp; Almond Soap"/>
        <s v="Himalaya Neem Turmeric Soap"/>
        <s v="Pears Oil-Clear &amp; Glow Soap Bar"/>
        <s v="Patanjali Haldi Chandan Kanti Soap"/>
        <s v="Camay Natural Soap"/>
        <s v="Rexona Coconut &amp; Olive Oil Soap"/>
        <s v="Patanjali Aloe Vera Kanti Soap"/>
        <s v="Lux Creamy Perfection Soap"/>
        <s v="Lifebuoy Neem &amp; Aloe Vera Soap"/>
        <s v="Dove Pink Rosa Bathing Bar"/>
        <s v="Pears Pure Gentle Soap"/>
        <s v="Dove Go Fresh Beauty Bathing Bar"/>
        <s v="Hand Aid Health Plus Soap"/>
        <s v="Lifebuoy Total 10 Silver Shield Soap"/>
        <s v="Godrej No.1 Jasmine Soap"/>
        <s v="Godrej No.1 Lime Aloe Vera Soap"/>
        <s v="Soulflower Rose Geranium Bath Salt"/>
        <s v="Vaseline Intensive Care Body Lotion"/>
        <s v="Nivea Body Milk Nourishing Lotion"/>
        <s v="Nivea Soft Light Moisturiser"/>
        <s v="Nivea Aloe Hydration Body Lotion"/>
        <s v="Vaseline Healthy Bright SPF30 Body Lotion"/>
        <s v="Nivea Body Milk Shea Smooth Body Lotion"/>
        <s v="Vicco Turmeric Skin Cream"/>
        <s v="Lotus Herbals Daily Sunscreen Cream SPF 40 UVB"/>
        <s v="Vaseline Intensive Care Aloe Fresh Body Lotion"/>
        <s v="Lotus Herbals Sunscreen Cream SPF 30 UVB"/>
        <s v="Pond's Triple Vitamin Moisture Lotion"/>
        <s v="Vicco Turmeric"/>
        <s v="Nivea Creme"/>
        <s v="Pond's Bright Beauty Cream"/>
        <s v="Joy Honey &amp; Almond Nourishing Body Lotion"/>
        <s v="Lakme Sun Expert SPF 24 Ultra Matte Lotion"/>
        <s v="Joy Pure Aloe Multi-Benefit Body Lotion"/>
        <s v="Nivea Body Nourishing Lotion"/>
        <s v="Lacto Calamine Oil Balance Lotion For Oily Skin"/>
        <s v="Nivea Aloe Body Cream"/>
        <s v="Joy Skin Fruits Moisturizing Cream"/>
        <s v="Joy Honey &amp; Almond Nourishing Skin Cream"/>
        <s v="Lotus Herbals Kids Sun Block Cream - Sensitive Skin Formula"/>
        <s v="Green Leaf Pure Aloe Vera Skin Gel"/>
        <s v="Lotus Herbals Sunscreen Cream SPF 20 UVB"/>
        <s v="Bio-Oil Skin Care"/>
        <s v="Garnier Bright Complete Vitamin C SPF 40 Serum Cream"/>
        <s v="Joy Pure Aloe Skin Cream"/>
        <s v="Nivea Natural Glow Cell Repair Body Lotion"/>
        <s v="Mamaearth Vitamin C Nourishing Cold Cream"/>
        <s v="Lotus Herbals SPF 70 Daily Multi-Function Sunblock Cream"/>
        <s v="Mamaearth Ubtan Nourishing Cold Cream"/>
        <s v="Nivea Aloe Vera Refreshing Care Gel Body Lotion"/>
        <s v="Garnier Light Complete Body Lotion"/>
        <s v="Nivea Rose Water Soothing Care Gel Body Lotion"/>
        <s v="Krack Heel Repair Cream"/>
        <s v="Lotus Herbals Whiteglow Night Cream"/>
        <s v="Joy Skin Fruits Body Lotion"/>
        <s v="Joy Bright Radiance Body Lotion"/>
        <s v="Lakme Absolute Hydra Pro Gel Day Cream"/>
        <s v="Green Leaf Aloe Cucumber Gel"/>
        <s v="Patanjali Aloe Vera Gel - Kesar Chandan"/>
        <s v="Glycerin IP"/>
        <s v="Nivea Body Nourishing Lotion Aloe"/>
        <s v="Faces Canada Peaches N Cream Tinted Moisturizer"/>
        <s v="Lotus Herbals Nutranite Night Creme"/>
        <s v="Lakme Absolute Hydra Pro Overnight Gel"/>
        <s v="Faces Canada Hydro Face Moisturizer"/>
        <s v="Lakme Absolute Perfect Radiance Facial Foam"/>
        <s v="Lakme Youth Infinity Skin Firming Night Cream"/>
        <s v="Olay Natural Aura Instant UV Protection Glowing Cream"/>
        <s v="Olay Total Effects 7-In-One Day Normal SPF 15 Cream"/>
        <s v="Olay Total Effect 7 In 1 Anti Ageing Night Cream"/>
        <s v="Khadi Natural Herbal Moisturizer Rose &amp; Honey"/>
        <s v="Khadi Natural Herbal Moisturizer Almond &amp; Saffron"/>
        <s v="Soulflower Vitamin C Green Tea Glowing Day Cream SPF 30+"/>
        <s v="Himalaya Purifying Neem Face Wash"/>
        <s v="Clean &amp; Clear Foaming Facewash"/>
        <s v="Pond's Bright Beauty Spot-Less Glow Facewash"/>
        <s v="Patanjali Saundarya Aloe Vera Gel"/>
        <s v="Pond's Pure Detox Anti Pollution + Purity Facewash"/>
        <s v="Everyuth Naturals Brightening Lemon &amp; Cherry Face Wash"/>
        <s v="Garnier Men Acno Fight Face Wash"/>
        <s v="Garnier Men Turbo Bright Double Action Face Wash : 100 gms"/>
        <s v="Garnier Men Oil Clear Deep Cleansing Facewash"/>
        <s v="Everyuth Naturals Exfoliating Walnut Scrub"/>
        <s v="Nivea Men All-In-One Charcoal Facewash"/>
        <s v="Garnier Bright Complete Face Wash - Lemon"/>
        <s v="Everyuth Naturals Purifying Neem Face Wash"/>
        <s v="Pears Pure &amp; Gentle Facewash"/>
        <s v="Mirabelle Papaya Fairness Facial No.1 K-Mask"/>
        <s v="Nivea Men Dark Spot Reduction Facewash"/>
        <s v="Garnier Serum Bright Complete Mask Lemon"/>
        <s v="Garnier Men Turbo Bright Face Wash"/>
        <s v="Emami Fair And Handsome Cream For Men"/>
        <s v="Dabur Gulabari Rose Water"/>
        <s v="Mirabelle Berries Fairness Facial No.1 K-Mask"/>
        <s v="Nivea Men Oil Control Facewash"/>
        <s v="Garnier Japanese Sakura Serum Tissue Mask"/>
        <s v="Mirabelle Aloe Vera Fairness Facial No.1 K-Mask"/>
        <s v="Garnier Serum Hydra Bomb Pomegranate Tissue Mask"/>
        <s v="Mamaearth Skin Illuminate Vitamin C &amp; Turmeric Face Serum"/>
        <s v="Mirabelle Tea Tree Essential Facial Sheet Mask"/>
        <s v="Pond's Bright Beauty Face Scrub"/>
        <s v="Lotus Herbals White Glow 3 In 1 Deep Cleansing Facial Foam"/>
        <s v="Lotus Herbals Oatmeal &amp; Yogurt Skin Whitening Scrub"/>
        <s v="Mirabelle Charcoal Premium Facial Sheet Mask"/>
        <s v="Lotus Herbals Aprisrub Fresh Apricot Srub"/>
        <s v="Mirabelle Cucumber Fairness Facial No.1 K-Mask"/>
        <s v="Pond's Juliet Rose Body Moisturising Lotion"/>
        <s v="Olay Natural Aura Glowing Radiance SPF 15 Day Cream"/>
        <s v="Beardo Activated Charcoal Face Wash"/>
        <s v="Pond's Dreamflower Fragrant Talcum Powder - Pink Lily"/>
        <s v="Grace Perfumed Talc"/>
        <s v="Pond's Magic Freshness Talcum Powder - Acacia Honey"/>
        <s v="White Tone Pearl Face Powder"/>
        <s v="Yardley English Lavender Talcum Powder"/>
        <s v="Yardley London Gold Deodorising Talcum Powder"/>
        <s v="Pond's Sandal Radiance Talcum Powder - Natural Sunscreen"/>
        <s v="Grace Sandalwood Perfume Talc"/>
        <s v="Grace Charm Perfume Talc"/>
        <s v="Candid Daily Calamine Talc"/>
        <s v="Nivea Men Active Clean Shower Gel"/>
        <s v="Fiama Blackcurrant &amp; Bearberry Shower Gel"/>
        <s v="Nivea Fresh Powerfruit Shower Gel"/>
        <s v="Nivea Shower Gel Frangipani &amp; Oil"/>
        <s v="Fiama Lemongrass &amp; Jojoba Shower Gel"/>
        <s v="Palmolive Aroma Morning Tonic Shower Gel"/>
        <s v="Mamaearth Ubtan Body Wash For Glowing Skin"/>
        <s v="Nivea Waterlily &amp; Oil Shower Gel"/>
        <s v="Nivea Lemon &amp; Oil Shower Gel"/>
        <s v="Grace Citrus Passion Shower Gel"/>
        <s v="Nivea Frangipani &amp; Oil Shower Gel"/>
        <s v="Nivea Men Pure Impact Shower Gel"/>
        <s v="Grace Deep Impact Shower Gel"/>
        <s v="Palmolive Aroma Absolute Relax Shower Gel"/>
        <s v="Mamaearth Vitamin C Body Wash"/>
        <s v="Palmolive Luminous Oils Invigorating Shower Gel"/>
        <s v="Palmolive Luminous Oils Rejuvenating Shower Gel"/>
        <s v="Neutrogena Rainbath Shower &amp; Bath Gel"/>
        <s v="Khadi Natural Body Wash Sandalwood &amp; Honey"/>
        <s v="Plum Shower Gel - Hawaiian Rumba"/>
        <s v="Plum Shower gel - Trippin' Mimosas"/>
        <s v="PHY Vitamin Sea Energizing Body Wash"/>
        <s v="Beardo B-Acne Clear Body Wash"/>
        <s v="Pears Pure &amp; Gentle Body Wash"/>
        <s v="Pears Soft &amp; Fresh Body Wash"/>
        <s v="Palmolive Feel The Massage Shower Gel"/>
        <s v="Palmolive Luminous Oils Invigorating Shower Gel"/>
        <s v="Dove Deep Moisture Body Wash"/>
        <s v="Lotus Herbals SPF 40 Daily Sunblock Cream - 3-in-1 Matte Look"/>
        <s v="Lotus SPF 25 Pa+++ - Skin Whitening &amp; Brightening Gel Creme"/>
        <s v="Lakme Sun Expert SPF30 PA++ Ultra Matte Lotion"/>
        <s v="Lotus Herbals Safe Sun UV Screen Mattegel"/>
        <s v="Lakme Sun Expert SPF 30 Ultra Matte Lotion"/>
        <s v="Lotus Herbals Safe Sun Sunscreen Cream SPF 30 UVB"/>
        <s v="Lakme Sun Expert SPF 50 PA+++ Ultra Matte Lotion"/>
        <s v="Nivea Original Care Lip Balm"/>
        <s v="Mamaearth Vitamin C Tinted Natural Lip Balm"/>
        <s v="Himalaya Rich Cocoa Butter Lip Care"/>
        <s v="Himalaya Litchi Shine Lip Care"/>
        <s v="Nivea Aloe Protection Body Lotion SPF 15"/>
        <s v="Olay Regenerist Micro-Sculpting Cream"/>
        <s v="Lotus Herbals Radiant Gold Facial Kit"/>
        <s v="Lotus Herbals Radiant Diamond Facial Kit"/>
        <s v="Lotus Herbals Youthrx Anti Ageing Transforming Crème"/>
        <s v="Lotus Whiteglow 3 In 1 Deep Cleansing Whitening Facial Foam"/>
        <s v="Lotus Herbals Youthrx Anti-Ageing Nourishing Night Crème"/>
        <s v="Olay Total Effects 7InOne Daily Serum"/>
        <s v="Lakme 9to5 Moist Mattifyng Moisturiser"/>
        <s v="Lotus Herbals Rosetone Rose Petals Facial Skin Toner"/>
        <s v="Olay Regenerist Revitalising Night Cream"/>
        <s v="L'Oreal Paris Revitalift Cream For Women"/>
        <s v="Lotus Make-Up Xpress Glow 10-In-1 Daily Beauty Crème"/>
        <s v="Vaseline Sun Protection &amp; Cooling Body Serum Lotion"/>
        <s v="Vaseline Daily Bright &amp; Calming Body Serum Spray"/>
        <s v="Lotus Herbals Youthrx Youth Activating Serum + Crème"/>
        <s v="Olay Luminous Tone Perfecting Hydrating Essence"/>
        <s v="Lotus Make-Up Xpress Glow 10-in-1 Beauty Cream SPF 25"/>
        <s v="Lotus Make-Up Nutraglow Moisturiser"/>
        <s v="Olay Total Effects 7InOne Normal SPF 15 Day Cream"/>
        <s v="Olay Natural Aura 7 In One Nourishing Repair Night Cream"/>
        <s v="WOW Aloe Vera Gel"/>
        <s v="Plum Green Tea Clear Face Mask"/>
        <s v="Mamaearth Ubtan Face Wash For Tan Removal"/>
        <s v="Mamaearth Vitamin C Face Wash For Skin Illumination"/>
        <s v="Mamaearth Tea Tree Face Wash For Acne &amp; Pimples"/>
        <s v="Everyuth Natural Tulsi &amp; Turmeric Face Wash"/>
        <s v="Nivea Milk Delights Turmeric Facewash"/>
        <s v="Nivea Milk Delight Saffron Face Wash"/>
        <s v="Glow &amp; Lovely Facewash Instant Glow"/>
        <s v="Mamaearth Charcoal Face Wash For Oil Control"/>
        <s v="Mamaearth Foaming Face Wash Vitamin C"/>
        <s v="Clean &amp; Clear Morning Energy Berry Face Wash"/>
        <s v="Clean &amp; Clear Morning Energy Aqua Face Wash"/>
        <s v="Nivea Total Face Cleanup"/>
        <s v="Clean &amp; Clear Morning Energy Lemon Face Wash"/>
        <s v="Nivea Men Oil Control Charcoal Face Wash"/>
        <s v="Lotus Herbals Teatreewash Tea &amp; Cinnamon Face Wash"/>
        <s v="Lotus Herbals Jojobawash Face Wash"/>
        <s v="Neutrogena Deep Clean Facial Cleanser"/>
        <s v="Neutrogena Hydro Boost Water Gel"/>
        <s v="Lotus Herbals Neemwash Neem &amp; Clove Face Wash"/>
        <s v="Roop Mantra Ayurvedic Cucumber Facewash"/>
        <s v="Roop Mantra Ayurvedic Neem Facewash"/>
        <s v="Neutrogena Oil-Free Acne Wash"/>
        <s v="Neutrogena Oil-Free Acne Wash - Pink Grapefruit"/>
        <s v="WOW Vitamin C Face Wash"/>
        <s v="Khadi Aloe Vera Facewash With Scrub"/>
        <s v="WOW Apple Cider Vinegar Face Wash"/>
        <s v="Boro Plus Advanced Aloe Vera Gel"/>
        <s v="Plum Green Tea Pore Cleansing Face Wash"/>
        <s v="Soulflower Vitamin C Green Tea Foaming Face Wash"/>
        <s v="Soulflower Kumkumadi Face Wash"/>
        <s v="Mamaearth Ubtan Face Scrub For Tan Removal"/>
        <s v="Glow &amp; Lovely Advanced Multi Vitamin Face Cream"/>
        <s v="Mamaearth Bye Bye Blemishes Face Cream"/>
        <s v="Garnier Bright Complete 30x Vitamin C Booster Serum"/>
        <s v="Mamaearth Vitamin C Face Cream"/>
        <s v="Garnier Bright Complete Serum Cream"/>
        <s v="L'Oreal Revitalift 1.5% Hyaluronic Acid Serum"/>
        <s v="Neutrogena Ultra Sheer Dry Touch Sunblock SPF 50+"/>
        <s v="Garnier Bright Complete Fariness Serum Cream"/>
        <s v="L'Oreal Paris Revitalift Crystal Fresh Cream"/>
        <s v="L'Oreal Revitalift Crystal Micro Essence"/>
        <s v="Plum Hello Aloe Just Gel"/>
        <s v="Plum Green Tea Oil-Free Moisturizer"/>
        <s v="Lakme 9to5 Vitamin C+ Day Cream"/>
        <s v="Pond's Super Light Gel"/>
        <s v="Pond's Light Moisturiser Non Oily Cream"/>
        <s v="Garnier Black Serum Face Mask Pure Charcoal"/>
        <s v="Mamaearth Ubtan Face Mask"/>
        <s v="Mirabelle Pearl+Charcoal Facial Sheet Mask"/>
        <s v="Mirabelle Gold + Chrcol Facial Mask"/>
        <s v="Mamaearth Vitamin C Sleeping Mask"/>
        <s v="Lakme Blush &amp; Glow Kiwi Sheet Mask"/>
        <s v="L'Oreal Revitalift Crystal Sheet Mask"/>
        <s v="Garnier Men Powerwhite XL Charcoal Mask"/>
        <s v="L'Oreal Revitalift Hyaluronic Acid Serum Mask"/>
        <s v="Pond's Nourishing Sheet Mask"/>
        <s v="Pond's Brightening Sheet Mask"/>
        <s v="Maybelline Fit Me 128 Compact Warm Nudge"/>
        <s v="Faces Canada Matte Compact SPF 20 - Natural 02"/>
        <s v="Faces Canada Matte Compact SPF 20 - Ivory 01"/>
        <s v="Lakme Perfect Radiance Compact - Golden Medium 03"/>
        <s v="Maybelline Fit Me 115 Compact Ivory"/>
        <s v="Faces Canada Matte Compact SPF 20 - Beige 03"/>
        <s v="Maybelline Fit Me 230 Compact Natural Buff"/>
        <s v="Maybelline Fit Me 220 Compact Natural Beige"/>
        <s v="Maybelline Fit Me 310 Compact Sun Beige"/>
        <s v="Faces Canada Matte Compact SPF 20 - Sand 04"/>
        <s v="Lotus Make-Up Naturalblend Ivory 570 Compact"/>
        <s v="Lotus Make-Up Naturalblend Botanical Natural Beige Compact"/>
        <s v="Lotus Make-Up Naturalblend Botanical Nude 560 Compact"/>
        <s v="Lotus Make-Up Pure Radiance 555 Compact - Light Choco"/>
        <s v="Lakme Absolute Perfect Radiance Compact - Beige Honey 05"/>
        <s v="Maybelline New York Foundation 128 Warm Nude"/>
        <s v="Faces Canada Matte Finish Foundation - Natural 02"/>
        <s v="Maybelline New York Foundation Tube 115 Ivory"/>
        <s v="Lakme Perfecting Liquid Foundation - Coral"/>
        <s v="Faces Canada Matte Finish Foundation - Ivory 01"/>
        <s v="Lakme Perfecting Liquid Foundation - Pearl"/>
        <s v="Maybelline New York Foundation 230 Natural Buff"/>
        <s v="Maybelline New York Fit Me Liquid Foundation - 310"/>
        <s v="Faces Canada Matte Finish Foundation - Beige 03"/>
        <s v="Lakme Perfecting Liquid Foundation - Marble"/>
        <s v="Maybelline New York Foundation Tube 310 Sun Beige"/>
        <s v="Lakme Perfecting Liquid Foundation - Shell"/>
        <s v="Lotus Make-Up Ecostay Foundation - Royal Pearl"/>
        <s v="Faces Canada Second Skin Foundation - Rich Ivory 013"/>
        <s v="Insight HD Foundation - LN10"/>
        <s v="Insight Ultra-Thin Foundation - 03 Sunbeige"/>
        <s v="Faces Canada Second Skin Foundation - Medium Natural 022"/>
        <s v="Lotus Make-Up Ecostay Nourishing Bright Angel L2 Foundation"/>
        <s v="Insight HD Foundation - LNP15"/>
        <s v="Insight Ultra-Thin Foundation - Rose Beige"/>
        <s v="Insight Ultra-Thin Foundation - Warm Nude"/>
        <s v="Insight HD Foundation - MNY20"/>
        <s v="Lakme 9to5 Primer + Matte Cover Foundation - W180 Warm Neutral"/>
        <s v="Lakme 9to5 Primer + Matte Cover Foundation - N200 Neutral Nude"/>
        <s v="Lakme 9to5 Primer + Matte Cover Foundation - W160 Warm Sand"/>
        <s v="Lakme 9to5 Mousse Foundation - Toffee"/>
        <s v="Lakme 9to5 Primer + Matte  Cover Foundation- W120 Warm Caramel"/>
        <s v="Lakme 9to5 Primer + Matte Cover Foundation - C300 Cool Cinnamon"/>
        <s v="Lakme 9to5 Mousse Foundation - Nude Brown"/>
        <s v="Lakme 9to5 Primer + Matte Cover Foundation - C140 Cool Rose"/>
        <s v="Lakme 9to5 Primer + Matte Cover Foundation - C280 Cool Tan"/>
        <s v="Faces Canada Second Skin Foundation - Sand 04"/>
        <s v="Lakme Absolute Blur Perfect Makeup Primer"/>
        <s v="Insight 3 In 1 Long Lasting Primer"/>
        <s v="Maybelline New York Fit Me Dewy + Smooth Primer"/>
        <s v="Faces Canada Primerizer Primer + Moisturizer"/>
        <s v="Lotus Make-Up Ecostay Insta-Smooth Perfecting Primer"/>
        <s v="Faces Canada Ultime Pro Perfecting Primer"/>
        <s v="Lakme 9to5 Complexion Cream Face Cream - Beige"/>
        <s v="Faces Canada CC Cream - Natural 01"/>
        <s v="Lakme 9to5 Complexion Care Face Cream - Bronze"/>
        <s v="Garnier Micellar Cleansing Water"/>
        <s v="Garnier Skin Natural Oil Infused Cleaning Water"/>
        <s v="Faces Canada Makeup Remover Wipes"/>
        <s v="Faces Canada Clean Glow Make Up Remover Wipes"/>
        <s v="Faces Canada Hydro Makeup Remover"/>
        <s v="Faces Canada Ultime Pro Makeup Fixer"/>
        <s v="Insight Pro Concealer Palette - Concealer"/>
        <s v="Lakme Jewel Sindoor - Red"/>
        <s v="Insight Cosmetics Beauty Blender Sponge Applicator - Pink"/>
        <s v="Lakme Jewel Sindoor - Maroon"/>
        <s v="Maybelline New York Fit Me Concealer - 25 Medium"/>
        <s v="Lotus Papaya Saffron"/>
        <s v="Maybelline New York Fit Me Concealer - 15 Fair"/>
        <s v="Faces Canada Berry Blush - Love Vibe Only"/>
        <s v="Insight Make Up Fixer Spray"/>
        <s v="Maybelline New York Fit Me Concealer - 30 Honey"/>
        <s v="Faces Canada Berry Blush - Hop To Beach"/>
        <s v="Lotus Herbals Basiltone Toner"/>
        <s v="Maybelline New York Fit Me Blush Powder - Pink 25"/>
        <s v="Maybelline New York Highlighter - Molten Gold"/>
        <s v="Insight Pro Concealer Palette - Corrector"/>
        <s v="Maybelline New York Highlighter - Molten Rose Gold"/>
        <s v="Faces Canada Highlighter Hello Sunshine"/>
        <s v="Faces Canada Face Palette 3 In 1 - Fresh"/>
        <s v="Faces Canada Ultimate Pro Make Up Fixer"/>
        <s v="Insight Liquid Sindoor - Maroon"/>
        <s v="Insight HD Concealer - (CR-111) LN 10"/>
        <s v="Insight Liquid Sindoor - Red"/>
        <s v="Insight HD Concealer - (CR-111) MNY 20"/>
        <s v="Insight Hd Conceal - 04 Golden Sand"/>
        <s v="Insight Hd Conceal - 01 Sun Beige"/>
        <s v="Insight Hd Conceal - 03 Honey"/>
        <s v="Faces Canada Berry Blush - Call Me Honey"/>
        <s v="Insight Hd Conceal - 05 Porcelain"/>
        <s v="Insight HD Concealer - (CR-111) MN 30"/>
        <s v="Soulflower Acne Clearout Spot Corrector"/>
        <s v="Soulflower Brightening Wand Serum"/>
        <s v="Parachute Coconut Oil"/>
        <s v="Coconourish Coconut Oil"/>
        <s v="Indulekha Bringha Ayurvedic Hair Oil"/>
        <s v="Bajaj Coconut Oil"/>
        <s v="Navratna Ayurvedic Oil"/>
        <s v="Bajaj Almond Drop Hair Oil"/>
        <s v="Dabur Anmol Gold Pure Coconut Hair Oil"/>
        <s v="Dabur Amla Hair Oil"/>
        <s v="Mamaearth Onion Hair Oil With Redensyl"/>
        <s v="Mahabhringaraj Ayurvedic Hair Oil"/>
        <s v="Parachute Advanced Jasmine Hair Oil"/>
        <s v="Emami Kesh King Scalp &amp; Hair Medicine Oil"/>
        <s v="Emami 7 Oils In One"/>
        <s v="Dabur Almond Hair Oil"/>
        <s v="Parachute Advansed Jasmine Coconut Hair Oil"/>
        <s v="Emami Kesh King Ayurvedic Onion Hair Oil"/>
        <s v="Hair &amp; Care Dry Fruit Oil"/>
        <s v="Bajaj Zero Grey Hair Oil Enriched With Onion Helps Fight Greying Of Hair Naturally"/>
        <s v="WOW Onion Black Seed Hair Oil"/>
        <s v="WOW Castor Oil For Hair &amp; Skin"/>
        <s v="Beardo Hair Growth Oil"/>
        <s v="Beardo Godfather Beard Oil Lite"/>
        <s v="Khadi Natural Amla &amp; Brahmi Hair Oil"/>
        <s v="Khadi Natural Bhringraj Hair Oil"/>
        <s v="Parachute Advansed Onion Hair Oil"/>
        <s v="Parachute Advansed Aloe Vera Enriched Coconut Oil - Gold"/>
        <s v="Soulflower Rosemary Lavender Hair Oil"/>
        <s v="Soulflower Onion Hair Oil"/>
        <s v="Clinic Plus Strong &amp; Long Health Shampoo"/>
        <s v="Dove Daily Shine Shampoo"/>
        <s v="L'Oreal Paris Total Repair 5 Shampoo"/>
        <s v="Sunsilk Lusciously Thick &amp; Long Shampoo"/>
        <s v="Sunsilk Stunning Black Shine Shampoo"/>
        <s v="Head &amp; Shoulders Smooth &amp; Silky Shampoo"/>
        <s v="Dove Hair Fall Rescue Shampoo"/>
        <s v="TRESemmé Keratin Smooth Shampoo"/>
        <s v="Dove Intense Repair Shampoo"/>
        <s v="Mamaearth Onion Shampoo With Plant Keratin"/>
        <s v="Dabur Vatika Ayurvedic Shampoo"/>
        <s v="Head &amp; Shoulders Anti-Dandruff Cool Menthol Shampoo"/>
        <s v="TRESemme Hair Fall Defense Shampoo"/>
        <s v="Sunsilk Nourishing Soft &amp; Smooth Shampoo"/>
        <s v="Emami Kesh King Anti-Hairfall Shampoo"/>
        <s v="L'Oreal Paris 6 Oil Nourish Shampoo"/>
        <s v="Johnson's Baby Shampoo"/>
        <s v="Indulekha Bringha Shampoo Proprietary Ayurvedic Medicine for Hair Fall"/>
        <s v="Biotique Kelp Anti Hair Fall Shampoo"/>
        <s v="Pantene Pro-V Hair Fall Control Shampoo"/>
        <s v="Himalaya Gentle Baby Shampoo"/>
        <s v="TRESemmé Smooth &amp; Shine Shampoo"/>
        <s v="Head &amp; Shoulders Anti-Hairfall Shampoo"/>
        <s v="L'Oréal Paris Fall Resist 3X Anti-Hair Fall Shampoo"/>
        <s v="Park Avenue Beer Shampoo"/>
        <s v="Clinic Plus Strong &amp; Long Natural Shampoo"/>
        <s v="Himalaya Gentle Daily Care Protein Shampoo"/>
        <s v="Clinic Plus Strong &amp; Long Shampoo"/>
        <s v="Dove Dandruff Care Shampoo"/>
        <s v="Himalaya Anti-Dandruff Shampoo"/>
        <s v="Nyle Naturals Anti-Hairfall Damage Repair Shampoo"/>
        <s v="L'Oreal Dream Lengths Restoring Shampoo"/>
        <s v="Head &amp; Shoulders 2 In 1 Smooth &amp; Silky Shampoo + Conditioner"/>
        <s v="Pantene Pro-V Hairfall Control Shampoo + Conditioner"/>
        <s v="Nyle Naturals Anti-Hairfall Strong &amp; Healthy Shampoo"/>
        <s v="Himalaya Anti Hair Fall Shampoo"/>
        <s v="Head &amp; Shoulders Anti Dandruff &amp; Anti Hairfall Shampoo"/>
        <s v="Clinic Plus Strong &amp; Thick Shampoo"/>
        <s v="Head &amp; Shoulders 2 In 1 Cool Menthol Shampoo + Conditioner"/>
        <s v="TRESemme Pro Protect Shampoo"/>
        <s v="Khadi Natural Amla Reetha Cleanser"/>
        <s v="Mamaearth Gentle Cleansing Shampoo For Babies"/>
        <s v="WOW Red Onion Black Seed Oil Shampoo"/>
        <s v="WOW Apple Cider Vinegar Shampoo"/>
        <s v="Khadi Natural Amla &amp; Bhringraj Cleanser"/>
        <s v="Khadi Natural Neem &amp; Aloe Vera Hair Cleanser"/>
        <s v="Plum Tea Tree Anti Dandruff Shampoo"/>
        <s v="Soulflower Onion Biotin Shampoo"/>
        <s v="Dove Hairfall Rescue Conditioner"/>
        <s v="Dove Daily Shine Conditioner"/>
        <s v="TRESemmé Keratin Smooth Conditioner"/>
        <s v="Dove Intense Repair Conditioner"/>
        <s v="L'Oréal Paris Total Repair 5 Repairing Conditioner"/>
        <s v="Sunsilk Lusciously Thick &amp; Long Nourishing Conditioner"/>
        <s v="Mamaearth Onion Conditioner For Hairfall Control"/>
        <s v="L'Oréal Paris 6 Oil Nourish Conditioner"/>
        <s v="Livon Hair Serum"/>
        <s v="L'Oréal Paris Colour Protect Conditioner"/>
        <s v="Pantene Pro-V Hairfall Control Conditioner"/>
        <s v="L'Oréal Paris Fall Resist 3X Conditioner"/>
        <s v="Pantene Pro-V Silky Smooth Care Conditioner"/>
        <s v="Khadi Natural Herbal Hair Conditioner Green Tea &amp; Aloevera"/>
        <s v="Plum Olive &amp; Macadamia Moisturizing Hair Mask"/>
        <s v="L'Oréal Casting Crème Gloss 400 Dark Brown Hair Colour - 87.5gm+72ml"/>
        <s v="Garnier Color Naturals 3 Darkest Brown Hair Colour - 60ml+50gm"/>
        <s v="L'Oréal Casting Crème Gloss 200 Ebony Black Hair Colour - 87.5gm+72ml"/>
        <s v="Garnier Color Naturals 1 Black Hair Colour - 60ml+50gm"/>
        <s v="L'Oreal Excellence Creme 3 Dark Brown Hair Colour"/>
        <s v="L'Oreal Excellence Creme 4 Natural Brown"/>
        <s v="L'Oréal Casting Crème Gloss 500 Medium Brown Hair Colour - 87.5gm+72ml"/>
        <s v="Godrej Expert Rich Crème Natural Black 1 Hair Colour"/>
        <s v="Godrej Nupur Mehendi"/>
        <s v="Garnier Brown Black 3.0 Natural Cream Colour"/>
        <s v="Garnier Color Naturals 4 Brown Hair Colour - 60ml+50gm"/>
        <s v="Garnier Original Black 2.0 Natural Cream Colour"/>
        <s v="Garnier Black Naturals Natural Brown 4.0 Hair Colour"/>
        <s v="Indica Easy Natural Black 1 Hair Color"/>
        <s v="Godrej Expert Rich Crème Hair Colour Dark Brown - 4.06"/>
        <s v="Godrej Expert Rich Crème Natural Brown 4 Hair Colour"/>
        <s v="Garnier Color Naturals 3.16 Burgundy Hair Colour - 60ml+50gm"/>
        <s v="Godrej Expert Rich Crème Hair Colour Black Brown - 3.00"/>
        <s v="Garnier Men Shampoo Color 1.0 Natural Black  - 10 ml +10 ml"/>
        <s v="Garnier Deep Black 1.0 Natural Hair Colour"/>
        <s v="Garnier Men Shampoo Color 3.0 Brown Black"/>
        <s v="Revlon Colorsilk 2N Brown Black Hair Color"/>
        <s v="Revlon Colorsilk 4N Medium Brown Hair Color"/>
        <s v="Revlon Colorsilk 5G Light Golden Brown Hair Color"/>
        <s v="Beardo Hair Wax Strong Hold"/>
        <s v="Philips Hair Dryer HP8142"/>
        <s v="Vega Hair Dryer VHDH-05"/>
        <s v="Vega 3 In 1 Hair Styler - VHSCC01"/>
        <s v="Philips HP8302/06 Hair Straightener"/>
        <s v="Vega VHTH 13 Trimmer"/>
        <s v="Vega VHSH 18 Hair Straightener"/>
        <s v="Zodiac Comb"/>
        <s v="Maybelline Colossal Kajal Black"/>
        <s v="Maybelline New York Super Black Kajal"/>
        <s v="Mamaearth Charcoal Black Long Stay Kajal"/>
        <s v="Faces Canada Magneteyes Kajal"/>
        <s v="Faces Canada Magneteyes Kajal - Blue Motivaton"/>
        <s v="Faces Canada Magneteyes Kajal - Brown Comfort"/>
        <s v="Faces Canada Magneteyes Kajal 2 In 1 - Black"/>
        <s v="Faces Canada Magneteyes Kajal - Green Appreciation"/>
        <s v="Insight Intense Kohl Kajal"/>
        <s v="Faces Canada Magneteyes Kajal - Burgundy Love"/>
        <s v="Lakme Eyeconic Kajal - Regal Green"/>
        <s v="Faces Canada Magneteyes Range 3 In 1 - Black"/>
        <s v="Lakme 9to5 Naturale Gel Kajal - Black"/>
        <s v="Faces Canada Ultime Pro Instense Gel Kajal - Black"/>
        <s v="Faces Canada Longwear Eye Pencil - Forest Green"/>
        <s v="Faces Canada Longwear Eye Pencil - Solid Black"/>
        <s v="Plum Kohl Kajal - Deep Black"/>
        <s v="Maybelline New York Hyper Curl Black Mascara"/>
        <s v="Maybelline New York Colossal Mascara"/>
        <s v="Lakme Eyeconic Curling Mascara - Black"/>
        <s v="Insight Mascara"/>
        <s v="Faces Canada Magneteyes Dramatic Volumizing Mascara - Black"/>
        <s v="Faces Canda Whopper Lashes Mascara"/>
        <s v="Lakme Eyeconic Volume Mascara"/>
        <s v="Maybelline New York Colossal Bold Liner - Black"/>
        <s v="Maybelline New York Blackest Black Eyeliner"/>
        <s v="Faces Canada Made In Heaven Ink Eyeliner"/>
        <s v="Faces Canada Magneteyes Eyeliner - Black"/>
        <s v="Lakme Eyeconic Liquid Eyeliner - Black"/>
        <s v="Lakme 9to5 Impact Eye Liner - Black"/>
        <s v="Insight Liner Express Eye Pen"/>
        <s v="Insight Shiny Waterproof Eyeliner - Black"/>
        <s v="Faces Canada Matte Play Eyeliner - Black"/>
        <s v="Lotus Make-Up Opulence Botanical Eye Liner"/>
        <s v="Faces Canada Made In Heaven Ink Eyeliner - Black"/>
        <s v="Faces Canada Ultime Pro Eyestyle Liner - Black"/>
        <s v="Lotus Make-Up Colorkick Eyeliner - Intense Black"/>
        <s v="Faces Canada Eye Brow Defining Pencil - Dark Brown"/>
        <s v="Maybelline New York Blushed Nudes Eyeshadow Palette"/>
        <s v="Maybelline New York 5th Avenue Sunset Mini Palette"/>
        <s v="Faces Canada Ultime Pro Eyeshadow Palette"/>
        <s v="Maybelline Baby Lips Color Lip Balm - Berry Crush"/>
        <s v="Mamaearth Ubtan Tinted Natural Lip Balm"/>
        <s v="Maybelline Baby Lips Cherry Kiss Lip Balm"/>
        <s v="Maybelline New York Color Highline Wine Lip Balm"/>
        <s v="Faces Canada Color Lip Balm - Rose Petal"/>
        <s v="Maybelline New York Color Pink Bloom Lip Balm"/>
        <s v="Maybelline New York Color Peach Bloom Lip Balm"/>
        <s v="Faces Canada Color Lip Balm - Watermelon"/>
        <s v="Lotus Harbals Strawberry Lip Balm"/>
        <s v="Maybelline New York Baby Lips Pink Lolita Lip Balm"/>
        <s v="Faces Canada Lip Balm - Orange Mint"/>
        <s v="Maybelline New York Color Broadway Red Lip Balm"/>
        <s v="Maybelline New York Color Manhattan Mauve Lip Balm"/>
        <s v="Maybelline New York Baby Lips Anti-Oxidant Berry Lip Balm"/>
        <s v="Maybelline New York Color Brooklyn Bronze Lip Balm"/>
        <s v="Plum Red Velvet Love Lip Balm"/>
        <s v="Maybelline Sensational Liquid Matte 06 Best Babe"/>
        <s v="Maybelline New York Ink Liquid Lipstick - 120 Artist"/>
        <s v="Lakme Forever Matte Liquid Lip Colour - Red Wine"/>
        <s v="Lakme Forever Matte Liquid Lip Colour - Pink Ballet"/>
        <s v="Maybelline Sensational Liquid Matte 02 Soft Wine"/>
        <s v="Lakme Forever Matte Liquid Lip Colour - Pink Punch"/>
        <s v="Maybelline New York Ink Liquid Lipstick -225 Delicate"/>
        <s v="Lakme Forever Matte Liquid Lip Colour - Wine Glow"/>
        <s v="Maybelline New York Ink Liquid Lipstick - 80 Ruler"/>
        <s v="Lakme Forever Matte Liquid Lip Colour - Red Cherry"/>
        <s v="Maybelline New York Color Sensational Liquid Matte Lipstick - Sensationally Me"/>
        <s v="Maybelline Sensational Liquid Matte 11 Made Easy"/>
        <s v="Maybelline New York Ink Liquid Lipstick - 20 Pioneer"/>
        <s v="Lakme Forever Matte Liquid Lip Colour - Pink Prom"/>
        <s v="Maybelline New York Ink Liquid Lipstick - 220 Ambitious"/>
        <s v="Maybelline New York Color Sensational  Liquid Matte Lipstick - Flush It Red"/>
        <s v="Faces Canada Creme Finish Lipstick - Plum Peach 06"/>
        <s v="Faces Canada Creme Finish Lipstick - Wine Drop 20"/>
        <s v="Faces Canada Creme Finish Lipstick - Love Nude 09"/>
        <s v="Faces Canada Matte Finish Lipstick - Hot Plum 24"/>
        <s v="Maybelline New York Creamy Mattes Nude Nuance Lipstick"/>
        <s v="Faces Canada Matte Finish Lipstick - Buff Nude 05"/>
        <s v="Faces Canada Creme Finish Lipstick - Imperial Plum 23"/>
        <s v="Lakme Cushion Matte Lipstick - Red Wine"/>
        <s v="Insight Non-Transfer Lip Color - Molten Pink"/>
        <s v="Maybelline New York Creamy Mattes Burgundy Blush Lipstick"/>
        <s v="Faces Canada Creme Finish Lipstick - Natural Brown 21"/>
        <s v="Faces Canada HD Matte Lips + Primer - Magnetic 02"/>
        <s v="Faces Canada Creme Finish Lipstick - Pretty Pink 07"/>
        <s v="Insight Non-Transfer Lip Color - Sugar Plum"/>
        <s v="Maybelline New York Creamy Mattes Rich Ruby Lipstick"/>
        <s v="Maybelline New York Creamy Mattes Divine Wine Lipstick"/>
        <s v="Insight Matte Lip Ink - Boujee"/>
        <s v="Faces Canada HD Matte Lips + Primer - Perfection 01"/>
        <s v="Lakme Forever Matte Liquid Lip Colour - Nude Myth"/>
        <s v="Maybelline New York Creamy Matte Lipstick - Touch Of Spice"/>
        <s v="Maybelline Color Creamy Mattes Flaming Fuchsia 630"/>
        <s v="Faces Canada Creme Finish Lipstick - Rosewood 19"/>
        <s v="Lakme Forever Matte Liquid Lip Colour - Nude Pink"/>
        <s v="Faces Canada Matte Finish Lipstick - Divine Mauve 17"/>
        <s v="Faces Canada HD Matte Lips + Primer - Tease 14"/>
        <s v="Insight Non-Transfer Lip Color - Toffee Cream"/>
        <s v="Faces Canada Matte Finish Lipstick - Forsake Beauty 01"/>
        <s v="Insight Matte Lipstick - A3 Cherry Wine"/>
        <s v="Insight Non-Transfer Lip Color - 03 Divine Wine"/>
        <s v="Faces Canada HD Matte Lips + Primer - Wine Shot 26"/>
        <s v="Faces Canada Matte Finish Lipstick - Maroon Love 06"/>
        <s v="Faces Canada Matte Finish Lipstick - Subtle Mauve 10"/>
        <s v="Faces Canada Creme Finish Lipstick - Amber 14"/>
        <s v="Lotus Make-Up Pure Lip Color Matte - Rouge Allure 600"/>
        <s v="Insight 24 Hrs Matte Lipstick - I'm Tamed! (17)"/>
        <s v="Insight Non-Transfer Lip Color - Charmed"/>
        <s v="Faces Canada HD Matte Lips + Primer - Bold Wine 11"/>
        <s v="Faces Canada HD Matte Lips + Primer - Tea Rose 10"/>
        <s v="Insight Matte Lip Ink - Coco"/>
        <s v="Faces Canada Matte Finish Lipstick - Fuschia Wave 02"/>
        <s v="Insight Non-Transfer Lip Color - 11 Coffe Command"/>
        <s v="Lakme Cushion Matte Lipstick - Red Retro"/>
        <s v="Insight Non-Transfer Lip Color - 01 Joyful"/>
        <s v="Faces Canada HD Matte Lips + Primer - Dash Of Pink 05"/>
        <s v="Faces Canada Matte Finish Lipstick - Royal Maroon 16"/>
        <s v="Lakme Cushion Matte Lipstick - Pink Ruby"/>
        <s v="Maybelline Color Sensational Creamy Mattes Pink My Red 641 Lipstick"/>
        <s v="Insight Matte Lipstick - A10 Bon Bon"/>
        <s v="Faces Canada HD Matte Lips + Primer - Red Bouquet 18"/>
        <s v="Insight Matte Lip Ink - Brave"/>
        <s v="Maybelline Color Creamy Mattes Chili Nude 500 Lipstick"/>
        <s v="Insight 24 Hrs Matte Lipstick - Feeling Bubbly (07)"/>
        <s v="Insight Matte Lipstick - A9 Pink Curve"/>
        <s v="Insight Matte Lipstick - A6 First Love"/>
        <s v="Maybelline Color Creamy Mattes Bold Crimson 634 Lipstick"/>
        <s v="Insight 24 Hrs Matte Lipstick - Paris Vibes (23)"/>
        <s v="Lakme Cushion Matte Lipstick - Red Blaze"/>
        <s v="Lakme Cushion Matte Lipstick - Pink Summer"/>
        <s v="Insight Matte Lipstick - A7 Red Carpet"/>
        <s v="Insight 24 Hrs Matte Lipstick - Stay Basic! (08)"/>
        <s v="Insight Matte Lipstick - A2 Nude Coffee"/>
        <s v="Insight 24 Hrs Matte Lipstick - Moody (13)"/>
        <s v="Insight Mega Last Crayon Lipstick - Making Moves (01)"/>
        <s v="Insight 24 Hrs Matte Lipstick - Yes Please! (16)"/>
        <s v="Insight 24 Hrs Matte Lipstick - Instagram (24)"/>
        <s v="Maybelline Color Creamy Mattes Siren In Scarlet Lipstick 690"/>
        <s v="Lakme Cushion Matte Lipstick - Red Ruby"/>
        <s v="Lakme Forever Matte Liquid Lip Colour - Pink Glam"/>
        <s v="Lakme Cushion Matte Lipstick - Red Orchid"/>
        <s v="Lakme Forever Matte Liquid Lip Colour - Crimson Rose"/>
        <s v="Insight Mega Last Crayon Lipstick - Bleeding Love (07)"/>
        <s v="Insight Mega Last Crayon Lipstick - Talk In Tokyo (15)"/>
        <s v="Faces Canada HD Matte Lips + Primer - Natural Coco 12"/>
        <s v="Faces Canada Matte Finish Lipstick - Pretty Sepia 08"/>
        <s v="Lakme Cushion Matte Lipstick - Red Rose"/>
        <s v="Insight Matte Lip Ink - Heavenly"/>
        <s v="Insight Matte Lipstick - A8 Berry Dance"/>
        <s v="Insight Mega Last Crayon Lipstick - Wait For None (13)"/>
        <s v="Insight Matte Lip Ink - Cherry Bomb"/>
        <s v="Lakme 9to5 Primer + Matte Lipstick - Brown Walnut"/>
        <s v="Insight Mega Last Crayon Lipstick - On My Way (03)"/>
        <s v="Insight 24 Hrs Matte Lipstick - Send Nudes (06)"/>
        <s v="Lakme 9to5 Primer + Matte Lipstick - Rosy Sunday"/>
        <s v="Lakme Forever Matte  Liquid Lip Colour - Red Sangria"/>
        <s v="Lake 9to5 Primer + Matte Lipstick - Peach Affair"/>
        <s v="Insight Matte Lip Ink - Loco"/>
        <s v="Lakme Forever Matte Liquid Lip Colour - Nude Dream"/>
        <s v="Insight Mega Last Crayon Lipstick - Bronzing Sun (24): 1.3 gms"/>
        <s v="Insight Mega Last Crayon Lipstick - Taming Anger (22)"/>
        <s v="Lakme 9to5 Primer + Matte Lipstick - Pink Rose"/>
        <s v="Insight Mega Last Crayon Lipstick - A Godly Sin (23)"/>
        <s v="Insight 24 Hrs Matte Lipstick - Oh Sh... (03)"/>
        <s v="Insight Mega Last Crayon Lipstick - Returning Favours (21)"/>
        <s v="Lakme Forever Matte  Liquid Lip Colour - Mauve Party"/>
        <s v="Lakme Forever Matte Liquid Lip Colour - Mauve Ecstacy"/>
        <s v="Lakme Forever Matte Liquid Lip Colour - Nude Twist"/>
        <s v="Lakme 9to5 Primer + Matte Lipstick - Brick Blush"/>
        <s v="Lakme 9to5 Primer + Matte Lipstick - Scarlet Surge"/>
        <s v="Lakme Forever Matte Liquid Lip Colour - Wine Touch"/>
        <s v="Maybelline New York Creamy Mattes Mesmerizing Magenta Lipstick"/>
        <s v="Faces Canada Nail Enamel Remover Transparent"/>
        <s v="Faces Canada Instaremove Dip &amp; Twist Nail Enamel Remover"/>
        <s v="Faces Canada Splash Nail Enamel - Floral Dream 56"/>
        <s v="Faces Canada Splash Nail Enamel - Iris 102"/>
        <s v="Lakme 9to5 Primer + Gloss Nail Colour - Pink Pace"/>
        <s v="Lakme 9to5 Primer + Gloss Nail Color - Mulberry Bush"/>
        <s v="Lakme 9to5 Primer + Gloss Nail Color -Teal Deal"/>
        <s v="Lakme 9to5 Primer + Gloss Nail Color - Caramel Case"/>
        <s v="Lakme 9to5 Primer + Gloss Nail Color - Ruby Rush"/>
        <s v="Lakme 9to5 Primer + Gloss Nail Color - Mustard Master"/>
        <s v="Faces Canada Splash Nail Enamel - Beach Rose 157"/>
        <s v="Faces Canada Splash Nail Enamel - Linty 45"/>
        <s v="Faces Canada Splash Nail Enamel - Purple Rain 19"/>
        <s v="Insight Nail Polish - Color 215"/>
        <s v="Faces Canada Splash Nail Enamel - Nutty 32"/>
        <s v="Faces Canada Splash Nail Enamel - Marooned 401"/>
        <s v="Faces Canada Splash Nail Enamel - Sunny Side Up 51"/>
        <s v="Insight Pastel Color Nail Polish - 31"/>
        <s v="Insight Nail Polish - Color 224"/>
        <s v="Faces Canada Splash Nail Enamel - Viola 41"/>
        <s v="Lakme True Wear Nail Color - Reds &amp; Maroons 404"/>
        <s v="Faces Canada Splash Nail Enamel - White O White 14"/>
        <s v="Insight Nail Polish - Color 101"/>
        <s v="Insight Pastel Color Nail Polish - 34"/>
        <s v="Elle 18 Nail Pops Nail Colour - Shade 39"/>
        <s v="Insight Long Lasting Nail Polish - 39"/>
        <s v="Faces Canada Splash Nail Enamel - Frozen 40"/>
        <s v="Faces Canada Splash Nail Enamel - Royal Ruby 24"/>
        <s v="Lakme 9to5 Primer + Gloss Nail Color - Blush Punch"/>
        <s v="Faces Canada Splash Nail Enamel - Black Beauty 15"/>
        <s v="Lakme True Wear Nail Color - Nudes V014"/>
        <s v="Insight Pastel Color Nail Polish - 28"/>
        <s v="Faces Canada Splash Nail Enamel - Ignite 35"/>
        <s v="Faces Canada Splash Nail Enamel - Color Up 34"/>
        <s v="Faces Canada Splash Nail Enamel - Bahama Breeze 58"/>
        <s v="Faces Canada Splash Nail Enamel- Hot Paprika 63"/>
        <s v="Faces Canada Splash Nail Enamel - Dove 38"/>
        <s v="Insight Nail Polish - Color 79"/>
        <s v="Insight Nail Polish - Color 64"/>
        <s v="Elle 18 Nail Pops Nail Colour - Shade 25"/>
        <s v="Insight Nail Polish - Color 164"/>
        <s v="Insight Pastel Color Nail Polish - 30"/>
        <s v="Insight Nail Polish - Color 249"/>
        <s v="Faces Canada Splash Nail Enamel - All That Glitters 22"/>
        <s v="Faces Canada Splash Nail Enamel - Nautical Green 53"/>
        <s v="Insight Pastel Color Nail Polish - 69"/>
        <s v="Elle 18 Nail Pops Nail Colour - Shade 119"/>
        <s v="Faces Canada Splash Nail Enamel - Morning Glory 54"/>
        <s v="Insight Nail Polish - Color 168"/>
        <s v="Insight Nail Polish - Nude Shade 2"/>
        <s v="Elle 18 Nail Pops Nail Colour - Shade 42"/>
        <s v="Elle 18 Nail Pops Nail Colour - Shade 05"/>
        <s v="Elle 18 Nail Pops Nail Colour - Shade 57"/>
        <s v="Elle 18 Nail Pops Nail Colour - Shade 132"/>
        <s v="Elle 18 Nail Pops Nail Colour - Shade 32"/>
        <s v="Elle 18 Nail Pops Nail Colour - Shade 127"/>
        <s v="Elle 18 Nail Pops Nail Colour - Shade 41"/>
        <s v="Insight Nail Polish - Color 158"/>
        <s v="Insight Pastel Color Nail Polish - 32"/>
        <s v="Elle 18 Nail Pops Nail Colour - Shade 125"/>
        <s v="Faces Canada Splash Nail Enamel - Sere 44"/>
        <s v="Insight Nail Polish - Color 316"/>
        <s v="Elle 18 Nail Pops Nail Colour - Shade 128"/>
        <s v="Faces Canada Splash Nail Enamel - Tropical Green 59"/>
        <s v="Elle 18 Nail Pops Nail Colour - Shade 60"/>
        <s v="Elle 18 Nail Pops Nail Colour - Shade 122"/>
        <s v="Insight Nail Polish - Color 211"/>
        <s v="Elle 18 Nail Pops Nail Colour - Shade 69"/>
        <s v="Insight Nail Polish - Nude Shade 19"/>
        <s v="Colgate Dental Cream Strong Teeth Toothpaste"/>
        <s v="Colgate MaxFresh Spicy Fresh Toothpaste"/>
        <s v="Patanjali Dant Kanti Dental Cream"/>
        <s v="Colgate Total Advanced Health Toothpaste"/>
        <s v="Closeup Everfresh+ Anti-Germ Gel Red Hot Toothpaste"/>
        <s v="Dabur Red Tooth Paste"/>
        <s v="Dabur Meswak Toothpaste"/>
        <s v="Pepsodent Germi Check Toothpaste"/>
        <s v="Sensodyne Repair &amp; Protect Toothpaste"/>
        <s v="Colgate Swarna Vedshakti Toothpaste"/>
        <s v="Sensodyne Rapid Relief Toothpaste"/>
        <s v="Colgate Max Fresh Peppermint Ice Toothpaste"/>
        <s v="Dabur Red Ayurvedic Toothpaste"/>
        <s v="Colgate Visible White Toothpaste"/>
        <s v="Sensodyne Fresh Gel Toothpaste"/>
        <s v="Colgate Charcoal Clean Bamboo &amp; Mint Toothpaste"/>
        <s v="Sensodyne Fresh Mint Toothpaste"/>
        <s v="Colgate Active Salt Toothpaste"/>
        <s v="Himalaya Sparkling White Herbal Toothpaste"/>
        <s v="Colgate Kids Toothpaste - Strawberry"/>
        <s v="Sensodyne Whitening Fluoride Toothpaste"/>
        <s v="Vicco Vajradanti - Ayurvedic Medicine For Gums &amp; Teeth"/>
        <s v="Colgate Kids Toothpaste Bubble Fruit Flavour"/>
        <s v="Pepsodent 2-In-1 Toothpaste"/>
        <s v="Colgate Cibaca Toothpaste"/>
        <s v="Colgate Active Salt Neem Toothpaste"/>
        <s v="Colgate Visible White O2 Toothpaste - Aromatic Mint"/>
        <s v="Colgate Visible White O2 Toothpaste - Peppermint Sparkle"/>
        <s v="Listerine Cool Mint Mouthwash"/>
        <s v="Colgate Plax Peppermint Fresh Mouthwash"/>
        <s v="Listerine Original Mouthwash"/>
        <s v="Colgate Plax Fresh Tea Mouthwash"/>
        <s v="Colgate Plax Freshmint Mouthwash"/>
        <s v="Smyle Mouth Ulcer Gel"/>
        <s v="Colgate Ultra Soft Sensitive Toothbrush"/>
        <s v="Oral-B Cavity Defence Soft Toothbrush"/>
        <s v="Oral-B Pro Health Gum Care Medium Toothbrush"/>
        <s v="Colgate Zigzag Medium Toothbrush"/>
        <s v="Colgate Gentle Enamel Ultra Soft Toothbrush"/>
        <s v="Colgate Slim Soft Charcoal Toothbrush"/>
        <s v="Sensodyne Sensitive Soft Toothbrush"/>
        <s v="Colgate Zigzag Soft Toothbrush"/>
        <s v="Colgate Zigzag Neem Medium Toothbrush"/>
        <s v="Colgate Zig Zag Charcoal Medium Toothbrush"/>
        <s v="Oraldent Medium Toothbrush"/>
        <s v="Colgate Gentle Gum Care Ultra Soft Toothbrush"/>
        <s v="Sensodyne Toothbrush"/>
        <s v="Oral Dent Kids Toothbrush (5+ Years)"/>
        <s v="Colgate Kids Barbie Extra Soft Toothbrush"/>
        <s v="Colgate Extra Soft Minions Kids Toothbrush"/>
        <s v="Colgate Zig Zag Charcoal Soft Toothbrush"/>
        <s v="Oraldent Deep Clean Soft Toothbrush"/>
        <s v="Oral Dent Bamboo Toothbrush"/>
        <s v="Sensodyne Soft Toothbrush"/>
        <s v="Oraldent Regular Toothbrush"/>
        <s v="Sensodyne Expert Soft Toothbrush"/>
        <s v="Oraldent Sensitive Toothbrush"/>
        <s v="Whisper Ultra Clean XL+ Wings Pads"/>
        <s v="Stayfree Dry Max Ultra All Night - XL"/>
        <s v="Stayfree Secure Cottony Wings XL"/>
        <s v="Sofy Body fit Antibacterial XL Pads"/>
        <s v="Whisper Ultra Soft Wings Pads XL"/>
        <s v="Whisper Bindazzz Nights XL +"/>
        <s v="Whisper Choice Ultra XL Wings Pads"/>
        <s v="Stayfree Secure Cottony Soft Regular"/>
        <s v="VWash Plus Expert Intimate Hygiene"/>
        <s v="Stayfree Secure Nights Cottony Soft Comfort"/>
        <s v="Whisper Choice XL Pads"/>
        <s v="Whisper Ultra Clean XL Wings Pads"/>
        <s v="Stayfree Secure XL Ultra-Thin"/>
        <s v="Carefree Super Dry Panty Liners"/>
        <s v="Whisper Choice Extra Long (XL) Pads"/>
        <s v="Nivea Men Fresh Active Deodorant"/>
        <s v="Park Avenue Signature Voyage Perfume Spray"/>
        <s v="Kamasutra Spark Men Deodorant"/>
        <s v="Fogg Marco Fragrance Body Spray"/>
        <s v="Brut Original Deodorant"/>
        <s v="Fogg Napoleon Fragrance Body Spray"/>
        <s v="Fogg Extreme Fragrance Body Spray"/>
        <s v="Nivea Men Fresh Active Roll-On"/>
        <s v="Fogg Dynamic Fragrance Body Spray"/>
        <s v="Fogg Scent Impressio Eau De Parfum"/>
        <s v="Fogg Scent Xtremo Perfume"/>
        <s v="Brut Sport Style Men's Deodorant"/>
        <s v="Fogg Royal Fragrance Body Spray"/>
        <s v="Park Avenue Neo Perfume Spray Deo"/>
        <s v="Nivea Men Deep Impact Fragnance Roll On"/>
        <s v="Wild Stone Red Deodorant"/>
        <s v="Fogg Scent Xpressio Perfume"/>
        <s v="Brut Attraction Totale Deodorant"/>
        <s v="Wild Stone Hydra Energy Perfume"/>
        <s v="Wild Stone Ultra Sensual Perfume"/>
        <s v="Park Avenue Voyage Amazon Woods Premium Perfume"/>
        <s v="Axe Signature Mysterious long Lasting No Gas Body Perfume For Men"/>
        <s v="Killer Ocean Deodorant"/>
        <s v="Yardley London Gentleman Classic Perfume"/>
        <s v="Nivea Men Cool Kick Roll-On"/>
        <s v="Wild Stone Hydra Energy Deodorant"/>
        <s v="Brut Musk Deodorant"/>
        <s v="Axe Signature Intense Long Lasting Body Deodorant For Men"/>
        <s v="Killer Storm Deodorant"/>
        <s v="Kamasutra Rush Deodorant Spray"/>
        <s v="Wild Stone Forest Spice Perfume"/>
        <s v="Axe Signature Rogue Long Lasting Body Deodorant For Men"/>
        <s v="Yardley London Gentleman Urbane Perfume"/>
        <s v="Kamasutra Urge Men Deodorant"/>
        <s v="Kamasutra Rush Men Deodorant Spray"/>
        <s v="Wild Stone Ultra Sensual Deodorant"/>
        <s v="Beardo Whisky Smoke Perfume Body Spray"/>
        <s v="Park Avenue Good Morning Eternity Eau De Parfum"/>
        <s v="Park Avenue Voyage Obsession Eau De Parfum"/>
        <s v="Fogg Absolute Body Spray"/>
        <s v="Nivea Pearl &amp; Beauty Roll-On Deodorant"/>
        <s v="Nivea Pearl &amp; Beauty Deodorant"/>
        <s v="Yardley London Morning Dew Body Spray"/>
        <s v="Fogg Paradise Fragrant Body Spray for Women"/>
        <s v="Nivea Whitening Smooth Skin Roll-On"/>
        <s v="Nivea Fresh Natural Deodorant"/>
        <s v="Engage Blush Women Deodorant"/>
        <s v="Spinz Exotic Perfumed Deodorant Body Spray"/>
        <s v="Nivea Whitening Smooth Skin Deodorant"/>
        <s v="Engage Drizzle Women Deodorant"/>
        <s v="Nivea Fresh Ocean Deodorant"/>
        <s v="Nivea Protect &amp; Care Deodorant"/>
        <s v="Plum Body Mist - Vanilla Vibes"/>
        <s v="Plum Pit Cream - Hawaiian Rumba"/>
        <s v="Gillette Mach3"/>
        <s v="Gillette Presto Ready Shaver"/>
        <s v="Gillette Fusion Power Cartridges"/>
        <s v="Gillette Vector Twin Blades"/>
        <s v="Gillette Fusion - 8 Cartridges"/>
        <s v="Gillette Guard"/>
        <s v="Gillette Start Mach 3 - 8 Cartridges"/>
        <s v="Gillette Mach3 Turbo Cartridges"/>
        <s v="Gillette Mach3 Razor"/>
        <s v="Supermax Long Handle Razors"/>
        <s v="Gillette 3 Presto"/>
        <s v="Gillette Mach3 Sensitive - 4 Cartridges"/>
        <s v="Supermax SMX Razor"/>
        <s v="Supermax 3 Hattrick Triple Blade Disposable Razors"/>
        <s v="Laser Sport 3 Razor"/>
        <s v="Gillette Fusion Razor"/>
        <s v="Supermax 3 Aloe Disposable Comfort Grip Razor"/>
        <s v="Gillette Mach3 Turbo Razor"/>
        <s v="Gillette Fusion Power Razor"/>
        <s v="Gillette Guard 3 - 1 Razor + 3 Cartridges"/>
        <s v="Gillette Vector 3 Razor"/>
        <s v="Gillette Fusion Proglide Styler (Trimmer)"/>
        <s v="Gillette Shaving Foam - Sensitive"/>
        <s v="Gillette Shaving Foam - Regular"/>
        <s v="Gillette Series Moisturizing Shave Gel"/>
        <s v="Gillette Shaving Foam - Menthol"/>
        <s v="Super Max Classic Shaving Foam"/>
        <s v="Laser Sport 3 Shaving Foam"/>
        <s v="Super Max Sensitive Shaving Foam"/>
        <s v="Gillette Simply Venus Razor"/>
        <s v="Gillette Venus Breeze Razor"/>
        <s v="Gillette Venus Razor"/>
        <s v="Laser Petals 3 Women Razor"/>
        <s v="Gillette Shaving Cream - Lime"/>
        <s v="Gillette Series Shaving Gel Sensitive Skin"/>
        <s v="Gillette Shaving Cream - Regular"/>
        <s v="Gillette Shave Brush"/>
        <s v="Premium Eau De Cologne"/>
        <s v="Gillette After Shave Splash - Refreshing Breeze"/>
        <s v="Gillette Pro After Shave Splash - Icy Cool"/>
        <s v="Himalaya Baby Lotion"/>
        <s v="Johnson's Baby Lotion"/>
        <s v="Himalaya Extra Soft &amp; Gentle Baby Cream"/>
        <s v="Mamaearth Milky Soft Body Lotion For Babies"/>
        <s v="Himalaya Baby Massage Oil"/>
        <s v="Roghan Sukoon Massage Oil"/>
        <s v="Himalaya Baby Powder"/>
        <s v="Johnson's Baby Powder"/>
        <s v="Mamaearth Milky Soft Shampoo For Babies"/>
        <s v="Mamaearth Milky Soft Body Wash For Babies"/>
        <s v="Himalaya Gentle Baby Soap"/>
        <s v="Johnson's Baby Soap"/>
        <s v="Himalaya Extra Moisturizing Baby Soap"/>
        <s v="Mamaearth Moisturizing Bathing Bar For Babies"/>
        <s v="Johnson's Baby Soap - Blossoms"/>
        <s v="Himalaya Total Care Baby Pants Extra Large"/>
        <s v="Huggies Wonder Pants - Extra Large"/>
        <s v="Pampers Mega Baby Dry Pants - Extra Large"/>
        <s v="Himalaya Total Care Baby Pants Large"/>
        <s v="Mamy Poko Pants Extra Absorb - Large"/>
        <s v="Mamy Poko Pants Extra Absorb - Extra Large"/>
        <s v="Mamy Poko Extra Absorb Pants - Medium"/>
        <s v="Pampers Baby Dry Pants - XXL"/>
        <s v="Himalaya Total Care Baby Pants Medium"/>
        <s v="Pampers Premium Care Pants - Large"/>
        <s v="Pampers Baby Dry Pants - Medium"/>
        <s v="Huggies Wonder Pants - Large"/>
        <s v="Pampers Premium Care Pants - Medium"/>
        <s v="Pampers Premium Care Pant - Extra Large"/>
        <s v="Huggies Wonder Pants - Medium"/>
        <s v="Mamy Poko Standard Diaper Pants - Large"/>
        <s v="Mamy Poko Standard Diaper Pants - Small"/>
        <s v="Mamy Poko Standard Diaper Pants - Medium"/>
        <s v="Mamy Poko Extra Absorb Pants - Small"/>
        <s v="Pampers Diapers - New Baby"/>
        <s v="Pampers Baby-Dry Pants - New Baby"/>
        <s v="Pampers Baby Dry Pants - Extra Large"/>
        <s v="Huggies Wonder Pants - Small"/>
        <s v="Huggies Wonder Pants Extra Small"/>
        <s v="Friends Easy Adult Diapers Large"/>
        <s v="Friends Easy Adult Diapers Medium"/>
        <s v="Friends Premium Adult Dry Pants (Pull-Ups) - Large"/>
        <s v="Friends Premium Adult Dry Pants (Pull-Ups) - Medium"/>
        <s v="Himalaya Gentle Baby Wipes"/>
        <s v="Little's Soft Cleansing Baby Wipes"/>
        <s v="Pampers Aloe Vera Baby Wipes"/>
        <s v="Savlon Antiseptic Disinfectant Liquid"/>
        <s v="Vicco Turmeric WSO Skin Cream"/>
        <s v="Kailas Jeevan Multipurpose Ayurvedic Cream"/>
        <s v="Boro Plus Antiseptic Cream"/>
        <s v="Boroline Antiseptic Ayurvedic Cream"/>
        <s v="Eucalyptus (Nilgiri) Oil"/>
        <s v="Boroline Suthol Neem Skin Liquid"/>
        <s v="Acetone"/>
        <s v="Boroline's Suthol Neem Spray"/>
        <s v="Eno Fruit Salt Regular"/>
        <s v="Eno Fruit Salt Lemon Flavour"/>
        <s v="Sat - Isabgol Psyllium Husk Powder"/>
        <s v="Hawaban Harde Goli"/>
        <s v="Zandu Pancharishta Digestive Tonic"/>
        <s v="Dabur Hajmola Anardana"/>
        <s v="Dabur Hajmola Imli"/>
        <s v="Dabur Hajmola Regular"/>
        <s v="Kayam Churna"/>
        <s v="Eno Fruit Salt Orange Flavour"/>
        <s v="Zandu Kesari Jivan"/>
        <s v="Dabur Pudin Hara Liquid"/>
        <s v="Gas-O-Fast Active Jeera Gas Relief"/>
        <s v="Pet Safa Natural Laxative Tablets"/>
        <s v="Pet Safa Natural Laxative Granules"/>
        <s v="Vicks Vaporub"/>
        <s v="Vicks Babyrub"/>
        <s v="Honitus Cough Syrup"/>
        <s v="Adusol Tulsi Cough Syrup"/>
        <s v="Vicks Inhaler"/>
        <s v="Vicks Cough Menthol"/>
        <s v="Vicks Ginger Cough Drops"/>
        <s v="Yogi Kanathika Throat Relief"/>
        <s v="Dettol Menthol Cool Disinfectant Liquid"/>
        <s v="Relispray Pain Relief Spray"/>
        <s v="Iodex Multi-Purpose Pain Relief Balm"/>
        <s v="Zandu Balm"/>
        <s v="Moov Cream Pain Relief Specialist"/>
        <s v="Moov Spray Pain Relief Specialist"/>
        <s v="Monison's Pain Balm"/>
        <s v="Tiger Balm Red Ointment"/>
        <s v="Amrutanjan Back Pain Roll On"/>
        <s v="Amrutanjan Extra Power Pain Balm"/>
        <s v="Amrutanjan Joint Muscle Spray"/>
        <s v="Dr. Ortho Ayurvedic Medicine Oil"/>
        <s v="Zandu Ultra Power Balm"/>
        <s v="Amrutanjan Strong Pain Balm"/>
        <s v="Zandu Balm Ultra Power"/>
        <s v="Zandu Quick Relief Roll-On for Headache"/>
        <s v="Tiger Balm White Ointment"/>
        <s v="Himani Fast Relief"/>
        <s v="Himalaya Pain Balm Strong"/>
        <s v="Monisons Pain Balm"/>
        <s v="Himalaya Wellness Cold Balm - Eucalyptus"/>
        <s v="Ashwin Castor Oil (Erandel Tel)"/>
        <s v="Dr. Ortho Pain Relieving Ointment"/>
        <s v="Ayurvedic Dharasana Malis Tel"/>
        <s v="Menthodex Strong Pain Balm"/>
        <s v="Amrut Malam"/>
        <s v="B-Tex Super Ointment"/>
        <s v="Ayurvedic Dharasana Lep"/>
        <s v="Axe Brand Universal Oil"/>
        <s v="Lookman-E-Hayat Tel"/>
        <s v="Tulips Cotton Balls"/>
        <s v="Tulips Cotton Swab Fsc Paper Sticks"/>
        <s v="Renu Multi-Purpose Contact Lens Solution"/>
        <s v="Renu Fresh Multi-Purpose Contact Lens Solution"/>
        <s v="Shri Hari Jivadaya Netraprabha Plus Eye Drops"/>
        <s v="Durex Condoms - Extra Time"/>
        <s v="Kamasutra Dotted Condoms"/>
        <s v="Durex Air Ultra Thin Condoms"/>
        <s v="Kamasutra Ribbed Condoms"/>
        <s v="Durex Mutual Climax Condoms"/>
        <s v="Durex Condoms - Extra Dots"/>
        <s v="Durex Extra Thin Condoms"/>
        <s v="Kamasutra Longlast Condoms"/>
        <s v="Skore Condoms Not Out"/>
        <s v="Durex Extra Ribbed Condoms"/>
        <s v="Kamasutra Superthin Condoms"/>
        <s v="Durex Invisible Condoms"/>
        <s v="Manforce Hotdots Belgian Chocolate Flavoured Condoms"/>
        <s v="Durex Wild Strawberry Flavoured Condoms"/>
        <s v="Durex Play Vibrations Ring"/>
        <s v="Kamasutra Orgasmax Flavoured Ultimate Condoms"/>
        <s v="Kamasutra Ultra Thin Condoms"/>
        <s v="Manforce Ultra Feel Bubble Gum Flavoured Condoms"/>
        <s v="Durex Play Tingling Pleasure Gel"/>
        <s v="Durex Play Saucy Strawberry Pleasure Gel"/>
        <s v="Durex Condoms - Bubblegum Flavour"/>
        <s v="Kamasutra 2064 Dots Dottmax Condoms"/>
        <s v="Durex Play Sensual Intimate Lube"/>
        <s v="Durex Play Cherry Pleasure Gel"/>
        <s v="Skore Cool Mint Flavoured Condoms"/>
        <s v="Kamasutra Intensity Condoms"/>
        <s v="Durex Play Stimulating Intimate Lube"/>
        <s v="Hansaplast Regular Antiseptic Bandage"/>
        <s v="Hansaplast Washproof Medicated Dressing"/>
        <s v="Hansaplast Jumbo Antiseptic Larger Wound Pad"/>
        <s v="Hansaplast Lion Plaster Pain Relief Patch"/>
        <s v="Hansaplast Lion Intensive &amp; Long Lasting Heat Plaster"/>
        <s v="Hansaplast Relieves Pressure &amp; Pain Corn Plaster"/>
        <s v="Hansaplast Strong Adhesion Fixation Tape - 2.5 cms x 9.14 Metres"/>
        <s v="Himalaya Ashvagandha General Wellness"/>
        <s v="Himalaya Ayur Slim Capsules"/>
        <s v="Himalaya Guduchi Immunity Wellness"/>
        <s v="Dettol Skincare Liquid Handwash Refill"/>
        <s v="Hand Aid Handwash Skin Care"/>
        <s v="Dettol Original Liquid Handwash Refill"/>
        <s v="Hand Aid Handwash Classic"/>
        <s v="Lifebuoy Total 10 Activ Silver Formula Germ Protection Handwash Refill"/>
        <s v="Hand Aid Handwash Total"/>
        <s v="Godrej Liquid Germ Fighter Lime &amp; Eucalyptus Handwash"/>
        <s v="Godrej Liquid Germ Fighter Handwash"/>
        <s v="Santoor Gentle Handwash Pouch - Classic"/>
        <s v="Godrej Protekt Lavender Handwash Refill"/>
        <s v="Savlon Deep Clean Handwash Pouch"/>
        <s v="Savlon Moisture Shield Handwash Pouch"/>
        <s v="Lux French Rose &amp; Almond Oil Handwash"/>
        <s v="Plum Vitamin C Face Serum With Mandarin"/>
        <s v="Lakme 9to5 Vitamin C+ Facial Serum"/>
        <s v="Plum Green Tea Renewed Clarity Night Gel"/>
        <s v="Philips Emergency Led Bulb"/>
        <s v="Ambrane Type-C Braided Cable (1 Metre)"/>
        <s v="Philips 1400W Gc1906/20 Steam Iron"/>
        <s v="Duracell Chhota Power AA Batteries"/>
        <s v="Ambrane Polymer Power Bank"/>
        <s v="Duracell Chhota Power AAA Batteries"/>
        <s v="Cg Laser Ray Neo 20W Led Batten"/>
        <s v="Panasonic Multi Plug Adaptor"/>
        <s v="Zebronics Aux Cable ASC100"/>
        <s v="Panasonic Cherry Flexicord Flex Box"/>
        <s v="Syska SDI07 Dry Iron"/>
        <s v="Bajaj Dry Iron - DX4"/>
        <s v="Crompton Greaves Rhino Heavy Weight Iron"/>
        <s v="Bajaj MX35N Steam Iron"/>
        <s v="Crompton Greaves Dry Iron - PD Plus"/>
        <s v="Usha EI1602 Electric Iron"/>
        <s v="Usha Aurora Dry Iron"/>
        <s v="Crompton Greaves Hill Briz Ceiling Fan 1200 mm"/>
        <s v="Crompton Greaves Super Briz Deco Ceiling Fan 1200 mm : Smoked Brown"/>
        <s v="Havells Reo Tejas Ceiling Fan 1200 mm"/>
        <s v="Usha Swift Ceiling Fan 600 mm"/>
        <s v="Usha Aerostyle Ceiling Fan 1200 mm"/>
        <s v="Bajaj Grace DLX Bianco Ceiling Fan 1200 mm"/>
        <s v="Usha Air King Deco Ceiling Fan"/>
        <s v="Bajaj Grace DLX Mat Ceiling Fan 1200 mm"/>
        <s v="Syska Maxair Deco Ceiling Fan Sfd 1000 - 1200 mm"/>
        <s v="Orpat Air Flora Ceiling Fan 1200 mm"/>
        <s v="Syska Maxair Silent Operation Ceiling Fan SFP 1100 - 1200 mm"/>
        <s v="Crompton Greaves Avancer Antidust Bakers Ceiling Fan 1200 mm"/>
        <s v="GM Air MT Electric Ceiling Fan - 1200 mm"/>
        <s v="Usha Striker Platinum GBD Ceiling Fan 1200 mm"/>
        <s v="GM G-Breeze Deco MT Ceiling Fan - 1200 mm"/>
        <s v="Usha Mist Air Duos Pedestal Fan"/>
        <s v="Havells Aerosupreme Deco Electric Ceiling Fan - 1200 mm"/>
        <s v="Usha Striker Galaxy Good Bye Dust Ceiling Fan 1200 mm"/>
        <s v="Crompton IHL-201 Immersion Heater"/>
        <s v="Crompton Instant Water Heater"/>
        <s v="Crompton Immersion Heater"/>
        <s v="Usha IH2410 Immersion Heater"/>
        <s v="Borosil Rio Kettle - 1.5 Litres"/>
        <s v="Crompton Greaves Ameo Mixer Grinder - 750 W"/>
        <s v="Kajafa Multifunctional Juicer - 400 W"/>
        <s v="Bajaj Mixer Grinder Tornado - 3 Jars"/>
        <s v="Wonderchef Nutri-Blend Red With 3 Jars"/>
        <s v="Bajaj Mixer Grinder - GX4 - 500 W"/>
        <s v="Bajaj GX8 Mixer Grinder - 750 W"/>
        <s v="Morphy Richards Primo Classique Mixer Grinder - 750 W"/>
        <s v="Pigeon Induction Cooktop Acer Plus"/>
        <s v="Prestige Induction Cooktop PIC 16.0 Plus"/>
        <s v="Prestige Induction Cooktop PIC 20.0"/>
        <s v="Bajaj Majesty ICX Pearl Induction Cooktop"/>
        <s v="Bajaj Majesty ICX 3 Induction Cooktop"/>
        <s v="Usha Induction Cooktop - IC3616 : 1600 W"/>
        <s v="I &amp; D Black Cotton Men's T-Shirt"/>
        <s v="I &amp; D Grey Cotton Men's T-Shirt"/>
        <s v="Macho Men's Metro Vest White RN - 80 cm (S)"/>
        <s v="No Fuss Men's Cotton Vest Sleeveless - 95 cm (XL)"/>
        <s v="Dutch Harbor Men's Vest Rib Sleeveless - L (90 cm)"/>
        <s v="Macho Multicolour Brief Smart Cut - 95 cm (XL)"/>
        <s v="Macho Multicolour Intro Long Trunk - 95 (XL)"/>
        <s v="Rupa Frontline Expando Men's Brief - 95 cm (XL)"/>
        <s v="Macho Printed Mini Men's Trunk - 95 cm (XL)"/>
        <s v="Rupa Frontline DRAW Men's Trunk - 95cm (XL)"/>
        <s v="No Fuss Men's 100% Cotton Boxers - B01 (XL)"/>
        <s v="No Fuss Men's Shorts Combo D02"/>
        <s v="No Fuss Men'S Shorts Combo With Side Pockets - D01"/>
        <s v="No Fuss Gent's White"/>
        <s v="No Fuss Men's Sneaker Socks"/>
        <s v="Dutch Harbor Gent's Hanky - White"/>
        <s v="No Fuss Men's Sports Ankle Socks"/>
        <s v="Dutch Harbor Gent's Hanky - Multicolour"/>
        <s v="No Fuss Gent's Hanky - Multicolour"/>
        <s v="No Fuss Gent's Hanky - White"/>
        <s v="No Fuss Men's Loafer Socks"/>
        <s v="No Fuss Gent's Hanky - White/Blue"/>
        <s v="No Fuss Men's Loafer Socks - D2"/>
        <s v="FNF Crossline Men's Hanky - Multicolour"/>
        <s v="Feather Soft Black Ankle Length Legging - 1 Unit"/>
        <s v="Feather Soft White Ankle Length Legging - 1 Unit"/>
        <s v="Feather Soft Navy Blue Ankle Length Legging - 1 Unit"/>
        <s v="Feather Soft Red Ankle Length Legging - 1 Unit"/>
        <s v="Feather Soft Skin Color Ankle Length Legging - 1 Unit"/>
        <s v="Clio Ladies T-Shirt &amp; Pyjama Nightwear Set (A1)"/>
        <s v="Clio Ladies T-Shirt &amp; Pyjama Nightwear Set (A5)"/>
        <s v="Clio Ladies T-Shirt &amp; Pyjama Nightwear Set (A4)"/>
        <s v="Clio Ladies T-Shirt &amp; Pyjama Nightwear Set (A2)"/>
        <s v="Clio Ladies T-Shirt &amp; Pyjama Nightwear Set (A6)"/>
        <s v="Clio Ladies T-Shirt &amp; Pyjama Nightwear Set (B2)"/>
        <s v="Clio Ladies T-Shirt &amp; Pyjama Nightwear Set (B3)"/>
        <s v="Clio Ladies T-Shirt &amp; Pyjama Nightwear Set (B1)"/>
        <s v="Clio Ladies T-Shirt &amp; Pyjama Nightwear Set (B4)"/>
        <s v="In Shape Ladies Inner Elastic Hipster Panties - C"/>
        <s v="In Shape Ladies Inner Elastic Hipster Panties - B"/>
        <s v="Wildcraft Power Laptop Backpack - Black"/>
        <s v="Wildcraft Edge Rucksack - 45 Litres"/>
        <s v="High Spirit Priority Champ Laptop Backpack - Black"/>
        <s v="Safari Trance/Nirvana Laptop Backpack"/>
        <s v="Aristocrat Marco Laptop Backpack - Black"/>
        <s v="Skybags New Neon School Backpack - Grey"/>
        <s v="Skybags New Neon School Backpack - Pink"/>
        <s v="Aristocrat Kane Backpack - Light Blue"/>
        <s v="Aristocrat Tiago Backpack - Blue"/>
        <s v="Aristocrat Gulf Backpack - Grey"/>
        <s v="Aristocrat Gulf Backpack - Green"/>
        <s v="Wildcraft Wonder Backpack - Chips Grey"/>
        <s v="Wildcraft Wonder Backpack - Ombre Black"/>
        <s v="Wildcraft Wonder Backpack - Tribal Blue"/>
        <s v="Wildcraft Power Laptop Utility Backpack - Black"/>
        <s v="Wildcraft Power Laptop Backpack - Grey"/>
        <s v="Disposable FFP2 Face Mask"/>
        <s v="Wildcraft 6 Layer Large Face Mask"/>
        <s v="Disposable 3 Ply Face Mask"/>
        <s v="Vatsal Designer Face Mask 1424 Polo"/>
        <s v="Vatsal Designer Face Mask 1418 Polo"/>
        <s v="High Spirit 3 Layer Reusable Mask"/>
        <s v="Zebronics Tulip Earphones - Black"/>
        <s v="Zebronics Gravity Wireless Bluetooth Neckband Earphone"/>
        <s v="Boat Rockerz 238 Black Wireless Bluetooth Headset"/>
        <s v="Ambrane EP-56 Wired Earphones - Assorted"/>
        <s v="Zebronics Delight Bluetooth Speaker"/>
        <s v="Boat Rockerz 255R Black Bluetooth Earphone"/>
        <s v="Portronics Wireless Sports Earburds"/>
        <s v="Boat Bass 910 Wired Headphone"/>
        <s v="Ambrane Dots 38 Wireless Earphone"/>
        <s v="Zebronics Sound Bomb S1 Wireless Earbud"/>
        <s v="Ambrane Melody Twist Bluetooth Neckband"/>
        <s v="Zebronics Aura Bluetooth Headphone"/>
        <s v="Ambrane Bassband Beat Bluetooth Earphones"/>
        <s v="Ambrane Wh-65 Over The Ear Wireless Headphones With Mic - Black"/>
        <s v="Boat Rockerz 450R Black Wireless Bluetooth Headphone"/>
        <s v="Zebronics Paradise Bluetooth Headphone"/>
        <s v="Zebronics Sound Feast 51 Bluetooth Portable Speaker"/>
        <s v="Urbn Raw Wireless Neckband - Black"/>
        <s v="Boat Black Stone 650R Bluetooth Speaker"/>
        <s v="Artis MS301 Portable Wireless Bluetooth Speaker"/>
        <s v="Ambrane Dots XS Wireless Earphones"/>
        <s v="Zebronics Pleasant Headphone"/>
        <s v="Boat Black Rockerz 410 Bluetooth Headphone"/>
        <s v="Zebronics Ace Portable Bluetooth Speaker"/>
        <s v="Artis BT99 Portable Bluetooth Speaker - Black"/>
        <s v="Portronics Sounddrum-1 Bluetooth Speaker"/>
        <s v="Artis Bt09 Portable Wireless Bluetooth Speaker"/>
        <s v="Boat Bass 900 Wired Headphone - White"/>
        <s v="Ambrane BT-83 Portable Bluetooth Speaker Black"/>
        <s v="Tigi Musica Earphone"/>
        <s v="Portronics POR-891 Pure Sound Pro-3 Bluetooth Speaker Soundbar"/>
        <s v="Portronics Pixel Portable Bt Speaker"/>
        <s v="Sun Umbrella 3-Fold Dew Auto Black"/>
        <s v="Sun Umbrella 3-Fold Elvis Auto Big Black"/>
        <s v="Sun Umbrella 3-Fold Printed Olga 1 Auto Big"/>
        <s v="Sun Umbrella 3-Fold Cleopatra 4 Auto Plain"/>
        <s v="Sun Umbrella 3-Fold Printed Olga 3 Auto Big"/>
        <s v="John Kid's Umbrella Assorted - Disney"/>
        <s v="Sun Umbrella 3-Fold Printed Olga 2 Auto Big"/>
        <s v="Sun Umbrella 3-Fold Christina 5 Auto Printed"/>
        <s v="Sun Umbrella 3-Fold Christina 6 Auto Printed"/>
        <s v="Sun Umbrella 3-Fold Christina 7 Auto Printed"/>
        <s v="Sun Umbrella 3-Fold Christina 8 Auto Printed"/>
        <s v="Sun Umbrella 3-Fold Christina 9 Auto Printed"/>
        <s v="Sun Umbrella 3-Fold Christina 11 Auto Printed"/>
        <s v="John Kid's Umbrella Assorted - Marvel"/>
        <s v="Yoga Mat - Assorted Colours"/>
        <s v="Joyo Folding Desk - Assorted"/>
        <s v="Portronics Buddy Hexa22 Laptop Stand"/>
        <s v="Portronics My Buddy K2 Laptop Stand"/>
        <s v="Zebronics Ms Alex Optical USB Mouse"/>
        <s v="Zebronics K20 Keyboard"/>
        <s v="Krish Plastic Round Planter Pot - 112"/>
        <s v="Krish Plastic Round Planter Pot - 110"/>
        <s v="Pot Planter Saucer Base Plate - 16.5 cm"/>
        <s v="Hanging Hook Pot Planter - Assorted"/>
        <s v="Hanging Double Hook Pot Planter - Assorted"/>
        <s v="Krish Plastic Round Planter Pot - 108"/>
        <s v="Pot Planter Saucer Base Plate - 13 cm"/>
        <s v="Pot Planter Saucer Base Plate - 10 cm"/>
        <s v="Krish Hook Pot Planter - Purple"/>
        <s v="Krish Hook Pot Planter - Yellow"/>
        <s v="Krish Square Planter - 10 - Red"/>
        <s v="Planter Honeycomb With Black Chain - Purple"/>
        <s v="Krish Planter 110 - Orange"/>
        <s v="Krish Planter 110 - Red"/>
        <s v="Krish Square Planter - 10 - Blue"/>
        <s v="Planter Honeycomb With Black Chain - Blue"/>
        <s v="Krish Hook Pot Planter - Blue"/>
        <s v="Krish Square Planter - 10 - Orange"/>
        <s v="Krish Planter 110 - Purple"/>
        <s v="Krish Planter 110 - Blue"/>
        <s v="Metal Planter Stand - 20 cms - Black"/>
        <s v="Metal Planter Stand - 20 cms - Golden"/>
        <s v="Metal Planter Stand - 20 cms - Copper"/>
        <s v="Studds Urban Open Face Helmet 580 mm - Black"/>
        <s v="Vega Cliff Full Face Helmet - Medium"/>
        <s v="Studds Chrome Eco Full Face Helmet 580 mm - Black"/>
        <s v="Vega Verve Helmet - Medium"/>
        <s v="Dettol Liquid Handwash Pump - Skin Care"/>
        <s v="Dettol Liquid Handwash Refill - Original"/>
        <s v="Decor Ganpati Kanthi Drop Pendant - 12 Inches"/>
        <s v="Decor Ganpati Kanthi Square Pendant - 12 Inches"/>
        <s v="Decor Ganpati Kanthi 3 Layer Round Flower Pendant - 12 Inches"/>
        <s v="Decor Ganpati Kanthi Side Pendant (Pink &amp; Green) - 12 Inches"/>
        <s v="Decor Ganpati Kanthi Side Pendant (Red &amp; Green) - 12 Inches"/>
        <s v="Decorative Moti Three Layers Ganesha Toran - 12 Inches"/>
        <s v="Decorative Two Layers Multi Colour Gonda Toran - 12 Inches"/>
        <s v="Decorative White Flower Toran - 12 Inches"/>
        <s v="Decorative Red &amp; Yellow Flower Toran"/>
        <s v="Decorative Hanging Gold Ladi Toran Set"/>
        <s v="Decorative Hanging Silver Ladi Toran Set"/>
        <s v="Decorative Door Hanging Red Gonda Latkan Toran"/>
        <s v="Aluminium Modak Mould No.2"/>
        <s v="Brass Prasad Plate - Size 1"/>
        <s v="Brass Prasad Plate - Size 2"/>
        <s v="Aluminium Folding Shopping Trolley With 8 Wheels"/>
        <s v="Portronics Kronos Y1 Smart Watch - Grey"/>
        <s v="Zeel MS201 Men's Raincoat - Blue"/>
        <s v="Zeel MS201 Men's Raincoat - Purple"/>
        <s v="Zeel MS201 Men's Raincoat - Light Green"/>
        <s v="Zeel MS301 Men's Raincoat - Black"/>
        <s v="Zeel MS301 Men's Raincoat - Navy Blue"/>
        <s v="Zeel MS301 Men's Raincoat - Grey"/>
        <s v="Zeel MR203 Men's Raincoat - Black"/>
        <s v="Zeel MR203 Men's Raincoat - Navy Blue"/>
        <s v="Zeel MR161 Men's Raincoat - Black"/>
        <s v="Zeel MR161 Men's Raincoat - Navy Blue"/>
        <s v="Zeel MR168 Men's Raincoat - Black"/>
        <s v="Zeel MR184 Men's Raincoat - Black"/>
        <s v="Zeel MR184 Men's Raincoat - Navy Blue"/>
        <s v="Zeel LP306 Women's Raincoat - Pink"/>
        <s v="Zeel LP306 Women's Raincoat - Orange"/>
        <s v="Zeel MT212 Men's Raincoat - Navy Blue : Size XXL"/>
        <s v="MP Sihore Wheat"/>
        <s v="Maida"/>
        <s v="Jawar (Sorghum) Solapur"/>
        <s v="24 Mantra Organic Jaggery Powder"/>
        <s v="Pitambari Ruchiyana Jaggery Powder - Chemical Free"/>
        <s v="Bhagar"/>
        <s v="Cadbury Chocobakes Cake"/>
        <s v="Idli Rava"/>
        <s v="Britannia Fudge It Chocolate Brownie Cake"/>
        <s v="Hand-Aid Liquid Handwash Cool"/>
        <s v="Himalaya Pure Hands Deep Cleansing Tulsi &amp; Lemon Refill"/>
        <s v="Rasmalai Premium Desi Jaggery Pieces"/>
        <s v="Satyam Jaggery"/>
        <s v="Britannia Treat Croissant Cocoa Creme Roll"/>
        <s v="Hand Aid Total Instant Sanitizer"/>
        <s v="Organic Tattva Sugar"/>
        <s v="Philips BT 1234/16 Beard Trimmer"/>
        <s v="Borges Green Pitted Olives"/>
        <s v="Pedigree Meat Jerky Barbecued Chicken : 80 gms"/>
        <s v="Syska HT200U Beard Hair Trimmer"/>
        <s v="Veet Full Body Waxing Kit - Sensitive Skin"/>
        <s v="Pedigree Puppy Chicken Chunks Gravy Food"/>
        <s v="Parle Happy Happy Tutti Frutty Flavoured Cake"/>
        <s v="Cello Finegrip Pen (Jar)"/>
        <s v="Pedigree Dentastix Medium"/>
        <s v="Britannia Treat Choco Creme Wafers"/>
        <s v="Britannia Pineapple Cake"/>
        <s v="Britannia Treat Vanila Creme Wafers"/>
        <s v="Nestle Ceregrow Milk &amp; Fruits"/>
        <s v="Camel Oil Pastel In Plastic Box"/>
        <s v="Veet Full Body Waxing Kit - Dry Skin"/>
        <s v="Britannia Gobbles Choco Chill Cake"/>
        <s v="Butterfly Hippo Stainless Steel Gas Stove"/>
        <s v="Apsara Matt Magic 2.0 Extra Dark Pencil"/>
        <s v="Apsara Platinum Pencil"/>
        <s v="Doms Single Line A4 Size Notebook"/>
        <s v="Satyam Sindhav Powder"/>
        <s v="Tata Rock Salt Crusher"/>
        <s v="Veet Full Body Waxing Kit - Normal Skin"/>
        <s v="Doms Neon Rubber Tipped Pencil"/>
        <s v="Veet Normal Skin Hair Removal Cream"/>
        <s v="Veet Dry Skin Hair Removal Cream"/>
        <s v="Sundaram A4 Longbook"/>
        <s v="Dettol Hand Sanitizer"/>
        <s v="Sundaram A5 Size Longbook"/>
        <s v="Doms Fusion X-Tra Dark Pencil - 10 Pieces"/>
        <s v="Cello Gripper Blue Ballpoint Pen"/>
        <s v="Cello Finegrip Blue Ball Pen"/>
        <s v="No Fuss Women's Hanky - White"/>
        <s v="Camlin Scholar Mathematical Instruments"/>
        <s v="Camlin Drawing Kit Combo"/>
        <s v="Camlin Painting Kit"/>
        <s v="Veet Silk and Fresh Hair Removal Cream - Sensitive Skin"/>
        <s v="Sundaram Regular Longbook"/>
        <s v="No Fuss Women's Hanky - Multicolour"/>
        <s v="Pidilite Fevi Stik Super Glue Stick"/>
        <s v="Borges Green Sliced Olives"/>
        <s v="Lifebuoy Alcohol Based Germ Protection Hand Sanitizer"/>
        <s v="Camlin Colour Pencil"/>
        <s v="Veet Silk and Fresh Hair Removal Cream - Normal Skin"/>
        <s v="Relaxo Sparx Men's Slipper SFG49 - Black Red"/>
        <s v="Pidilite Fevicryl Acrylic Pouring Kit"/>
        <s v="Pidilite Rangeela Creative Clay - Fruit Pack"/>
        <s v="Camlin Exam Clip Board"/>
        <s v="Dettol Original Liquid Handwash Pump"/>
        <s v="Godrej Mr Magic Handwash (1 Bottle + 1 Refill)"/>
        <s v="Philips HC3505/15 Hair Clipper"/>
        <s v="Relaxo Flite Women's Chappal PUL90L - N.Blue"/>
        <s v="Cello School Kit"/>
        <s v="24 Mantra Organic Sugar"/>
        <s v="Camlin Students Kit Big"/>
        <s v="Organic Tattva Brown Sugar"/>
        <s v="Lifebuoy Nature Germ Protection Handwash Refill"/>
        <s v="Organic Tattva Jaggery Powder"/>
        <s v="Relaxo Flite Women's Chappals PUL96 - Black"/>
        <s v="Bisleri Packaged Drinking Water"/>
        <s v="Bisleri Water"/>
        <s v="Savlon Herbal Sensitive Handwash Pouch"/>
        <s v="Nestle Cerelac Multigrain Dal Veg"/>
        <s v="Nestle Cerelac Wheat Apple Cherry"/>
        <s v="Cherry Blossom Liquid Shoe Polish - Black"/>
        <s v="Cherry Neutral Handy Shoe Shine"/>
        <s v="Cherry Dark Tan Blossom Shoe Polish"/>
        <s v="Cherry Black Blossom Polish"/>
        <s v="Tru Note Longbook Ruled A4"/>
        <s v="Tru Note Longbook Regular"/>
        <s v="Jade Drawing Book"/>
        <s v="Tru Note Longbook A4"/>
        <s v="Linc Pentonic Blue Gel Pen"/>
        <s v="ITC Classmate Octane Neon Gel Pen"/>
        <s v="Navneet Jumbo Colouring Book - 160 Pages"/>
        <s v="ITC Classmate Octane Gel Pen"/>
        <s v="Flair Penitizer - Empty Refillable Pocket Mist Spray Pen"/>
        <s v="Doms X1 X-Tra Super Dark Pencils"/>
        <s v="Camel Poster Colours 10 ml"/>
        <s v="Linc Lazor Liner Pens"/>
        <s v="Flair Glitter Xtra Sparkle Gel Pen"/>
        <s v="Linc Ocean Blue Gel Pen"/>
        <s v="Luxor Pilot Hi-Techpoint Blue Pens"/>
        <s v="Anupam Eminent B5 Notebook (5 Subjects)"/>
        <s v="Faber-Castell Connector Pen"/>
        <s v="Linc Pentonic Ball Pen"/>
        <s v="Executive Folder Full Case Size - 12 Pockets"/>
        <s v="Navneet All In One Board Book (English)"/>
        <s v="Anupam Canvas Painting Board (10x12 Inches)"/>
        <s v="Faber-Castell Plastic Erasable Crayons"/>
        <s v="Kangaro Paper Punch Machine DP-280/Y"/>
        <s v="Camel Oil Pastels"/>
        <s v="Navneet Vikas Tiny Board Book"/>
        <s v="Cello ColourUp Celebration Kit - Small"/>
        <s v="Peacock Modelling Clay"/>
        <s v="Doms Poster Colour 10 ml"/>
        <s v="Camlin Sketch Pens - Assorted Shades"/>
        <s v="Linc Glycer Blue Ball Pen"/>
        <s v="Cello ColourUp Celebration Kit - Big"/>
        <s v="Glue Stick"/>
        <s v="Navneet Colouring Book - Assorted"/>
        <s v="Camel Water Colour Paint Cake Set - 24 Shades"/>
        <s v="Future Books Colouring Book"/>
        <s v="Navneet Youva Longbook A4 - Assorted"/>
        <s v="Navneet Youva 6 Subject Spiral Book - Assorted"/>
        <s v="Navneet Youva A4 Notebook - Assorted"/>
        <s v="Navneet Youva Longbook Journal - Assorted"/>
        <s v="Navneet Youva Long Notebook - Assorted"/>
        <s v="Navneet Youva Drawing Book - Assorted"/>
        <s v="Navneet Youva Canvas Board (10x12 Inches)"/>
      </sharedItems>
    </cacheField>
    <cacheField name="Brand" numFmtId="0">
      <sharedItems count="806">
        <s v="Premia"/>
        <s v="Nutraj"/>
        <s v="unbranded"/>
        <s v="Tata"/>
        <s v="Satyam"/>
        <s v="KMK"/>
        <s v="DMart Healthy Choice"/>
        <s v="Tata Sampann"/>
        <s v="Kanji Manji Kothari"/>
        <s v="ProV"/>
        <s v="Kalbavi"/>
        <s v="Kokan Gem"/>
        <s v="24 Mantra Organic"/>
        <s v="Organic Tattva"/>
        <s v="Nutrela"/>
        <s v="24 Mantra"/>
        <s v="Carnival"/>
        <s v="Saffola"/>
        <s v="Crown"/>
        <s v="Emperor"/>
        <s v="Falcon"/>
        <s v="Apis"/>
        <s v="King Solomon"/>
        <s v="Royal Delight"/>
        <s v="Shamim"/>
        <s v="Candor"/>
        <s v="Mahafruit"/>
        <s v="Morya"/>
        <s v="Keshar"/>
        <s v="Plain Jaggery"/>
        <s v="Laxmi"/>
        <s v="Miki"/>
        <s v="Fortune"/>
        <s v="Sunrich"/>
        <s v="Gemini"/>
        <s v="Sunday"/>
        <s v="Swaad"/>
        <s v="Dhara"/>
        <s v="Nature Fresh"/>
        <s v="Dalda"/>
        <s v="Sundrop"/>
        <s v="Sunny"/>
        <s v="Godrej"/>
        <s v="Aadhaar"/>
        <s v="Hudson"/>
        <s v="Svity Kolam"/>
        <s v="RiSO"/>
        <s v="Ricela"/>
        <s v="Gulab"/>
        <s v="Guinea"/>
        <s v="RRO"/>
        <s v="RRO Primio"/>
        <s v="Gramiyaa"/>
        <s v="Del Monte"/>
        <s v="Borges"/>
        <s v="Figaro"/>
        <s v="Leonardo"/>
        <s v="Bertolli"/>
        <s v="Patanjali"/>
        <s v="Tez"/>
        <s v="Idhayam"/>
        <s v="KLF"/>
        <s v="Tilsona"/>
        <s v="KPL Shudhi"/>
        <s v="Amul"/>
        <s v="Gowardhan"/>
        <s v="Aabad"/>
        <s v="Mother Dairy"/>
        <s v="Sagar"/>
        <s v="Prabhat"/>
        <s v="Chitale Dairy"/>
        <s v="Dynamix"/>
        <s v="Govind"/>
        <s v="Aashirvaad"/>
        <s v="Parsi Dairy Farm"/>
        <s v="Haribol"/>
        <s v="Organic India"/>
        <s v="Pillsbury"/>
        <s v="Taste For Life"/>
        <s v="Pink Harvest Farms"/>
        <s v="Bhagirathi"/>
        <s v="Blue Bird"/>
        <s v="Weikfield"/>
        <s v="Brown"/>
        <s v="Bedekar"/>
        <s v="India Gate"/>
        <s v="Daawat"/>
        <s v="null"/>
        <s v="Devaaya"/>
        <s v="Lal Qilla"/>
        <s v="Premchand"/>
        <s v="Amrut"/>
        <s v="Pink Harvest"/>
        <s v="Everest"/>
        <s v="Ramdev"/>
        <s v="Maggi"/>
        <s v="LG Hing"/>
        <s v="Vandevi"/>
        <s v="MTR"/>
        <s v="Suhana"/>
        <s v="Snapin"/>
        <s v="Badshah Masala"/>
        <s v="Nisarga"/>
        <s v="Kubal"/>
        <s v="Jalaram Brand"/>
        <s v="Shan"/>
        <s v="Goldiee"/>
        <s v="Ching's"/>
        <s v="Kapol"/>
        <s v="MDH"/>
        <s v="Catch"/>
        <s v="Mother's Recipe"/>
        <s v="Dabur Hommade"/>
        <s v="Smith &amp; Jones"/>
        <s v="Christopher Cocoa"/>
        <s v="Et-mi"/>
        <s v="Jalaram"/>
        <s v="Nutrivalue"/>
        <s v="Keya"/>
        <s v="Rasoi Magic"/>
        <s v="Real Thai"/>
        <s v="Flying Bird"/>
        <s v="Puro"/>
        <s v="Annapurna"/>
        <s v="Society"/>
        <s v="Wagh Bakri"/>
        <s v="Brooke Bond"/>
        <s v="Tata Tea"/>
        <s v="Girnar"/>
        <s v="Taj Mahal"/>
        <s v="Nutralite"/>
        <s v="Tetley"/>
        <s v="Delicious"/>
        <s v="Lipton"/>
        <s v="Goodricke"/>
        <s v="Tea Country"/>
        <s v="President"/>
        <s v="Arbor Treat"/>
        <s v="TGL Co."/>
        <s v="Twinings"/>
        <s v="Nandini"/>
        <s v="Go"/>
        <s v="Nestle"/>
        <s v="Epigamia"/>
        <s v="Cavin's"/>
        <s v="Sofit"/>
        <s v="Raw Pressery"/>
        <s v="Chitale"/>
        <s v="Britannia"/>
        <s v="D'lecta"/>
        <s v="Gowardhan Go"/>
        <s v="Organic"/>
        <s v="Tea Culture Of The World"/>
        <s v="Tea Culture Of World"/>
        <s v="Bru"/>
        <s v="Nescafe"/>
        <s v="Le Cafe"/>
        <s v="Yakult"/>
        <s v="House Coffee"/>
        <s v="Le Café"/>
        <s v="Continental"/>
        <s v="Colombian"/>
        <s v="Id"/>
        <s v="Davidoff"/>
        <s v="Cothas"/>
        <s v="Colombian Brew Coffee"/>
        <s v="Nescafé"/>
        <s v="Cadbury Bournvita"/>
        <s v="Pediasure"/>
        <s v="Protinex"/>
        <s v="Proteinex"/>
        <s v="Horlicks"/>
        <s v="Complan"/>
        <s v="Boost"/>
        <s v="Cadbury Cocoa Beverages"/>
        <s v="Ensure"/>
        <s v="Hershey's"/>
        <s v="Gaia"/>
        <s v="Christopher"/>
        <s v="Mirinda"/>
        <s v="Thums up"/>
        <s v="Sprite"/>
        <s v="Coca-Cola"/>
        <s v="Pepsi"/>
        <s v="Fanta"/>
        <s v="Bisleri"/>
        <s v="7 Up"/>
        <s v="Limca"/>
        <s v="Xotik Beverages"/>
        <s v="Duke's"/>
        <s v="Coolberg"/>
        <s v="Budweiser"/>
        <s v="Cravova"/>
        <s v="Schweppes"/>
        <s v="Xotik Jeeru"/>
        <s v="O'cean"/>
        <s v="Maaza"/>
        <s v="Slice"/>
        <s v="Real"/>
        <s v="Minute Maid"/>
        <s v="Frooti"/>
        <s v="Mango Merry"/>
        <s v="B Natural"/>
        <s v="Tropicana"/>
        <s v="Paper Boat"/>
        <s v="Baidyanath"/>
        <s v="OCean"/>
        <s v="Glucon-D"/>
        <s v="Red Bull"/>
        <s v="Monster"/>
        <s v="Chetran's"/>
        <s v="Budweiser Beats"/>
        <s v="Cipla"/>
        <s v="Hamdard"/>
        <s v="Mapro"/>
        <s v="Guruji"/>
        <s v="Mala's"/>
        <s v="Home Made"/>
        <s v="Jimmy's Cocktail"/>
        <s v="Monin"/>
        <s v="Parle"/>
        <s v="Karachi's"/>
        <s v="Sunfeast"/>
        <s v="Unibic"/>
        <s v="Sunfeast Mom's Magic"/>
        <s v="Malkist"/>
        <s v="Sunfeast Nice"/>
        <s v="Munchy's"/>
        <s v="Cookie Man"/>
        <s v="Lotus Biscoff"/>
        <s v="Tosita"/>
        <s v="Orion"/>
        <s v="Good Day Harmony"/>
        <s v="McVitie's"/>
        <s v="Bellie"/>
        <s v="Sunfeast Dark Fantasy"/>
        <s v="Lotte Choco Pie"/>
        <s v="Cadbury"/>
        <s v="Bisky Bites"/>
        <s v="Cadbury Oreo"/>
        <s v="Cadbury Bournvita Biscuits"/>
        <s v="Sunfeast Bourbon"/>
        <s v="Kwality"/>
        <s v="Royal Khari"/>
        <s v="Dukes"/>
        <s v="Pickwick"/>
        <s v="Loacker"/>
        <s v="The Belgian Waffle Co"/>
        <s v="Threptin"/>
        <s v="Haldiram's"/>
        <s v="Chheda's"/>
        <s v="Rajam Snacks"/>
        <s v="Bikaji"/>
        <s v="Peppy"/>
        <s v="Shree Ram Bikaneri"/>
        <s v="Jayshree"/>
        <s v="Laxminarayan"/>
        <s v="Rajam"/>
        <s v="Garden"/>
        <s v="Kurkure"/>
        <s v="Agrawal's 420"/>
        <s v="Charliee"/>
        <s v="Taali"/>
        <s v="Sun"/>
        <s v="Lay's"/>
        <s v="Pringles"/>
        <s v="Motas"/>
        <s v="Doritos"/>
        <s v="Balaji"/>
        <s v="Cornitos"/>
        <s v="Bingo"/>
        <s v="Makino"/>
        <s v="Tastilo"/>
        <s v="Wayback"/>
        <s v="Lays"/>
        <s v="Lays Maxx"/>
        <s v="Lays Wafer Style"/>
        <s v="Bin Gmo"/>
        <s v="Wingreens"/>
        <s v="Too Yumm"/>
        <s v="Shiv Shakti's"/>
        <s v="Chitale Bandhu"/>
        <s v="Panjwani"/>
        <s v="Natural's Bite"/>
        <s v="Makhanawala's"/>
        <s v="Tong Garden"/>
        <s v="Jabsons"/>
        <s v="Jaine"/>
        <s v="Natural's"/>
        <s v="Lijjat"/>
        <s v="Appu"/>
        <s v="Royal"/>
        <s v="ACT II"/>
        <s v="Piknik"/>
        <s v="Mother's"/>
        <s v="McCain"/>
        <s v="Safal"/>
        <s v="Freshezza"/>
        <s v="Prasuma"/>
        <s v="Sumeru"/>
        <s v="Master Chef"/>
        <s v="ITC"/>
        <s v="Switz"/>
        <s v="4700 BC Popcorn"/>
        <s v="4700 BC"/>
        <s v="Kellogg's"/>
        <s v="Nutri Delite"/>
        <s v="Bagrry's"/>
        <s v="Soulfull"/>
        <s v="Quaker"/>
        <s v="Yogabar"/>
        <s v="Yoga Bar"/>
        <s v="Munchilicious Granola"/>
        <s v="Tata Soulfull Millet Muesli"/>
        <s v="Cadbury Dairy Milk"/>
        <s v="Cadbury Choclairs"/>
        <s v="Cadbury Dairy Milk Silk"/>
        <s v="Cadbury 5 Star"/>
        <s v="Ferrero Rocher"/>
        <s v="Morde"/>
        <s v="Bounty"/>
        <s v="Snickers"/>
        <s v="Kinder Joy"/>
        <s v="Candyman"/>
        <s v="Didier &amp; Frank"/>
        <s v="Hersheys"/>
        <s v="Luvit"/>
        <s v="Toblerone"/>
        <s v="Galaxy"/>
        <s v="Ferrero"/>
        <s v="Nestle L'Atelier"/>
        <s v="Cadbury Celebrations"/>
        <s v="Nature Valley"/>
        <s v="Medley"/>
        <s v="Lindt"/>
        <s v="Kinder"/>
        <s v="Milka"/>
        <s v="Kissan"/>
        <s v="Home Chef"/>
        <s v="Surabhi"/>
        <s v="Veeba"/>
        <s v="Funfoods"/>
        <s v="Knorr"/>
        <s v="Sriracha"/>
        <s v="Tabasco"/>
        <s v="American Garden"/>
        <s v="Tuong Ot"/>
        <s v="Ragu"/>
        <s v="Barilla"/>
        <s v="Naagin"/>
        <s v="Ruchira"/>
        <s v="Pravin"/>
        <s v="Kalvert"/>
        <s v="Meal Time"/>
        <s v="Bhuira"/>
        <s v="Dana"/>
        <s v="Nutella Ferrero"/>
        <s v="Pintola"/>
        <s v="Lotus"/>
        <s v="Dabur"/>
        <s v="Phondaghat"/>
        <s v="Hellmanns"/>
        <s v="St. Dalfour"/>
        <s v="Top Ramen"/>
        <s v="Nissin"/>
        <s v="Sunfeast Yippee"/>
        <s v="Inchi"/>
        <s v="Nongshim"/>
        <s v="Slurrp Farm"/>
        <s v="Homechef"/>
        <s v="Sunfeast Pasta Treat"/>
        <s v="Premium"/>
        <s v="Concord"/>
        <s v="Ganesh"/>
        <s v="Mahesh"/>
        <s v="Ganesh Papad"/>
        <s v="Jain"/>
        <s v="Talod"/>
        <s v="Gits"/>
        <s v="Chitale Foods"/>
        <s v="Betty Crocker"/>
        <s v="Talod's"/>
        <s v="Jalani"/>
        <s v="Harnik"/>
        <s v="Aashirvad"/>
        <s v="GoodDot"/>
        <s v="Bretty Croker"/>
        <s v="Brown &amp; Polson"/>
        <s v="Heidi"/>
        <s v="Chandan"/>
        <s v="Gula Gula"/>
        <s v="Jelly"/>
        <s v="Skittles"/>
        <s v="Jelly Mazza"/>
        <s v="Frumato"/>
        <s v="Orbit"/>
        <s v="Chocoliebe"/>
        <s v="Wrigley"/>
        <s v="Kopiko"/>
        <s v="Wrigleys"/>
        <s v="Tic"/>
        <s v="Lal"/>
        <s v="Shri Ram"/>
        <s v="Bikaneri"/>
        <s v="Crave Eatables"/>
        <s v="Madhuras"/>
        <s v="Divya"/>
        <s v="Vaidehi"/>
        <s v="Ghasitaram's"/>
        <s v="Madhur"/>
        <s v="Shree Siddhivinayak"/>
        <s v="Nasle"/>
        <s v="Sugar Free"/>
        <s v="RiteBite"/>
        <s v="Safi"/>
        <s v="Bean to Bark"/>
        <s v="Dhootapapeshwar"/>
        <s v="Nature's Treat"/>
        <s v="Fishermans"/>
        <s v="Apple"/>
        <s v="Malgudi"/>
        <s v="Surf Excel"/>
        <s v="Tide"/>
        <s v="Ariel"/>
        <s v="Rin"/>
        <s v="Star Bright"/>
        <s v="Wheel"/>
        <s v="Ghadi"/>
        <s v="More Light"/>
        <s v="Vanish"/>
        <s v="Wipro Safewash"/>
        <s v="Mr. White"/>
        <s v="Henko"/>
        <s v="Star Light"/>
        <s v="Sunlight"/>
        <s v="BB"/>
        <s v="Comfort"/>
        <s v="Genteel"/>
        <s v="Ezee"/>
        <s v="Ujala"/>
        <s v="Revive"/>
        <s v="Sof"/>
        <s v="Wipro"/>
        <s v="Wipro Softouch"/>
        <s v="Lizol"/>
        <s v="Sparkle"/>
        <s v="Phenox"/>
        <s v="Dettol"/>
        <s v="Colin"/>
        <s v="Domex"/>
        <s v="Harpic"/>
        <s v="Kli-Nol"/>
        <s v="Glito"/>
        <s v="Wipro Maxkleen"/>
        <s v="Nimyle"/>
        <s v="Force 10"/>
        <s v="Sani Fresh"/>
        <s v="Pitambari"/>
        <s v="Mr Muscle"/>
        <s v="Drenfix"/>
        <s v="CIF"/>
        <s v="Chamak Dhamak"/>
        <s v="Pidilite"/>
        <s v="Vim"/>
        <s v="Reflect"/>
        <s v="Exo"/>
        <s v="Pril"/>
        <s v="Giffy"/>
        <s v="Gala"/>
        <s v="Scotch-Brite"/>
        <s v="Finish"/>
        <s v="Hit"/>
        <s v="Good Knight"/>
        <s v="Odonil"/>
        <s v="All Out"/>
        <s v="Mangalam"/>
        <s v="DHomes"/>
        <s v="D Homes"/>
        <s v="Godrej Aer"/>
        <s v="Nippo"/>
        <s v="Everfresh"/>
        <s v="Meadows"/>
        <s v="Winall"/>
        <s v="Ambi Pur"/>
        <s v="Mortein"/>
        <s v="Aer"/>
        <s v="Khatnil"/>
        <s v="Odomos"/>
        <s v="Campure"/>
        <s v="Absorbia"/>
        <s v="Laxmanrekhaa"/>
        <s v="Lovin"/>
        <s v="Goodknight"/>
        <s v="Cortina"/>
        <s v="Manish Handloom"/>
        <s v="Nilkamal"/>
        <s v="Shades"/>
        <s v="Savlon"/>
        <s v="Philips"/>
        <s v="Asahi Kasei"/>
        <s v="Hindalco Freshwrapp"/>
        <s v="Superwrap"/>
        <s v="Cleanplus"/>
        <s v="Origami"/>
        <s v="Premier"/>
        <s v="Fresh Ones"/>
        <s v="Earth Mate"/>
        <s v="Earthmate"/>
        <s v="Clean Plus"/>
        <s v="Taina"/>
        <s v="Jackson"/>
        <s v="Japa"/>
        <s v="Scotch Brite"/>
        <s v="Naag"/>
        <s v="Spotzero"/>
        <s v="Joyo"/>
        <s v="Beezy"/>
        <s v="Lock &amp; Lock"/>
        <s v="Athom Trendz"/>
        <s v="MST"/>
        <s v="Pigeon"/>
        <s v="Dr.WaterR"/>
        <s v="Anjali"/>
        <s v="Wonderchef"/>
        <s v="Joyo Plastics"/>
        <s v="Prestige"/>
        <s v="DLS"/>
        <s v="Gokul"/>
        <s v="Crystal"/>
        <s v="Boss"/>
        <s v="Dr. WaterR"/>
        <s v="Command"/>
        <s v="Ruchi"/>
        <s v="Trident"/>
        <s v="Raymond"/>
        <s v="Happy to Hang"/>
        <s v="All Time Plastic"/>
        <s v="Elegant Weavers"/>
        <s v="Welcome"/>
        <s v="Recron"/>
        <s v="Modern Terry Towels"/>
        <s v="Welspun"/>
        <s v="Butterfly"/>
        <s v="Surya"/>
        <s v="Hawkins"/>
        <s v="Keyur Kitchenware"/>
        <s v="Nidhi"/>
        <s v="Trupti"/>
        <s v="Borosil"/>
        <s v="Signoraware"/>
        <s v="Vaya Tyffyn"/>
        <s v="Dr. Copper"/>
        <s v="Cello"/>
        <s v="Jolly"/>
        <s v="Nayasa"/>
        <s v="Milton"/>
        <s v="Paras"/>
        <s v="La Opala"/>
        <s v="Prabhu"/>
        <s v="Yera"/>
        <s v="Dinesmart"/>
        <s v="Treo"/>
        <s v="Srithai Superware"/>
        <s v="Sanjeev"/>
        <s v="Kaveri"/>
        <s v="Cycle"/>
        <s v="Cycle 3 In 1"/>
        <s v="Mangaldeep"/>
        <s v="Cycle Navin"/>
        <s v="Cycle Woods"/>
        <s v="Hem"/>
        <s v="Heritage"/>
        <s v="Hem Pama"/>
        <s v="Laxmi Dhoop"/>
        <s v="Nirmal"/>
        <s v="Shubh Kart"/>
        <s v="Cycle Popular"/>
        <s v="Om Shanti"/>
        <s v="Mangalmai"/>
        <s v="Om"/>
        <s v="Homelites"/>
        <s v="Mysore Sandal"/>
        <s v="Ship"/>
        <s v="Prasanna Jyot"/>
        <s v="Shubhkart"/>
        <s v="Siddhi"/>
        <s v="Pan Aromas"/>
        <s v="Manohar"/>
        <s v="Arihant"/>
        <s v="Eveready"/>
        <s v="Syska"/>
        <s v="Duracell"/>
        <s v="Crompton Greaves"/>
        <s v="Bajaj"/>
        <s v="Portronics"/>
        <s v="GM"/>
        <s v="Geep"/>
        <s v="Zebronics"/>
        <s v="Potronics"/>
        <s v="Panasonic"/>
        <s v="Good Year"/>
        <s v="Goodyear"/>
        <s v="Sapna"/>
        <s v="Bathla"/>
        <s v="Pedigree"/>
        <s v="Whiskas"/>
        <s v="Pears"/>
        <s v="Mild &amp; Clear"/>
        <s v="Dove"/>
        <s v="Medimix"/>
        <s v="Mysore"/>
        <s v="Lux"/>
        <s v="Grace"/>
        <s v="Liril"/>
        <s v="Santoor"/>
        <s v="Cinthol"/>
        <s v="Lifebuoy"/>
        <s v="Jo"/>
        <s v="Chandrika"/>
        <s v="Khadi"/>
        <s v="Khadi Natural"/>
        <s v="Park"/>
        <s v="Margo"/>
        <s v="Hamam"/>
        <s v="Chandan Sparsh"/>
        <s v="Camay"/>
        <s v="Rexona"/>
        <s v="Hand Aid"/>
        <s v="Soulflower"/>
        <s v="Vaseline"/>
        <s v="Nivea"/>
        <s v="Vicco"/>
        <s v="Pond's"/>
        <s v="Joy"/>
        <s v="Lakme"/>
        <s v="Lacto Calamine"/>
        <s v="Green Leaf"/>
        <s v="Bio-Oil"/>
        <s v="Garnier"/>
        <s v="Mamaearth"/>
        <s v="Nivea India"/>
        <s v="Krack"/>
        <s v="Lotus Herbals"/>
        <s v="Glycerin"/>
        <s v="Faces Canada"/>
        <s v="Olay"/>
        <s v="Himalaya"/>
        <s v="Clean &amp; Clear"/>
        <s v="Everyuth"/>
        <s v="Mirabelle"/>
        <s v="Emami"/>
        <s v="Beardo"/>
        <s v="Yardley"/>
        <s v="Candid"/>
        <s v="Fiama"/>
        <s v="Palmolive"/>
        <s v="Neutrogena"/>
        <s v="Plum"/>
        <s v="Phy"/>
        <s v="LOreal Paris"/>
        <s v="Wow Skin Science"/>
        <s v="Glow &amp; Lovely"/>
        <s v="Roop Mantra"/>
        <s v="Boroplus"/>
        <s v="L'Oreal"/>
        <s v="Maybelline"/>
        <s v="Maybelline New York"/>
        <s v="Insight"/>
        <s v="Parachute"/>
        <s v="Coconourish "/>
        <s v="Indulekha"/>
        <s v="Navratna"/>
        <s v="Kesh King"/>
        <s v="Hair &amp; Care"/>
        <s v="Clinic Plus"/>
        <s v="Sunsilk"/>
        <s v="Head &amp; Shoulders"/>
        <s v="Tresemme"/>
        <s v="Johnson's"/>
        <s v="Biotique"/>
        <s v="Pantene"/>
        <s v="Nyle Naturals"/>
        <s v="Livon"/>
        <s v="Godrej Expert"/>
        <s v="Indica"/>
        <s v="Revlon"/>
        <s v="Vega"/>
        <s v="Elle 18"/>
        <s v="Colgate"/>
        <s v="Closeup"/>
        <s v="Pepsodent"/>
        <s v="Sensodyne"/>
        <s v="Colgate Active"/>
        <s v="Listerine"/>
        <s v="Smyle"/>
        <s v="Oral-B"/>
        <s v="Oraldent"/>
        <s v="Oral Dent"/>
        <s v="Whisper"/>
        <s v="Stayfree"/>
        <s v="Sofy"/>
        <s v="VWash"/>
        <s v="Carefree"/>
        <s v="Park Avenue"/>
        <s v="Kamasutra"/>
        <s v="Fogg"/>
        <s v="Brut"/>
        <s v="Wild Stone"/>
        <s v="Axe"/>
        <s v="Killer"/>
        <s v="Engage"/>
        <s v="Spinz"/>
        <s v="Gillette"/>
        <s v="Supermax"/>
        <s v="Laser"/>
        <s v="Roghan"/>
        <s v="Huggies"/>
        <s v="Pampers"/>
        <s v="Mamy Poko"/>
        <s v="Friends"/>
        <s v="Little's"/>
        <s v="Kailas Jeevan"/>
        <s v="Boro"/>
        <s v="Boroline"/>
        <s v="Eucalyptus"/>
        <s v="Boro Plus"/>
        <s v="Acetone"/>
        <s v="Eno"/>
        <s v="Isabgol"/>
        <s v="Hawaban Harde"/>
        <s v="Kayam Churna"/>
        <s v="Zandu"/>
        <s v="Gas-O-Fast"/>
        <s v="Vicks"/>
        <s v="Honitus"/>
        <s v="Adulsa"/>
        <s v="Ayush"/>
        <s v="Relispray"/>
        <s v="Iodex"/>
        <s v="Moov"/>
        <s v="Monison's"/>
        <s v="Tiger Balm"/>
        <s v="Amrutanjan"/>
        <s v="Dr. Ortho"/>
        <s v="Himani"/>
        <s v="Monisons"/>
        <s v="Ashwin"/>
        <s v="Dharasana"/>
        <s v="Menthodex"/>
        <s v="Amrut Malam"/>
        <s v="B-Tex"/>
        <s v="Axe Brand"/>
        <s v="Lookman Hayat"/>
        <s v="Tulips"/>
        <s v="Renu"/>
        <s v="Jivadaya"/>
        <s v="Durex"/>
        <s v="Skore"/>
        <s v="Manforce"/>
        <s v="Hansaplast"/>
        <s v="Ambrane"/>
        <s v="Usha"/>
        <s v="Havells"/>
        <s v="Orpat"/>
        <s v="Crompton"/>
        <s v="Morphy Richards"/>
        <s v="I &amp; D"/>
        <s v="Macho"/>
        <s v="No Fuss"/>
        <s v="Dutch Harbor"/>
        <s v="Rupa"/>
        <s v="Feather Soft"/>
        <s v="Clio"/>
        <s v="In Shape"/>
        <s v="Wildcraft"/>
        <s v="High Spirit"/>
        <s v="Safari"/>
        <s v="Aristocrat"/>
        <s v="Skybags"/>
        <s v="VIP"/>
        <s v="Vatsal"/>
        <s v="Boat"/>
        <s v="Artis"/>
        <s v="Tigi"/>
        <s v="John"/>
        <s v="Studds"/>
        <s v="Zeel"/>
        <s v="Rasmalai"/>
        <s v="Veet"/>
        <s v="Camel"/>
        <s v="Apsara"/>
        <s v="Doms"/>
        <s v="Sundaram"/>
        <s v="Camlin"/>
        <s v="Relaxo"/>
        <s v="Relaxo Flite"/>
        <s v="Cherry Blossom"/>
        <s v="Cherry"/>
        <s v="Tru Note"/>
        <s v="Jade"/>
        <s v="Linc"/>
        <s v="Navneet"/>
        <s v="Flair"/>
        <s v="Luxor"/>
        <s v="Anupam"/>
        <s v="Faber-Castell"/>
      </sharedItems>
    </cacheField>
    <cacheField name="Price" numFmtId="0">
      <sharedItems containsString="0" containsBlank="1" containsNumber="1" containsInteger="1" minValue="0" maxValue="10990"/>
    </cacheField>
    <cacheField name="Discounted_Price" numFmtId="0">
      <sharedItems containsString="0" containsBlank="1" containsNumber="1" containsInteger="1" minValue="0" maxValue="7999"/>
    </cacheField>
    <cacheField name="Quantity" numFmtId="0">
      <sharedItems/>
    </cacheField>
    <cacheField name="Category" numFmtId="0">
      <sharedItems count="78">
        <s v=" Dry Fruits"/>
        <s v=" Dals"/>
        <s v=" Pulses"/>
        <s v=" Masala &amp; Spices"/>
        <s v="Jaggery"/>
        <s v="Ghee"/>
        <s v=" Rice"/>
        <s v=" Flours &amp; Grains"/>
        <s v=" Cooking Oil"/>
        <s v="Hair Care"/>
        <s v="Gourmet Food"/>
        <s v="Dmart Rice"/>
        <s v="Pickles"/>
        <s v="Snacks"/>
        <s v="Beverages"/>
        <s v="DMart Grocery"/>
        <s v="DMart  Rice"/>
        <s v="Dairy"/>
        <s v="Cookies"/>
        <s v=" Bakery"/>
        <s v="Personal Care"/>
        <s v="Ready To Cook"/>
        <s v="Breakfast Cereals"/>
        <s v="Packaged Food"/>
        <s v="Sweets"/>
        <s v="Ketchup"/>
        <s v="Jams"/>
        <s v="Noodles"/>
        <s v="Fruits &amp; Vegetables"/>
        <s v=" Fabric Care"/>
        <s v="Cleaners"/>
        <s v="Specials"/>
        <s v="Home Kitchen"/>
        <s v="Cleaning Tools"/>
        <s v="Freshener"/>
        <s v="Furniture"/>
        <s v="Disinfectants"/>
        <s v="Tissue Paper"/>
        <s v="Kitchen Aprons"/>
        <s v="Home Appliances"/>
        <s v="Wonderchef"/>
        <s v="Water Purifiers &amp; Accessories"/>
        <s v="Bed &amp; Bath"/>
        <s v="Home Utility"/>
        <s v="Tableware"/>
        <s v="Butterfly"/>
        <s v="Cookware &amp; Serveware"/>
        <s v="Uncategorized"/>
        <s v="Festive Specials"/>
        <s v="Joyo Plastics"/>
        <s v="Pooja Needs"/>
        <s v=" Home Utility"/>
        <s v="Geep"/>
        <s v="Zebronics"/>
        <s v="Skin Care"/>
        <s v="Face Care"/>
        <s v="Eye Makeup"/>
        <s v="Lip Care"/>
        <s v="Nail Care"/>
        <s v="Oral Care"/>
        <s v="Personal Hygiene"/>
        <s v="Deos &amp; Perfumes"/>
        <s v="Shaving Needs"/>
        <s v="Baby &amp; Kids"/>
        <s v="Health &amp; Wellness"/>
        <s v="Appliances"/>
        <s v="Syska"/>
        <s v="Kitchen Appliances"/>
        <s v="Pigeon"/>
        <s v="Clothing Accessories"/>
        <s v="School Needs"/>
        <s v="Backpacks"/>
        <s v="Computer Accessories"/>
        <s v="Plant Container"/>
        <s v="Motorbike Helmets"/>
        <s v="Smartwatches"/>
        <s v="Raincoat"/>
        <s v="Bakery"/>
      </sharedItems>
    </cacheField>
    <cacheField name="Total Discount" numFmtId="0" formula="Price-Discounted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9">
  <r>
    <n v="1"/>
    <x v="0"/>
    <x v="0"/>
    <n v="451"/>
    <n v="329"/>
    <s v="500 gm"/>
    <x v="0"/>
  </r>
  <r>
    <n v="2"/>
    <x v="0"/>
    <x v="0"/>
    <n v="109"/>
    <n v="85"/>
    <s v="100 gm"/>
    <x v="0"/>
  </r>
  <r>
    <n v="3"/>
    <x v="0"/>
    <x v="0"/>
    <n v="202"/>
    <n v="175"/>
    <s v="200 gm"/>
    <x v="0"/>
  </r>
  <r>
    <n v="4"/>
    <x v="1"/>
    <x v="1"/>
    <n v="599"/>
    <n v="349"/>
    <s v="500 gm"/>
    <x v="0"/>
  </r>
  <r>
    <n v="5"/>
    <x v="1"/>
    <x v="1"/>
    <n v="1549"/>
    <n v="659"/>
    <s v="1 kg"/>
    <x v="0"/>
  </r>
  <r>
    <n v="6"/>
    <x v="2"/>
    <x v="2"/>
    <n v="49"/>
    <n v="42"/>
    <s v="500 gm"/>
    <x v="1"/>
  </r>
  <r>
    <n v="7"/>
    <x v="2"/>
    <x v="2"/>
    <n v="96"/>
    <n v="80"/>
    <s v="1 kg"/>
    <x v="1"/>
  </r>
  <r>
    <n v="8"/>
    <x v="3"/>
    <x v="2"/>
    <n v="112"/>
    <n v="102"/>
    <s v="500 gm"/>
    <x v="2"/>
  </r>
  <r>
    <n v="9"/>
    <x v="4"/>
    <x v="2"/>
    <n v="101"/>
    <n v="81"/>
    <s v="500 gm"/>
    <x v="2"/>
  </r>
  <r>
    <n v="10"/>
    <x v="5"/>
    <x v="0"/>
    <n v="634"/>
    <n v="488"/>
    <s v="200 gm"/>
    <x v="0"/>
  </r>
  <r>
    <n v="11"/>
    <x v="6"/>
    <x v="3"/>
    <n v="64"/>
    <n v="49"/>
    <s v="500 gm"/>
    <x v="1"/>
  </r>
  <r>
    <n v="12"/>
    <x v="6"/>
    <x v="3"/>
    <n v="125"/>
    <n v="112"/>
    <s v="1 kg"/>
    <x v="1"/>
  </r>
  <r>
    <n v="13"/>
    <x v="7"/>
    <x v="2"/>
    <n v="61"/>
    <n v="56"/>
    <s v="500 gm"/>
    <x v="2"/>
  </r>
  <r>
    <n v="14"/>
    <x v="8"/>
    <x v="1"/>
    <n v="299"/>
    <n v="175"/>
    <s v="200 gm"/>
    <x v="0"/>
  </r>
  <r>
    <n v="15"/>
    <x v="9"/>
    <x v="4"/>
    <n v="149"/>
    <n v="138"/>
    <s v="500 gm"/>
    <x v="2"/>
  </r>
  <r>
    <n v="16"/>
    <x v="10"/>
    <x v="5"/>
    <n v="750"/>
    <n v="575"/>
    <s v="200 gm"/>
    <x v="0"/>
  </r>
  <r>
    <n v="17"/>
    <x v="11"/>
    <x v="6"/>
    <n v="117"/>
    <n v="94"/>
    <s v="1 kg"/>
    <x v="1"/>
  </r>
  <r>
    <n v="18"/>
    <x v="12"/>
    <x v="4"/>
    <n v="129"/>
    <n v="119"/>
    <s v="500 gm"/>
    <x v="2"/>
  </r>
  <r>
    <n v="19"/>
    <x v="13"/>
    <x v="4"/>
    <n v="77"/>
    <n v="71"/>
    <s v="500 gm"/>
    <x v="1"/>
  </r>
  <r>
    <n v="20"/>
    <x v="14"/>
    <x v="7"/>
    <n v="190"/>
    <n v="171"/>
    <s v="1 kg"/>
    <x v="1"/>
  </r>
  <r>
    <n v="21"/>
    <x v="15"/>
    <x v="8"/>
    <n v="258"/>
    <n v="216"/>
    <s v="200 gm"/>
    <x v="0"/>
  </r>
  <r>
    <n v="22"/>
    <x v="16"/>
    <x v="7"/>
    <n v="142"/>
    <n v="127"/>
    <s v="500 gm"/>
    <x v="2"/>
  </r>
  <r>
    <n v="23"/>
    <x v="17"/>
    <x v="0"/>
    <n v="200"/>
    <n v="119"/>
    <s v="100 gm"/>
    <x v="0"/>
  </r>
  <r>
    <n v="24"/>
    <x v="18"/>
    <x v="9"/>
    <n v="749"/>
    <n v="374"/>
    <s v="500 gm"/>
    <x v="0"/>
  </r>
  <r>
    <n v="25"/>
    <x v="19"/>
    <x v="9"/>
    <n v="1349"/>
    <n v="600"/>
    <s v="1 kg"/>
    <x v="0"/>
  </r>
  <r>
    <n v="26"/>
    <x v="20"/>
    <x v="2"/>
    <n v="71"/>
    <n v="60"/>
    <s v="500 gm"/>
    <x v="1"/>
  </r>
  <r>
    <n v="27"/>
    <x v="20"/>
    <x v="2"/>
    <n v="139"/>
    <n v="124"/>
    <s v="1 kg"/>
    <x v="1"/>
  </r>
  <r>
    <n v="28"/>
    <x v="21"/>
    <x v="1"/>
    <n v="699"/>
    <n v="399"/>
    <s v="500 gm"/>
    <x v="0"/>
  </r>
  <r>
    <n v="29"/>
    <x v="21"/>
    <x v="1"/>
    <n v="299"/>
    <n v="199"/>
    <s v="200 gm"/>
    <x v="0"/>
  </r>
  <r>
    <n v="30"/>
    <x v="22"/>
    <x v="0"/>
    <n v="121"/>
    <n v="99"/>
    <s v="100 gm"/>
    <x v="0"/>
  </r>
  <r>
    <n v="31"/>
    <x v="22"/>
    <x v="0"/>
    <n v="257"/>
    <n v="198"/>
    <s v="200 gm"/>
    <x v="0"/>
  </r>
  <r>
    <n v="32"/>
    <x v="22"/>
    <x v="0"/>
    <n v="595"/>
    <n v="460"/>
    <s v="500 gm"/>
    <x v="0"/>
  </r>
  <r>
    <n v="33"/>
    <x v="23"/>
    <x v="2"/>
    <n v="70"/>
    <n v="58"/>
    <s v="500 gm"/>
    <x v="1"/>
  </r>
  <r>
    <n v="34"/>
    <x v="23"/>
    <x v="2"/>
    <n v="140"/>
    <n v="112"/>
    <s v="1 kg"/>
    <x v="1"/>
  </r>
  <r>
    <n v="35"/>
    <x v="24"/>
    <x v="3"/>
    <n v="175"/>
    <n v="148"/>
    <s v="1 kg"/>
    <x v="1"/>
  </r>
  <r>
    <n v="36"/>
    <x v="24"/>
    <x v="3"/>
    <n v="88"/>
    <n v="79"/>
    <s v="500 gm"/>
    <x v="1"/>
  </r>
  <r>
    <n v="37"/>
    <x v="25"/>
    <x v="10"/>
    <n v="650"/>
    <n v="459"/>
    <s v="500 gm"/>
    <x v="0"/>
  </r>
  <r>
    <n v="38"/>
    <x v="26"/>
    <x v="0"/>
    <n v="129"/>
    <n v="99"/>
    <s v="100 gm"/>
    <x v="0"/>
  </r>
  <r>
    <n v="39"/>
    <x v="26"/>
    <x v="0"/>
    <n v="251"/>
    <n v="195"/>
    <s v="200 gm"/>
    <x v="0"/>
  </r>
  <r>
    <n v="40"/>
    <x v="26"/>
    <x v="0"/>
    <n v="594"/>
    <n v="468"/>
    <s v="500 gm"/>
    <x v="0"/>
  </r>
  <r>
    <n v="41"/>
    <x v="27"/>
    <x v="2"/>
    <n v="64"/>
    <n v="52"/>
    <s v="500 gm"/>
    <x v="2"/>
  </r>
  <r>
    <n v="42"/>
    <x v="28"/>
    <x v="2"/>
    <n v="82"/>
    <n v="75"/>
    <s v="500 gm"/>
    <x v="2"/>
  </r>
  <r>
    <n v="43"/>
    <x v="29"/>
    <x v="0"/>
    <n v="552"/>
    <n v="409"/>
    <s v="500 gm"/>
    <x v="0"/>
  </r>
  <r>
    <n v="44"/>
    <x v="30"/>
    <x v="2"/>
    <n v="62"/>
    <n v="52"/>
    <s v="500 gm"/>
    <x v="2"/>
  </r>
  <r>
    <n v="45"/>
    <x v="31"/>
    <x v="0"/>
    <n v="537"/>
    <n v="423"/>
    <s v="500 gm"/>
    <x v="0"/>
  </r>
  <r>
    <n v="46"/>
    <x v="32"/>
    <x v="6"/>
    <n v="160"/>
    <n v="140"/>
    <s v="1 kg"/>
    <x v="1"/>
  </r>
  <r>
    <n v="47"/>
    <x v="33"/>
    <x v="0"/>
    <n v="140"/>
    <n v="116"/>
    <s v="100 gm"/>
    <x v="0"/>
  </r>
  <r>
    <n v="48"/>
    <x v="33"/>
    <x v="0"/>
    <n v="278"/>
    <n v="220"/>
    <s v="200 gm"/>
    <x v="0"/>
  </r>
  <r>
    <n v="49"/>
    <x v="33"/>
    <x v="0"/>
    <n v="646"/>
    <n v="485"/>
    <s v="500 gm"/>
    <x v="0"/>
  </r>
  <r>
    <n v="50"/>
    <x v="34"/>
    <x v="11"/>
    <n v="650"/>
    <n v="471"/>
    <s v="500 gm"/>
    <x v="0"/>
  </r>
  <r>
    <n v="51"/>
    <x v="35"/>
    <x v="11"/>
    <n v="750"/>
    <n v="579"/>
    <s v="500 gm"/>
    <x v="0"/>
  </r>
  <r>
    <n v="52"/>
    <x v="36"/>
    <x v="3"/>
    <n v="84"/>
    <n v="75"/>
    <s v="500 gm"/>
    <x v="1"/>
  </r>
  <r>
    <n v="53"/>
    <x v="37"/>
    <x v="2"/>
    <n v="77"/>
    <n v="67"/>
    <s v="500 gm"/>
    <x v="2"/>
  </r>
  <r>
    <n v="54"/>
    <x v="38"/>
    <x v="4"/>
    <n v="109"/>
    <n v="101"/>
    <s v="500 gm"/>
    <x v="1"/>
  </r>
  <r>
    <n v="55"/>
    <x v="39"/>
    <x v="7"/>
    <n v="275"/>
    <n v="246"/>
    <s v="1 kg"/>
    <x v="1"/>
  </r>
  <r>
    <n v="56"/>
    <x v="40"/>
    <x v="5"/>
    <n v="325"/>
    <n v="199"/>
    <s v="200 gm"/>
    <x v="0"/>
  </r>
  <r>
    <n v="57"/>
    <x v="41"/>
    <x v="0"/>
    <n v="168"/>
    <n v="132"/>
    <s v="100 gm"/>
    <x v="0"/>
  </r>
  <r>
    <n v="58"/>
    <x v="41"/>
    <x v="0"/>
    <n v="341"/>
    <n v="262"/>
    <s v="200 gm"/>
    <x v="0"/>
  </r>
  <r>
    <n v="59"/>
    <x v="41"/>
    <x v="0"/>
    <n v="738"/>
    <n v="566"/>
    <s v="500 gm"/>
    <x v="0"/>
  </r>
  <r>
    <n v="60"/>
    <x v="42"/>
    <x v="12"/>
    <n v="135"/>
    <n v="110"/>
    <s v="500 gm"/>
    <x v="1"/>
  </r>
  <r>
    <n v="61"/>
    <x v="43"/>
    <x v="4"/>
    <n v="100"/>
    <n v="93"/>
    <s v="500 gm"/>
    <x v="1"/>
  </r>
  <r>
    <n v="62"/>
    <x v="44"/>
    <x v="0"/>
    <n v="215"/>
    <n v="129"/>
    <s v="100 gm"/>
    <x v="0"/>
  </r>
  <r>
    <n v="63"/>
    <x v="45"/>
    <x v="11"/>
    <n v="550"/>
    <n v="479"/>
    <s v="500 gm"/>
    <x v="0"/>
  </r>
  <r>
    <n v="64"/>
    <x v="46"/>
    <x v="4"/>
    <n v="126"/>
    <n v="117"/>
    <s v="500 gm"/>
    <x v="2"/>
  </r>
  <r>
    <n v="65"/>
    <x v="47"/>
    <x v="1"/>
    <n v="499"/>
    <n v="399"/>
    <s v="400 gm"/>
    <x v="0"/>
  </r>
  <r>
    <n v="66"/>
    <x v="48"/>
    <x v="13"/>
    <n v="125"/>
    <n v="90"/>
    <s v="500 gm"/>
    <x v="1"/>
  </r>
  <r>
    <n v="67"/>
    <x v="49"/>
    <x v="0"/>
    <n v="215"/>
    <n v="129"/>
    <s v="100 gm"/>
    <x v="0"/>
  </r>
  <r>
    <n v="68"/>
    <x v="50"/>
    <x v="9"/>
    <n v="849"/>
    <n v="424"/>
    <s v="500 gm"/>
    <x v="0"/>
  </r>
  <r>
    <n v="69"/>
    <x v="51"/>
    <x v="2"/>
    <n v="78"/>
    <n v="63"/>
    <s v="500 gm"/>
    <x v="1"/>
  </r>
  <r>
    <n v="70"/>
    <x v="51"/>
    <x v="2"/>
    <n v="157"/>
    <n v="131"/>
    <s v="1 kg"/>
    <x v="1"/>
  </r>
  <r>
    <n v="71"/>
    <x v="52"/>
    <x v="3"/>
    <n v="89"/>
    <n v="80"/>
    <s v="500 gm"/>
    <x v="1"/>
  </r>
  <r>
    <n v="72"/>
    <x v="52"/>
    <x v="3"/>
    <n v="184"/>
    <n v="129"/>
    <s v="1 kg"/>
    <x v="1"/>
  </r>
  <r>
    <n v="73"/>
    <x v="53"/>
    <x v="2"/>
    <n v="88"/>
    <n v="76"/>
    <s v="500 gm"/>
    <x v="1"/>
  </r>
  <r>
    <n v="74"/>
    <x v="53"/>
    <x v="2"/>
    <n v="180"/>
    <n v="142"/>
    <s v="1 kg"/>
    <x v="1"/>
  </r>
  <r>
    <n v="75"/>
    <x v="54"/>
    <x v="0"/>
    <n v="184"/>
    <n v="145"/>
    <s v="100 gm"/>
    <x v="0"/>
  </r>
  <r>
    <n v="76"/>
    <x v="54"/>
    <x v="0"/>
    <n v="380"/>
    <n v="292"/>
    <s v="200 gm"/>
    <x v="0"/>
  </r>
  <r>
    <n v="77"/>
    <x v="55"/>
    <x v="6"/>
    <n v="184"/>
    <n v="148"/>
    <s v="1 kg"/>
    <x v="1"/>
  </r>
  <r>
    <n v="78"/>
    <x v="56"/>
    <x v="0"/>
    <n v="334"/>
    <n v="235"/>
    <s v="100 gm"/>
    <x v="0"/>
  </r>
  <r>
    <n v="79"/>
    <x v="57"/>
    <x v="7"/>
    <n v="260"/>
    <n v="234"/>
    <s v="1 kg"/>
    <x v="1"/>
  </r>
  <r>
    <n v="80"/>
    <x v="58"/>
    <x v="1"/>
    <n v="449"/>
    <n v="249"/>
    <s v="200 gm"/>
    <x v="0"/>
  </r>
  <r>
    <n v="81"/>
    <x v="59"/>
    <x v="1"/>
    <n v="379"/>
    <n v="239"/>
    <s v="200 gm"/>
    <x v="0"/>
  </r>
  <r>
    <n v="82"/>
    <x v="60"/>
    <x v="0"/>
    <n v="42"/>
    <n v="33"/>
    <s v="200 gm"/>
    <x v="2"/>
  </r>
  <r>
    <n v="83"/>
    <x v="61"/>
    <x v="4"/>
    <n v="109"/>
    <n v="101"/>
    <s v="500 gm"/>
    <x v="1"/>
  </r>
  <r>
    <n v="84"/>
    <x v="62"/>
    <x v="14"/>
    <n v="60"/>
    <n v="52"/>
    <s v="200 gm"/>
    <x v="2"/>
  </r>
  <r>
    <n v="85"/>
    <x v="63"/>
    <x v="13"/>
    <n v="270"/>
    <n v="135"/>
    <s v="1 kg"/>
    <x v="1"/>
  </r>
  <r>
    <n v="86"/>
    <x v="64"/>
    <x v="2"/>
    <n v="750"/>
    <n v="585"/>
    <s v="5 kg"/>
    <x v="1"/>
  </r>
  <r>
    <n v="87"/>
    <x v="65"/>
    <x v="14"/>
    <n v="60"/>
    <n v="52"/>
    <s v="200 gm"/>
    <x v="2"/>
  </r>
  <r>
    <n v="88"/>
    <x v="66"/>
    <x v="2"/>
    <n v="750"/>
    <n v="588"/>
    <s v="5 kg"/>
    <x v="1"/>
  </r>
  <r>
    <n v="89"/>
    <x v="67"/>
    <x v="15"/>
    <n v="260"/>
    <n v="215"/>
    <s v="1 kg"/>
    <x v="1"/>
  </r>
  <r>
    <n v="90"/>
    <x v="68"/>
    <x v="0"/>
    <n v="45"/>
    <n v="38"/>
    <s v="200 gm"/>
    <x v="2"/>
  </r>
  <r>
    <n v="91"/>
    <x v="69"/>
    <x v="14"/>
    <n v="60"/>
    <n v="50"/>
    <s v="200 gm"/>
    <x v="2"/>
  </r>
  <r>
    <n v="92"/>
    <x v="70"/>
    <x v="5"/>
    <n v="540"/>
    <n v="375"/>
    <s v="200 gm"/>
    <x v="0"/>
  </r>
  <r>
    <n v="93"/>
    <x v="71"/>
    <x v="4"/>
    <n v="109"/>
    <n v="101"/>
    <s v="500 gm"/>
    <x v="1"/>
  </r>
  <r>
    <n v="94"/>
    <x v="72"/>
    <x v="16"/>
    <n v="700"/>
    <n v="560"/>
    <s v="250 gm"/>
    <x v="0"/>
  </r>
  <r>
    <n v="95"/>
    <x v="73"/>
    <x v="0"/>
    <n v="94"/>
    <n v="79"/>
    <s v="500 gm"/>
    <x v="2"/>
  </r>
  <r>
    <n v="96"/>
    <x v="74"/>
    <x v="16"/>
    <n v="460"/>
    <n v="310"/>
    <s v="250 gm"/>
    <x v="0"/>
  </r>
  <r>
    <n v="97"/>
    <x v="75"/>
    <x v="8"/>
    <n v="319"/>
    <n v="237"/>
    <s v="200 gm"/>
    <x v="0"/>
  </r>
  <r>
    <n v="98"/>
    <x v="76"/>
    <x v="2"/>
    <n v="70"/>
    <n v="53"/>
    <s v="500 gm"/>
    <x v="1"/>
  </r>
  <r>
    <n v="99"/>
    <x v="77"/>
    <x v="17"/>
    <n v="60"/>
    <n v="35"/>
    <s v="200 gm"/>
    <x v="2"/>
  </r>
  <r>
    <n v="100"/>
    <x v="78"/>
    <x v="2"/>
    <n v="88"/>
    <n v="73"/>
    <s v="500 gm"/>
    <x v="1"/>
  </r>
  <r>
    <n v="101"/>
    <x v="78"/>
    <x v="2"/>
    <n v="173"/>
    <n v="140"/>
    <s v="1 kg"/>
    <x v="1"/>
  </r>
  <r>
    <n v="102"/>
    <x v="79"/>
    <x v="2"/>
    <n v="95"/>
    <n v="76"/>
    <s v="500 gm"/>
    <x v="2"/>
  </r>
  <r>
    <n v="103"/>
    <x v="79"/>
    <x v="2"/>
    <n v="190"/>
    <n v="159"/>
    <s v="1 kg"/>
    <x v="2"/>
  </r>
  <r>
    <n v="104"/>
    <x v="80"/>
    <x v="2"/>
    <n v="88"/>
    <n v="69"/>
    <s v="500 gm"/>
    <x v="1"/>
  </r>
  <r>
    <n v="105"/>
    <x v="81"/>
    <x v="18"/>
    <n v="234"/>
    <n v="165"/>
    <s v="500 gm"/>
    <x v="0"/>
  </r>
  <r>
    <n v="106"/>
    <x v="82"/>
    <x v="3"/>
    <n v="90"/>
    <n v="75"/>
    <s v="500 gm"/>
    <x v="1"/>
  </r>
  <r>
    <n v="107"/>
    <x v="82"/>
    <x v="3"/>
    <n v="179"/>
    <n v="152"/>
    <s v="1 kg"/>
    <x v="1"/>
  </r>
  <r>
    <n v="108"/>
    <x v="83"/>
    <x v="19"/>
    <n v="145"/>
    <n v="130"/>
    <s v="500 gm"/>
    <x v="0"/>
  </r>
  <r>
    <n v="109"/>
    <x v="84"/>
    <x v="4"/>
    <n v="129"/>
    <n v="114"/>
    <s v="500 gm"/>
    <x v="2"/>
  </r>
  <r>
    <n v="110"/>
    <x v="85"/>
    <x v="2"/>
    <n v="81"/>
    <n v="67"/>
    <s v="500 gm"/>
    <x v="1"/>
  </r>
  <r>
    <n v="111"/>
    <x v="86"/>
    <x v="20"/>
    <n v="190"/>
    <n v="158"/>
    <s v="500 gm"/>
    <x v="0"/>
  </r>
  <r>
    <n v="112"/>
    <x v="87"/>
    <x v="0"/>
    <n v="51"/>
    <n v="32"/>
    <s v="100 gm"/>
    <x v="0"/>
  </r>
  <r>
    <n v="113"/>
    <x v="87"/>
    <x v="0"/>
    <n v="97"/>
    <n v="65"/>
    <s v="200 gm"/>
    <x v="0"/>
  </r>
  <r>
    <n v="114"/>
    <x v="87"/>
    <x v="0"/>
    <n v="212"/>
    <n v="165"/>
    <s v="500 gm"/>
    <x v="0"/>
  </r>
  <r>
    <n v="115"/>
    <x v="88"/>
    <x v="19"/>
    <n v="125"/>
    <n v="93"/>
    <s v="500 gm"/>
    <x v="0"/>
  </r>
  <r>
    <n v="116"/>
    <x v="89"/>
    <x v="19"/>
    <n v="170"/>
    <n v="133"/>
    <s v="400 gm"/>
    <x v="0"/>
  </r>
  <r>
    <n v="117"/>
    <x v="90"/>
    <x v="12"/>
    <n v="145"/>
    <n v="125"/>
    <s v="500 gm"/>
    <x v="2"/>
  </r>
  <r>
    <n v="118"/>
    <x v="91"/>
    <x v="18"/>
    <n v="140"/>
    <n v="95"/>
    <s v="500 gm"/>
    <x v="0"/>
  </r>
  <r>
    <n v="119"/>
    <x v="92"/>
    <x v="4"/>
    <n v="123"/>
    <n v="114"/>
    <s v="500 gm"/>
    <x v="1"/>
  </r>
  <r>
    <n v="120"/>
    <x v="93"/>
    <x v="21"/>
    <n v="125"/>
    <n v="90"/>
    <s v="500 gm"/>
    <x v="0"/>
  </r>
  <r>
    <n v="121"/>
    <x v="94"/>
    <x v="22"/>
    <n v="990"/>
    <n v="750"/>
    <s v="500 gm"/>
    <x v="0"/>
  </r>
  <r>
    <n v="122"/>
    <x v="95"/>
    <x v="0"/>
    <n v="81"/>
    <n v="63"/>
    <s v="200 gm"/>
    <x v="0"/>
  </r>
  <r>
    <n v="123"/>
    <x v="96"/>
    <x v="20"/>
    <n v="500"/>
    <n v="350"/>
    <s v="500 gm"/>
    <x v="0"/>
  </r>
  <r>
    <n v="124"/>
    <x v="97"/>
    <x v="7"/>
    <n v="147"/>
    <n v="125"/>
    <s v="500 gm"/>
    <x v="2"/>
  </r>
  <r>
    <n v="125"/>
    <x v="98"/>
    <x v="13"/>
    <n v="145"/>
    <n v="105"/>
    <s v="500 gm"/>
    <x v="2"/>
  </r>
  <r>
    <n v="126"/>
    <x v="99"/>
    <x v="1"/>
    <n v="249"/>
    <n v="159"/>
    <s v="500 gm"/>
    <x v="0"/>
  </r>
  <r>
    <n v="127"/>
    <x v="100"/>
    <x v="20"/>
    <n v="135"/>
    <n v="105"/>
    <s v="500 gm"/>
    <x v="0"/>
  </r>
  <r>
    <n v="128"/>
    <x v="101"/>
    <x v="22"/>
    <n v="249"/>
    <n v="124"/>
    <s v="250 gm"/>
    <x v="0"/>
  </r>
  <r>
    <n v="129"/>
    <x v="102"/>
    <x v="23"/>
    <n v="249"/>
    <n v="195"/>
    <s v="400 gm"/>
    <x v="0"/>
  </r>
  <r>
    <n v="130"/>
    <x v="103"/>
    <x v="24"/>
    <n v="200"/>
    <n v="128"/>
    <s v="400 gm"/>
    <x v="0"/>
  </r>
  <r>
    <n v="131"/>
    <x v="104"/>
    <x v="2"/>
    <n v="150"/>
    <n v="113"/>
    <s v="500 gm"/>
    <x v="0"/>
  </r>
  <r>
    <n v="132"/>
    <x v="105"/>
    <x v="7"/>
    <n v="142"/>
    <n v="115"/>
    <s v="500 gm"/>
    <x v="1"/>
  </r>
  <r>
    <n v="133"/>
    <x v="106"/>
    <x v="20"/>
    <n v="150"/>
    <n v="119"/>
    <s v="500 gm"/>
    <x v="0"/>
  </r>
  <r>
    <n v="134"/>
    <x v="107"/>
    <x v="13"/>
    <n v="145"/>
    <n v="97"/>
    <s v="500 gm"/>
    <x v="1"/>
  </r>
  <r>
    <n v="135"/>
    <x v="108"/>
    <x v="25"/>
    <n v="625"/>
    <n v="464"/>
    <s v="500 gm"/>
    <x v="0"/>
  </r>
  <r>
    <n v="136"/>
    <x v="109"/>
    <x v="2"/>
    <n v="120"/>
    <n v="60"/>
    <s v="500 gm"/>
    <x v="0"/>
  </r>
  <r>
    <n v="137"/>
    <x v="110"/>
    <x v="23"/>
    <n v="549"/>
    <n v="390"/>
    <s v="250 gm"/>
    <x v="0"/>
  </r>
  <r>
    <n v="138"/>
    <x v="111"/>
    <x v="13"/>
    <n v="145"/>
    <n v="99"/>
    <s v="500 gm"/>
    <x v="1"/>
  </r>
  <r>
    <n v="139"/>
    <x v="112"/>
    <x v="23"/>
    <n v="425"/>
    <n v="280"/>
    <s v="250 gm"/>
    <x v="0"/>
  </r>
  <r>
    <n v="140"/>
    <x v="113"/>
    <x v="23"/>
    <n v="349"/>
    <n v="235"/>
    <s v="250 gm"/>
    <x v="0"/>
  </r>
  <r>
    <n v="141"/>
    <x v="114"/>
    <x v="2"/>
    <n v="68"/>
    <n v="58"/>
    <s v="500 gm"/>
    <x v="1"/>
  </r>
  <r>
    <n v="142"/>
    <x v="114"/>
    <x v="2"/>
    <n v="133"/>
    <n v="113"/>
    <s v="1 kg"/>
    <x v="1"/>
  </r>
  <r>
    <n v="143"/>
    <x v="115"/>
    <x v="0"/>
    <n v="42"/>
    <n v="33"/>
    <s v="100 gm"/>
    <x v="0"/>
  </r>
  <r>
    <n v="144"/>
    <x v="115"/>
    <x v="0"/>
    <n v="81"/>
    <n v="63"/>
    <s v="200 gm"/>
    <x v="0"/>
  </r>
  <r>
    <n v="145"/>
    <x v="115"/>
    <x v="0"/>
    <n v="186"/>
    <n v="146"/>
    <s v="500 gm"/>
    <x v="0"/>
  </r>
  <r>
    <n v="146"/>
    <x v="116"/>
    <x v="2"/>
    <n v="94"/>
    <n v="81"/>
    <s v="1 kg"/>
    <x v="2"/>
  </r>
  <r>
    <n v="147"/>
    <x v="116"/>
    <x v="2"/>
    <n v="48"/>
    <n v="42"/>
    <s v="500 gm"/>
    <x v="2"/>
  </r>
  <r>
    <n v="148"/>
    <x v="117"/>
    <x v="2"/>
    <n v="73"/>
    <n v="61"/>
    <s v="500 gm"/>
    <x v="2"/>
  </r>
  <r>
    <n v="149"/>
    <x v="118"/>
    <x v="3"/>
    <n v="86"/>
    <n v="72"/>
    <s v="500 gm"/>
    <x v="1"/>
  </r>
  <r>
    <n v="150"/>
    <x v="118"/>
    <x v="3"/>
    <n v="170"/>
    <n v="145"/>
    <s v="1 kg"/>
    <x v="1"/>
  </r>
  <r>
    <n v="151"/>
    <x v="119"/>
    <x v="0"/>
    <n v="60"/>
    <n v="44"/>
    <s v="100 gm"/>
    <x v="0"/>
  </r>
  <r>
    <n v="152"/>
    <x v="119"/>
    <x v="0"/>
    <n v="119"/>
    <n v="91"/>
    <s v="200 gm"/>
    <x v="0"/>
  </r>
  <r>
    <n v="153"/>
    <x v="120"/>
    <x v="1"/>
    <n v="299"/>
    <n v="169"/>
    <s v="500 gm"/>
    <x v="0"/>
  </r>
  <r>
    <n v="154"/>
    <x v="121"/>
    <x v="2"/>
    <n v="144"/>
    <n v="118"/>
    <s v="500 gm"/>
    <x v="2"/>
  </r>
  <r>
    <n v="155"/>
    <x v="122"/>
    <x v="0"/>
    <n v="47"/>
    <n v="34"/>
    <s v="100 gm"/>
    <x v="0"/>
  </r>
  <r>
    <n v="156"/>
    <x v="123"/>
    <x v="4"/>
    <n v="93"/>
    <n v="86"/>
    <s v="500 gm"/>
    <x v="1"/>
  </r>
  <r>
    <n v="157"/>
    <x v="124"/>
    <x v="26"/>
    <n v="95"/>
    <n v="65"/>
    <s v="200 gm"/>
    <x v="0"/>
  </r>
  <r>
    <n v="158"/>
    <x v="124"/>
    <x v="26"/>
    <n v="215"/>
    <n v="149"/>
    <s v="500 gm"/>
    <x v="0"/>
  </r>
  <r>
    <n v="159"/>
    <x v="125"/>
    <x v="0"/>
    <n v="73"/>
    <n v="54"/>
    <s v="100 gm"/>
    <x v="0"/>
  </r>
  <r>
    <n v="160"/>
    <x v="125"/>
    <x v="0"/>
    <n v="148"/>
    <n v="100"/>
    <s v="200 gm"/>
    <x v="0"/>
  </r>
  <r>
    <n v="161"/>
    <x v="126"/>
    <x v="4"/>
    <n v="90"/>
    <n v="83"/>
    <s v="500 gm"/>
    <x v="2"/>
  </r>
  <r>
    <n v="162"/>
    <x v="127"/>
    <x v="8"/>
    <n v="150"/>
    <n v="94"/>
    <s v="200 gm"/>
    <x v="0"/>
  </r>
  <r>
    <n v="163"/>
    <x v="128"/>
    <x v="8"/>
    <n v="215"/>
    <n v="124"/>
    <s v="200 gm"/>
    <x v="0"/>
  </r>
  <r>
    <n v="164"/>
    <x v="129"/>
    <x v="4"/>
    <n v="67"/>
    <n v="62"/>
    <s v="500 gm"/>
    <x v="2"/>
  </r>
  <r>
    <n v="165"/>
    <x v="130"/>
    <x v="13"/>
    <n v="85"/>
    <n v="59"/>
    <s v="500 gm"/>
    <x v="2"/>
  </r>
  <r>
    <n v="166"/>
    <x v="131"/>
    <x v="4"/>
    <n v="175"/>
    <n v="162"/>
    <s v="500 gm"/>
    <x v="2"/>
  </r>
  <r>
    <n v="167"/>
    <x v="132"/>
    <x v="16"/>
    <n v="270"/>
    <n v="135"/>
    <s v="250 gm"/>
    <x v="0"/>
  </r>
  <r>
    <n v="168"/>
    <x v="133"/>
    <x v="7"/>
    <n v="90"/>
    <n v="75"/>
    <s v="500 gm"/>
    <x v="2"/>
  </r>
  <r>
    <n v="169"/>
    <x v="134"/>
    <x v="1"/>
    <n v="499"/>
    <n v="299"/>
    <s v="200 gm"/>
    <x v="0"/>
  </r>
  <r>
    <n v="170"/>
    <x v="135"/>
    <x v="0"/>
    <n v="220"/>
    <n v="172"/>
    <s v="100 gm"/>
    <x v="0"/>
  </r>
  <r>
    <n v="171"/>
    <x v="136"/>
    <x v="2"/>
    <n v="999"/>
    <n v="499"/>
    <s v="1 kg"/>
    <x v="0"/>
  </r>
  <r>
    <n v="172"/>
    <x v="137"/>
    <x v="2"/>
    <n v="30"/>
    <n v="25"/>
    <s v="200 gm"/>
    <x v="1"/>
  </r>
  <r>
    <n v="173"/>
    <x v="137"/>
    <x v="2"/>
    <n v="72"/>
    <n v="59"/>
    <s v="500 gm"/>
    <x v="1"/>
  </r>
  <r>
    <n v="174"/>
    <x v="138"/>
    <x v="1"/>
    <n v="899"/>
    <n v="529"/>
    <s v="500 gm"/>
    <x v="0"/>
  </r>
  <r>
    <n v="175"/>
    <x v="139"/>
    <x v="2"/>
    <n v="76"/>
    <n v="65"/>
    <s v="500 gm"/>
    <x v="2"/>
  </r>
  <r>
    <n v="176"/>
    <x v="140"/>
    <x v="5"/>
    <n v="475"/>
    <n v="349"/>
    <s v="500 gm"/>
    <x v="0"/>
  </r>
  <r>
    <n v="177"/>
    <x v="141"/>
    <x v="8"/>
    <n v="325"/>
    <n v="260"/>
    <s v="150 gm"/>
    <x v="0"/>
  </r>
  <r>
    <n v="178"/>
    <x v="142"/>
    <x v="4"/>
    <n v="45"/>
    <n v="41"/>
    <s v="200 gm"/>
    <x v="1"/>
  </r>
  <r>
    <n v="179"/>
    <x v="143"/>
    <x v="4"/>
    <n v="106"/>
    <n v="98"/>
    <s v="500 gm"/>
    <x v="2"/>
  </r>
  <r>
    <n v="180"/>
    <x v="144"/>
    <x v="2"/>
    <n v="73"/>
    <n v="60"/>
    <s v="500 gm"/>
    <x v="2"/>
  </r>
  <r>
    <n v="181"/>
    <x v="145"/>
    <x v="2"/>
    <n v="72"/>
    <n v="60"/>
    <s v="500 gm"/>
    <x v="1"/>
  </r>
  <r>
    <n v="182"/>
    <x v="145"/>
    <x v="2"/>
    <n v="141"/>
    <n v="120"/>
    <s v="1 kg"/>
    <x v="1"/>
  </r>
  <r>
    <n v="183"/>
    <x v="146"/>
    <x v="4"/>
    <n v="109"/>
    <n v="101"/>
    <s v="500 gm"/>
    <x v="2"/>
  </r>
  <r>
    <n v="184"/>
    <x v="147"/>
    <x v="0"/>
    <n v="78"/>
    <n v="61"/>
    <s v="100 gm"/>
    <x v="0"/>
  </r>
  <r>
    <n v="185"/>
    <x v="148"/>
    <x v="0"/>
    <n v="299"/>
    <n v="200"/>
    <s v="200 gm"/>
    <x v="0"/>
  </r>
  <r>
    <n v="186"/>
    <x v="149"/>
    <x v="12"/>
    <n v="125"/>
    <n v="116"/>
    <s v="500 gm"/>
    <x v="2"/>
  </r>
  <r>
    <n v="187"/>
    <x v="150"/>
    <x v="2"/>
    <n v="47"/>
    <n v="41"/>
    <s v="500 gm"/>
    <x v="1"/>
  </r>
  <r>
    <n v="188"/>
    <x v="151"/>
    <x v="2"/>
    <n v="65"/>
    <n v="54"/>
    <s v="500 gm"/>
    <x v="2"/>
  </r>
  <r>
    <n v="189"/>
    <x v="151"/>
    <x v="2"/>
    <n v="125"/>
    <n v="106"/>
    <s v="1 kg"/>
    <x v="2"/>
  </r>
  <r>
    <n v="190"/>
    <x v="152"/>
    <x v="0"/>
    <n v="127"/>
    <n v="98"/>
    <s v="200 gm"/>
    <x v="0"/>
  </r>
  <r>
    <n v="191"/>
    <x v="152"/>
    <x v="0"/>
    <n v="314"/>
    <n v="244"/>
    <s v="500 gm"/>
    <x v="0"/>
  </r>
  <r>
    <n v="192"/>
    <x v="153"/>
    <x v="1"/>
    <n v="399"/>
    <n v="259"/>
    <s v="450 gm"/>
    <x v="0"/>
  </r>
  <r>
    <n v="193"/>
    <x v="154"/>
    <x v="4"/>
    <n v="90"/>
    <n v="83"/>
    <s v="500 gm"/>
    <x v="2"/>
  </r>
  <r>
    <n v="194"/>
    <x v="155"/>
    <x v="8"/>
    <n v="199"/>
    <n v="139"/>
    <s v="200 gm"/>
    <x v="0"/>
  </r>
  <r>
    <n v="195"/>
    <x v="156"/>
    <x v="8"/>
    <n v="250"/>
    <n v="231"/>
    <s v="200 gm"/>
    <x v="0"/>
  </r>
  <r>
    <n v="196"/>
    <x v="157"/>
    <x v="16"/>
    <n v="225"/>
    <n v="160"/>
    <s v="200 gm"/>
    <x v="0"/>
  </r>
  <r>
    <n v="197"/>
    <x v="158"/>
    <x v="16"/>
    <n v="205"/>
    <n v="119"/>
    <s v="200 gm"/>
    <x v="0"/>
  </r>
  <r>
    <n v="198"/>
    <x v="159"/>
    <x v="16"/>
    <n v="299"/>
    <n v="199"/>
    <s v="100 gm"/>
    <x v="0"/>
  </r>
  <r>
    <n v="199"/>
    <x v="160"/>
    <x v="16"/>
    <n v="149"/>
    <n v="99"/>
    <s v="100 gm"/>
    <x v="0"/>
  </r>
  <r>
    <n v="200"/>
    <x v="161"/>
    <x v="2"/>
    <n v="61"/>
    <n v="51"/>
    <s v="500 gm"/>
    <x v="2"/>
  </r>
  <r>
    <n v="201"/>
    <x v="162"/>
    <x v="2"/>
    <n v="72"/>
    <n v="60"/>
    <s v="500 gm"/>
    <x v="2"/>
  </r>
  <r>
    <n v="202"/>
    <x v="163"/>
    <x v="4"/>
    <n v="109"/>
    <n v="101"/>
    <s v="500 gm"/>
    <x v="2"/>
  </r>
  <r>
    <n v="203"/>
    <x v="164"/>
    <x v="2"/>
    <n v="51"/>
    <n v="45"/>
    <s v="500 gm"/>
    <x v="2"/>
  </r>
  <r>
    <n v="204"/>
    <x v="165"/>
    <x v="4"/>
    <n v="129"/>
    <n v="119"/>
    <s v="500 gm"/>
    <x v="2"/>
  </r>
  <r>
    <n v="205"/>
    <x v="166"/>
    <x v="5"/>
    <n v="221"/>
    <n v="160"/>
    <s v="100 gm"/>
    <x v="0"/>
  </r>
  <r>
    <n v="206"/>
    <x v="167"/>
    <x v="0"/>
    <n v="229"/>
    <n v="162"/>
    <s v="100 gm"/>
    <x v="0"/>
  </r>
  <r>
    <n v="207"/>
    <x v="167"/>
    <x v="0"/>
    <n v="120"/>
    <n v="88"/>
    <s v="50 gm"/>
    <x v="0"/>
  </r>
  <r>
    <n v="208"/>
    <x v="168"/>
    <x v="4"/>
    <n v="70"/>
    <n v="65"/>
    <s v="500 gm"/>
    <x v="2"/>
  </r>
  <r>
    <n v="209"/>
    <x v="169"/>
    <x v="2"/>
    <n v="99"/>
    <n v="82"/>
    <s v="100 gm"/>
    <x v="0"/>
  </r>
  <r>
    <n v="210"/>
    <x v="169"/>
    <x v="2"/>
    <n v="193"/>
    <n v="170"/>
    <s v="200 gm"/>
    <x v="0"/>
  </r>
  <r>
    <n v="211"/>
    <x v="170"/>
    <x v="2"/>
    <n v="82"/>
    <n v="66"/>
    <s v="500 gm"/>
    <x v="2"/>
  </r>
  <r>
    <n v="212"/>
    <x v="170"/>
    <x v="2"/>
    <n v="161"/>
    <n v="131"/>
    <s v="1 kg"/>
    <x v="2"/>
  </r>
  <r>
    <n v="213"/>
    <x v="171"/>
    <x v="2"/>
    <n v="113"/>
    <n v="91"/>
    <s v="500 gm"/>
    <x v="2"/>
  </r>
  <r>
    <n v="214"/>
    <x v="172"/>
    <x v="27"/>
    <n v="130"/>
    <n v="99"/>
    <s v="100 gm"/>
    <x v="0"/>
  </r>
  <r>
    <n v="215"/>
    <x v="173"/>
    <x v="2"/>
    <n v="65"/>
    <n v="53"/>
    <s v="500 gm"/>
    <x v="2"/>
  </r>
  <r>
    <n v="216"/>
    <x v="174"/>
    <x v="2"/>
    <n v="131"/>
    <n v="102"/>
    <s v="500 gm"/>
    <x v="2"/>
  </r>
  <r>
    <n v="217"/>
    <x v="175"/>
    <x v="2"/>
    <n v="62"/>
    <n v="56"/>
    <s v="500 gm"/>
    <x v="2"/>
  </r>
  <r>
    <n v="218"/>
    <x v="176"/>
    <x v="4"/>
    <n v="129"/>
    <n v="119"/>
    <s v="500 gm"/>
    <x v="2"/>
  </r>
  <r>
    <n v="219"/>
    <x v="177"/>
    <x v="4"/>
    <n v="214"/>
    <n v="199"/>
    <s v="500 gm"/>
    <x v="2"/>
  </r>
  <r>
    <n v="220"/>
    <x v="178"/>
    <x v="2"/>
    <n v="71"/>
    <n v="59"/>
    <s v="500 gm"/>
    <x v="2"/>
  </r>
  <r>
    <n v="221"/>
    <x v="179"/>
    <x v="2"/>
    <n v="89"/>
    <n v="76"/>
    <s v="500 gm"/>
    <x v="2"/>
  </r>
  <r>
    <n v="222"/>
    <x v="180"/>
    <x v="4"/>
    <n v="97"/>
    <n v="90"/>
    <s v="50 gm"/>
    <x v="0"/>
  </r>
  <r>
    <n v="223"/>
    <x v="181"/>
    <x v="2"/>
    <n v="87"/>
    <n v="81"/>
    <s v="500 gm"/>
    <x v="2"/>
  </r>
  <r>
    <n v="224"/>
    <x v="182"/>
    <x v="4"/>
    <n v="182"/>
    <n v="169"/>
    <s v="500 gm"/>
    <x v="2"/>
  </r>
  <r>
    <n v="225"/>
    <x v="183"/>
    <x v="8"/>
    <n v="355"/>
    <n v="303"/>
    <s v="200 gm"/>
    <x v="0"/>
  </r>
  <r>
    <n v="226"/>
    <x v="184"/>
    <x v="0"/>
    <n v="162"/>
    <n v="124"/>
    <s v="100 gm"/>
    <x v="0"/>
  </r>
  <r>
    <n v="227"/>
    <x v="185"/>
    <x v="2"/>
    <n v="62"/>
    <n v="48"/>
    <s v="500 gm"/>
    <x v="2"/>
  </r>
  <r>
    <n v="228"/>
    <x v="186"/>
    <x v="16"/>
    <n v="495"/>
    <n v="370"/>
    <s v="250 gm"/>
    <x v="0"/>
  </r>
  <r>
    <n v="229"/>
    <x v="187"/>
    <x v="1"/>
    <n v="449"/>
    <n v="249"/>
    <s v="250 gm"/>
    <x v="0"/>
  </r>
  <r>
    <n v="230"/>
    <x v="188"/>
    <x v="0"/>
    <n v="107"/>
    <n v="88"/>
    <s v="500 gm"/>
    <x v="2"/>
  </r>
  <r>
    <n v="231"/>
    <x v="188"/>
    <x v="0"/>
    <n v="215"/>
    <n v="179"/>
    <s v="1 kg"/>
    <x v="2"/>
  </r>
  <r>
    <n v="232"/>
    <x v="189"/>
    <x v="4"/>
    <n v="119"/>
    <n v="101"/>
    <s v="500 gm"/>
    <x v="3"/>
  </r>
  <r>
    <n v="233"/>
    <x v="190"/>
    <x v="12"/>
    <n v="145"/>
    <n v="120"/>
    <s v="500 gm"/>
    <x v="2"/>
  </r>
  <r>
    <n v="234"/>
    <x v="191"/>
    <x v="13"/>
    <n v="145"/>
    <n v="102"/>
    <s v="500 gm"/>
    <x v="2"/>
  </r>
  <r>
    <n v="235"/>
    <x v="192"/>
    <x v="0"/>
    <n v="56"/>
    <n v="45"/>
    <s v="1 kg"/>
    <x v="4"/>
  </r>
  <r>
    <n v="236"/>
    <x v="192"/>
    <x v="0"/>
    <n v="271"/>
    <n v="224"/>
    <s v="5 kg"/>
    <x v="4"/>
  </r>
  <r>
    <n v="237"/>
    <x v="193"/>
    <x v="0"/>
    <n v="575"/>
    <n v="535"/>
    <s v="1 L"/>
    <x v="5"/>
  </r>
  <r>
    <n v="238"/>
    <x v="194"/>
    <x v="0"/>
    <n v="64"/>
    <n v="52"/>
    <s v="1 kg"/>
    <x v="6"/>
  </r>
  <r>
    <n v="239"/>
    <x v="194"/>
    <x v="0"/>
    <n v="33"/>
    <n v="27"/>
    <s v="500 gm"/>
    <x v="6"/>
  </r>
  <r>
    <n v="240"/>
    <x v="195"/>
    <x v="0"/>
    <n v="48"/>
    <n v="38"/>
    <s v="100 gm"/>
    <x v="3"/>
  </r>
  <r>
    <n v="241"/>
    <x v="195"/>
    <x v="0"/>
    <n v="92"/>
    <n v="75"/>
    <s v="200 gm"/>
    <x v="3"/>
  </r>
  <r>
    <n v="242"/>
    <x v="195"/>
    <x v="0"/>
    <n v="217"/>
    <n v="168"/>
    <s v="500 gm"/>
    <x v="3"/>
  </r>
  <r>
    <n v="243"/>
    <x v="196"/>
    <x v="0"/>
    <n v="52"/>
    <n v="42"/>
    <s v="500 gm"/>
    <x v="7"/>
  </r>
  <r>
    <n v="244"/>
    <x v="196"/>
    <x v="0"/>
    <n v="114"/>
    <n v="75"/>
    <s v="1 kg"/>
    <x v="7"/>
  </r>
  <r>
    <n v="245"/>
    <x v="197"/>
    <x v="2"/>
    <n v="80"/>
    <n v="59"/>
    <s v="900 gm"/>
    <x v="4"/>
  </r>
  <r>
    <n v="246"/>
    <x v="198"/>
    <x v="0"/>
    <n v="55"/>
    <n v="47"/>
    <s v="20 gm"/>
    <x v="3"/>
  </r>
  <r>
    <n v="247"/>
    <x v="198"/>
    <x v="0"/>
    <n v="130"/>
    <n v="118"/>
    <s v="50 gm"/>
    <x v="3"/>
  </r>
  <r>
    <n v="248"/>
    <x v="199"/>
    <x v="0"/>
    <n v="93"/>
    <n v="73"/>
    <s v="200 gm"/>
    <x v="3"/>
  </r>
  <r>
    <n v="249"/>
    <x v="199"/>
    <x v="0"/>
    <n v="195"/>
    <n v="149"/>
    <s v="500 gm"/>
    <x v="3"/>
  </r>
  <r>
    <n v="250"/>
    <x v="200"/>
    <x v="28"/>
    <n v="100"/>
    <n v="95"/>
    <s v="900 gm"/>
    <x v="4"/>
  </r>
  <r>
    <n v="251"/>
    <x v="201"/>
    <x v="0"/>
    <n v="112"/>
    <n v="89"/>
    <s v="100 gm"/>
    <x v="3"/>
  </r>
  <r>
    <n v="252"/>
    <x v="201"/>
    <x v="0"/>
    <n v="60"/>
    <n v="49"/>
    <s v="50 gm"/>
    <x v="3"/>
  </r>
  <r>
    <n v="253"/>
    <x v="201"/>
    <x v="0"/>
    <n v="220"/>
    <n v="169"/>
    <s v="200 gm"/>
    <x v="3"/>
  </r>
  <r>
    <n v="254"/>
    <x v="202"/>
    <x v="0"/>
    <n v="74"/>
    <n v="61"/>
    <s v="200 gm"/>
    <x v="3"/>
  </r>
  <r>
    <n v="255"/>
    <x v="202"/>
    <x v="0"/>
    <n v="144"/>
    <n v="115"/>
    <s v="400 gm"/>
    <x v="3"/>
  </r>
  <r>
    <n v="256"/>
    <x v="203"/>
    <x v="0"/>
    <n v="60"/>
    <n v="49"/>
    <s v="100 gm"/>
    <x v="3"/>
  </r>
  <r>
    <n v="257"/>
    <x v="203"/>
    <x v="0"/>
    <n v="113"/>
    <n v="88"/>
    <s v="200 gm"/>
    <x v="3"/>
  </r>
  <r>
    <n v="258"/>
    <x v="203"/>
    <x v="0"/>
    <n v="275"/>
    <n v="225"/>
    <s v="500 gm"/>
    <x v="3"/>
  </r>
  <r>
    <n v="259"/>
    <x v="204"/>
    <x v="0"/>
    <n v="44"/>
    <n v="35"/>
    <s v="100 gm"/>
    <x v="3"/>
  </r>
  <r>
    <n v="260"/>
    <x v="204"/>
    <x v="0"/>
    <n v="84"/>
    <n v="67"/>
    <s v="200 gm"/>
    <x v="3"/>
  </r>
  <r>
    <n v="261"/>
    <x v="204"/>
    <x v="0"/>
    <n v="173"/>
    <n v="133"/>
    <s v="500 gm"/>
    <x v="3"/>
  </r>
  <r>
    <n v="262"/>
    <x v="205"/>
    <x v="0"/>
    <n v="22"/>
    <n v="17"/>
    <s v="100 gm"/>
    <x v="3"/>
  </r>
  <r>
    <n v="263"/>
    <x v="205"/>
    <x v="0"/>
    <n v="40"/>
    <n v="33"/>
    <s v="200 gm"/>
    <x v="3"/>
  </r>
  <r>
    <n v="264"/>
    <x v="205"/>
    <x v="0"/>
    <n v="85"/>
    <n v="67"/>
    <s v="500 gm"/>
    <x v="3"/>
  </r>
  <r>
    <n v="265"/>
    <x v="206"/>
    <x v="0"/>
    <n v="540"/>
    <n v="436"/>
    <s v="1 kg"/>
    <x v="3"/>
  </r>
  <r>
    <n v="266"/>
    <x v="207"/>
    <x v="2"/>
    <n v="60"/>
    <n v="40"/>
    <s v="500 gm"/>
    <x v="6"/>
  </r>
  <r>
    <n v="267"/>
    <x v="208"/>
    <x v="29"/>
    <n v="45"/>
    <n v="34"/>
    <s v="450 gm"/>
    <x v="4"/>
  </r>
  <r>
    <n v="268"/>
    <x v="208"/>
    <x v="29"/>
    <n v="90"/>
    <n v="64"/>
    <s v="900 gm"/>
    <x v="4"/>
  </r>
  <r>
    <n v="269"/>
    <x v="209"/>
    <x v="0"/>
    <n v="110"/>
    <n v="90"/>
    <s v="100 gm"/>
    <x v="3"/>
  </r>
  <r>
    <n v="270"/>
    <x v="210"/>
    <x v="0"/>
    <n v="21"/>
    <n v="17"/>
    <s v="100 gm"/>
    <x v="3"/>
  </r>
  <r>
    <n v="271"/>
    <x v="210"/>
    <x v="0"/>
    <n v="39"/>
    <n v="30"/>
    <s v="200 gm"/>
    <x v="3"/>
  </r>
  <r>
    <n v="272"/>
    <x v="210"/>
    <x v="0"/>
    <n v="81"/>
    <n v="69"/>
    <s v="500 gm"/>
    <x v="3"/>
  </r>
  <r>
    <n v="273"/>
    <x v="210"/>
    <x v="0"/>
    <n v="158"/>
    <n v="119"/>
    <s v="1 kg"/>
    <x v="3"/>
  </r>
  <r>
    <n v="274"/>
    <x v="211"/>
    <x v="0"/>
    <n v="24"/>
    <n v="20"/>
    <s v="100 gm"/>
    <x v="3"/>
  </r>
  <r>
    <n v="275"/>
    <x v="211"/>
    <x v="0"/>
    <n v="107"/>
    <n v="80"/>
    <s v="500 gm"/>
    <x v="3"/>
  </r>
  <r>
    <n v="276"/>
    <x v="211"/>
    <x v="0"/>
    <n v="191"/>
    <n v="142"/>
    <s v="1 kg"/>
    <x v="3"/>
  </r>
  <r>
    <n v="277"/>
    <x v="212"/>
    <x v="2"/>
    <n v="60"/>
    <n v="50"/>
    <s v="100 gm"/>
    <x v="3"/>
  </r>
  <r>
    <n v="278"/>
    <x v="213"/>
    <x v="0"/>
    <n v="53"/>
    <n v="40"/>
    <s v="200 gm"/>
    <x v="3"/>
  </r>
  <r>
    <n v="279"/>
    <x v="213"/>
    <x v="0"/>
    <n v="111"/>
    <n v="90"/>
    <s v="500 gm"/>
    <x v="3"/>
  </r>
  <r>
    <n v="280"/>
    <x v="214"/>
    <x v="0"/>
    <n v="19"/>
    <n v="15"/>
    <s v="100 gm"/>
    <x v="3"/>
  </r>
  <r>
    <n v="281"/>
    <x v="214"/>
    <x v="0"/>
    <n v="35"/>
    <n v="26"/>
    <s v="200 gm"/>
    <x v="3"/>
  </r>
  <r>
    <n v="282"/>
    <x v="214"/>
    <x v="0"/>
    <n v="72"/>
    <n v="57"/>
    <s v="500 gm"/>
    <x v="3"/>
  </r>
  <r>
    <n v="283"/>
    <x v="215"/>
    <x v="0"/>
    <n v="37"/>
    <n v="30"/>
    <s v="500 gm"/>
    <x v="6"/>
  </r>
  <r>
    <n v="284"/>
    <x v="216"/>
    <x v="0"/>
    <n v="29"/>
    <n v="21"/>
    <s v="100 gm"/>
    <x v="3"/>
  </r>
  <r>
    <n v="285"/>
    <x v="216"/>
    <x v="0"/>
    <n v="128"/>
    <n v="98"/>
    <s v="500 gm"/>
    <x v="3"/>
  </r>
  <r>
    <n v="286"/>
    <x v="217"/>
    <x v="0"/>
    <n v="66"/>
    <n v="51"/>
    <s v="200 gm"/>
    <x v="3"/>
  </r>
  <r>
    <n v="287"/>
    <x v="218"/>
    <x v="0"/>
    <n v="43"/>
    <n v="33"/>
    <s v="100 gm"/>
    <x v="3"/>
  </r>
  <r>
    <n v="288"/>
    <x v="219"/>
    <x v="0"/>
    <n v="118"/>
    <n v="96"/>
    <s v="50 gm"/>
    <x v="3"/>
  </r>
  <r>
    <n v="289"/>
    <x v="220"/>
    <x v="0"/>
    <n v="16"/>
    <n v="14"/>
    <s v="10 gm"/>
    <x v="3"/>
  </r>
  <r>
    <n v="290"/>
    <x v="221"/>
    <x v="0"/>
    <n v="170"/>
    <n v="138"/>
    <s v="100 gm"/>
    <x v="3"/>
  </r>
  <r>
    <n v="291"/>
    <x v="222"/>
    <x v="0"/>
    <n v="71"/>
    <n v="51"/>
    <s v="100 gm"/>
    <x v="3"/>
  </r>
  <r>
    <n v="292"/>
    <x v="223"/>
    <x v="0"/>
    <n v="35"/>
    <n v="24"/>
    <s v="100 gm"/>
    <x v="3"/>
  </r>
  <r>
    <n v="293"/>
    <x v="224"/>
    <x v="0"/>
    <n v="40"/>
    <n v="32"/>
    <s v="20 gm"/>
    <x v="3"/>
  </r>
  <r>
    <n v="294"/>
    <x v="224"/>
    <x v="0"/>
    <n v="92"/>
    <n v="72"/>
    <s v="50 gm"/>
    <x v="3"/>
  </r>
  <r>
    <n v="295"/>
    <x v="225"/>
    <x v="0"/>
    <n v="66"/>
    <n v="42"/>
    <s v="100 gm"/>
    <x v="3"/>
  </r>
  <r>
    <n v="296"/>
    <x v="226"/>
    <x v="0"/>
    <n v="57"/>
    <n v="47"/>
    <s v="500 gm"/>
    <x v="6"/>
  </r>
  <r>
    <n v="297"/>
    <x v="227"/>
    <x v="0"/>
    <n v="54"/>
    <n v="35"/>
    <s v="100 gm"/>
    <x v="3"/>
  </r>
  <r>
    <n v="298"/>
    <x v="228"/>
    <x v="0"/>
    <n v="17"/>
    <n v="15"/>
    <s v="100 gm"/>
    <x v="3"/>
  </r>
  <r>
    <n v="299"/>
    <x v="228"/>
    <x v="0"/>
    <n v="72"/>
    <n v="55"/>
    <s v="500 gm"/>
    <x v="3"/>
  </r>
  <r>
    <n v="300"/>
    <x v="229"/>
    <x v="0"/>
    <n v="47"/>
    <n v="34"/>
    <s v="100 gm"/>
    <x v="3"/>
  </r>
  <r>
    <n v="301"/>
    <x v="230"/>
    <x v="0"/>
    <n v="40"/>
    <n v="30"/>
    <s v="100 gm"/>
    <x v="3"/>
  </r>
  <r>
    <n v="302"/>
    <x v="230"/>
    <x v="0"/>
    <n v="77"/>
    <n v="60"/>
    <s v="200 gm"/>
    <x v="3"/>
  </r>
  <r>
    <n v="303"/>
    <x v="231"/>
    <x v="0"/>
    <n v="59"/>
    <n v="40"/>
    <s v="500 gm"/>
    <x v="7"/>
  </r>
  <r>
    <n v="304"/>
    <x v="232"/>
    <x v="0"/>
    <n v="112"/>
    <n v="85"/>
    <s v="100 gm"/>
    <x v="3"/>
  </r>
  <r>
    <n v="305"/>
    <x v="233"/>
    <x v="0"/>
    <n v="44"/>
    <n v="35"/>
    <s v="50 gm"/>
    <x v="3"/>
  </r>
  <r>
    <n v="306"/>
    <x v="234"/>
    <x v="0"/>
    <n v="19"/>
    <n v="15"/>
    <s v="100 gm"/>
    <x v="3"/>
  </r>
  <r>
    <n v="307"/>
    <x v="235"/>
    <x v="0"/>
    <n v="100"/>
    <n v="68"/>
    <s v="100 gm"/>
    <x v="3"/>
  </r>
  <r>
    <n v="308"/>
    <x v="236"/>
    <x v="0"/>
    <n v="132"/>
    <n v="79"/>
    <s v="100 gm"/>
    <x v="3"/>
  </r>
  <r>
    <n v="309"/>
    <x v="237"/>
    <x v="0"/>
    <n v="40"/>
    <n v="34"/>
    <s v="100 gm"/>
    <x v="3"/>
  </r>
  <r>
    <n v="310"/>
    <x v="238"/>
    <x v="2"/>
    <n v="80"/>
    <n v="46"/>
    <s v="500 gm"/>
    <x v="6"/>
  </r>
  <r>
    <n v="311"/>
    <x v="239"/>
    <x v="0"/>
    <n v="56"/>
    <n v="51"/>
    <s v="100 gm"/>
    <x v="3"/>
  </r>
  <r>
    <n v="312"/>
    <x v="239"/>
    <x v="0"/>
    <n v="108"/>
    <n v="96"/>
    <s v="200 gm"/>
    <x v="3"/>
  </r>
  <r>
    <n v="313"/>
    <x v="240"/>
    <x v="0"/>
    <n v="136"/>
    <n v="104"/>
    <s v="20 gm"/>
    <x v="3"/>
  </r>
  <r>
    <n v="314"/>
    <x v="241"/>
    <x v="0"/>
    <n v="20"/>
    <n v="14"/>
    <s v="50 gm"/>
    <x v="3"/>
  </r>
  <r>
    <n v="315"/>
    <x v="242"/>
    <x v="0"/>
    <n v="172"/>
    <n v="145"/>
    <s v="100 gm"/>
    <x v="3"/>
  </r>
  <r>
    <n v="316"/>
    <x v="243"/>
    <x v="0"/>
    <n v="46"/>
    <n v="35"/>
    <s v="200 gm"/>
    <x v="3"/>
  </r>
  <r>
    <n v="317"/>
    <x v="244"/>
    <x v="0"/>
    <n v="20"/>
    <n v="16"/>
    <s v="200 gm"/>
    <x v="4"/>
  </r>
  <r>
    <n v="318"/>
    <x v="245"/>
    <x v="0"/>
    <n v="31"/>
    <n v="24"/>
    <s v="100 gm"/>
    <x v="3"/>
  </r>
  <r>
    <n v="319"/>
    <x v="245"/>
    <x v="0"/>
    <n v="59"/>
    <n v="43"/>
    <s v="200 gm"/>
    <x v="3"/>
  </r>
  <r>
    <n v="320"/>
    <x v="245"/>
    <x v="0"/>
    <n v="139"/>
    <n v="104"/>
    <s v="500 gm"/>
    <x v="3"/>
  </r>
  <r>
    <n v="321"/>
    <x v="245"/>
    <x v="0"/>
    <n v="255"/>
    <n v="190"/>
    <s v="1 kg"/>
    <x v="3"/>
  </r>
  <r>
    <n v="322"/>
    <x v="246"/>
    <x v="0"/>
    <n v="54"/>
    <n v="41"/>
    <s v="4 pcs"/>
    <x v="3"/>
  </r>
  <r>
    <n v="323"/>
    <x v="247"/>
    <x v="0"/>
    <n v="83"/>
    <n v="55"/>
    <s v="200 gm"/>
    <x v="3"/>
  </r>
  <r>
    <n v="324"/>
    <x v="248"/>
    <x v="30"/>
    <n v="60"/>
    <n v="40"/>
    <s v="500 gm"/>
    <x v="6"/>
  </r>
  <r>
    <n v="325"/>
    <x v="249"/>
    <x v="0"/>
    <n v="83"/>
    <n v="69"/>
    <s v="200 gm"/>
    <x v="3"/>
  </r>
  <r>
    <n v="326"/>
    <x v="250"/>
    <x v="0"/>
    <n v="27"/>
    <n v="20"/>
    <s v="200 gm"/>
    <x v="4"/>
  </r>
  <r>
    <n v="327"/>
    <x v="251"/>
    <x v="0"/>
    <n v="150"/>
    <n v="130"/>
    <s v="500 gm"/>
    <x v="3"/>
  </r>
  <r>
    <n v="328"/>
    <x v="252"/>
    <x v="0"/>
    <n v="35"/>
    <n v="26"/>
    <s v="100 gm"/>
    <x v="3"/>
  </r>
  <r>
    <n v="329"/>
    <x v="253"/>
    <x v="0"/>
    <n v="75"/>
    <n v="55"/>
    <s v="100 gm"/>
    <x v="3"/>
  </r>
  <r>
    <n v="330"/>
    <x v="254"/>
    <x v="0"/>
    <n v="26"/>
    <n v="19"/>
    <s v="200 gm"/>
    <x v="3"/>
  </r>
  <r>
    <n v="331"/>
    <x v="255"/>
    <x v="0"/>
    <n v="33"/>
    <n v="30"/>
    <s v="100 gm"/>
    <x v="3"/>
  </r>
  <r>
    <n v="332"/>
    <x v="256"/>
    <x v="0"/>
    <n v="34"/>
    <n v="28"/>
    <s v="100 gm"/>
    <x v="3"/>
  </r>
  <r>
    <n v="333"/>
    <x v="257"/>
    <x v="31"/>
    <n v="42"/>
    <n v="33"/>
    <s v="500 gm"/>
    <x v="6"/>
  </r>
  <r>
    <n v="334"/>
    <x v="258"/>
    <x v="0"/>
    <n v="58"/>
    <n v="46"/>
    <s v="100 gm"/>
    <x v="3"/>
  </r>
  <r>
    <n v="335"/>
    <x v="259"/>
    <x v="0"/>
    <n v="30"/>
    <n v="23"/>
    <s v="100 gm"/>
    <x v="3"/>
  </r>
  <r>
    <n v="336"/>
    <x v="260"/>
    <x v="0"/>
    <n v="32"/>
    <n v="24"/>
    <s v="50 gm"/>
    <x v="3"/>
  </r>
  <r>
    <n v="337"/>
    <x v="261"/>
    <x v="0"/>
    <n v="66"/>
    <n v="55"/>
    <s v="50 gm"/>
    <x v="3"/>
  </r>
  <r>
    <n v="338"/>
    <x v="262"/>
    <x v="0"/>
    <n v="20"/>
    <n v="16"/>
    <s v="200 gm"/>
    <x v="4"/>
  </r>
  <r>
    <n v="339"/>
    <x v="263"/>
    <x v="0"/>
    <n v="77"/>
    <n v="66"/>
    <s v="200 gm"/>
    <x v="3"/>
  </r>
  <r>
    <n v="340"/>
    <x v="264"/>
    <x v="0"/>
    <n v="22"/>
    <n v="15"/>
    <s v="100 gm"/>
    <x v="3"/>
  </r>
  <r>
    <n v="341"/>
    <x v="265"/>
    <x v="32"/>
    <n v="210"/>
    <n v="190"/>
    <s v="1 L"/>
    <x v="8"/>
  </r>
  <r>
    <n v="342"/>
    <x v="265"/>
    <x v="32"/>
    <n v="1100"/>
    <n v="970"/>
    <s v="5 L"/>
    <x v="8"/>
  </r>
  <r>
    <n v="343"/>
    <x v="266"/>
    <x v="32"/>
    <n v="3100"/>
    <n v="2599"/>
    <s v="15 L"/>
    <x v="8"/>
  </r>
  <r>
    <n v="344"/>
    <x v="267"/>
    <x v="33"/>
    <n v="194"/>
    <n v="167"/>
    <s v="1 L"/>
    <x v="8"/>
  </r>
  <r>
    <n v="345"/>
    <x v="267"/>
    <x v="33"/>
    <n v="1027"/>
    <n v="899"/>
    <s v="5 L"/>
    <x v="8"/>
  </r>
  <r>
    <n v="346"/>
    <x v="268"/>
    <x v="34"/>
    <n v="225"/>
    <n v="188"/>
    <s v="1 L"/>
    <x v="8"/>
  </r>
  <r>
    <n v="347"/>
    <x v="268"/>
    <x v="34"/>
    <n v="1200"/>
    <n v="975"/>
    <s v="5 L"/>
    <x v="8"/>
  </r>
  <r>
    <n v="348"/>
    <x v="269"/>
    <x v="2"/>
    <n v="3277"/>
    <n v="2675"/>
    <s v="15 L"/>
    <x v="8"/>
  </r>
  <r>
    <n v="349"/>
    <x v="270"/>
    <x v="35"/>
    <n v="270"/>
    <n v="176"/>
    <s v="1 L"/>
    <x v="8"/>
  </r>
  <r>
    <n v="350"/>
    <x v="271"/>
    <x v="36"/>
    <n v="210"/>
    <n v="178"/>
    <s v="1 L"/>
    <x v="8"/>
  </r>
  <r>
    <n v="351"/>
    <x v="271"/>
    <x v="36"/>
    <n v="1099"/>
    <n v="945"/>
    <s v="5 L"/>
    <x v="8"/>
  </r>
  <r>
    <n v="352"/>
    <x v="265"/>
    <x v="32"/>
    <n v="3150"/>
    <n v="2699"/>
    <s v="15 L"/>
    <x v="8"/>
  </r>
  <r>
    <n v="353"/>
    <x v="272"/>
    <x v="37"/>
    <n v="220"/>
    <n v="179"/>
    <s v="1 L"/>
    <x v="8"/>
  </r>
  <r>
    <n v="354"/>
    <x v="272"/>
    <x v="37"/>
    <n v="1125"/>
    <n v="940"/>
    <s v="5 L"/>
    <x v="8"/>
  </r>
  <r>
    <n v="355"/>
    <x v="273"/>
    <x v="38"/>
    <n v="245"/>
    <n v="205"/>
    <s v="1 L"/>
    <x v="8"/>
  </r>
  <r>
    <n v="356"/>
    <x v="272"/>
    <x v="37"/>
    <n v="3345"/>
    <n v="2755"/>
    <s v="15 L"/>
    <x v="8"/>
  </r>
  <r>
    <n v="357"/>
    <x v="274"/>
    <x v="39"/>
    <n v="236"/>
    <n v="166"/>
    <s v="1 L"/>
    <x v="8"/>
  </r>
  <r>
    <n v="358"/>
    <x v="274"/>
    <x v="39"/>
    <n v="1350"/>
    <n v="935"/>
    <s v="5 L"/>
    <x v="8"/>
  </r>
  <r>
    <n v="359"/>
    <x v="275"/>
    <x v="40"/>
    <n v="270"/>
    <n v="250"/>
    <s v="1 L"/>
    <x v="8"/>
  </r>
  <r>
    <n v="360"/>
    <x v="275"/>
    <x v="40"/>
    <n v="1365"/>
    <n v="1255"/>
    <s v="5 L"/>
    <x v="8"/>
  </r>
  <r>
    <n v="361"/>
    <x v="276"/>
    <x v="41"/>
    <n v="225"/>
    <n v="175"/>
    <s v="1 L"/>
    <x v="8"/>
  </r>
  <r>
    <n v="362"/>
    <x v="276"/>
    <x v="41"/>
    <n v="1206"/>
    <n v="930"/>
    <s v="5 L"/>
    <x v="8"/>
  </r>
  <r>
    <n v="363"/>
    <x v="277"/>
    <x v="2"/>
    <n v="228"/>
    <n v="171"/>
    <s v="1 L"/>
    <x v="8"/>
  </r>
  <r>
    <n v="364"/>
    <x v="278"/>
    <x v="34"/>
    <n v="3050"/>
    <n v="2599"/>
    <s v="15 L"/>
    <x v="8"/>
  </r>
  <r>
    <n v="365"/>
    <x v="279"/>
    <x v="42"/>
    <n v="3520"/>
    <n v="2769"/>
    <s v="15 L"/>
    <x v="8"/>
  </r>
  <r>
    <n v="366"/>
    <x v="280"/>
    <x v="43"/>
    <n v="205"/>
    <n v="165"/>
    <s v="1 L"/>
    <x v="8"/>
  </r>
  <r>
    <n v="367"/>
    <x v="281"/>
    <x v="17"/>
    <n v="205"/>
    <n v="180"/>
    <s v="1 L"/>
    <x v="8"/>
  </r>
  <r>
    <n v="368"/>
    <x v="281"/>
    <x v="17"/>
    <n v="1105"/>
    <n v="1045"/>
    <s v="5 L"/>
    <x v="8"/>
  </r>
  <r>
    <n v="369"/>
    <x v="282"/>
    <x v="17"/>
    <n v="190"/>
    <n v="163"/>
    <s v="1 L"/>
    <x v="8"/>
  </r>
  <r>
    <n v="370"/>
    <x v="282"/>
    <x v="17"/>
    <n v="840"/>
    <n v="825"/>
    <s v="5 L"/>
    <x v="8"/>
  </r>
  <r>
    <n v="371"/>
    <x v="281"/>
    <x v="17"/>
    <n v="3125"/>
    <n v="2773"/>
    <s v="15 L"/>
    <x v="8"/>
  </r>
  <r>
    <n v="372"/>
    <x v="283"/>
    <x v="17"/>
    <n v="1200"/>
    <n v="1135"/>
    <s v="5 L"/>
    <x v="8"/>
  </r>
  <r>
    <n v="373"/>
    <x v="282"/>
    <x v="17"/>
    <n v="3025"/>
    <n v="2695"/>
    <s v="15 L"/>
    <x v="8"/>
  </r>
  <r>
    <n v="374"/>
    <x v="284"/>
    <x v="32"/>
    <n v="220"/>
    <n v="202"/>
    <s v="1 L"/>
    <x v="8"/>
  </r>
  <r>
    <n v="375"/>
    <x v="284"/>
    <x v="32"/>
    <n v="1150"/>
    <n v="998"/>
    <s v="5 L"/>
    <x v="8"/>
  </r>
  <r>
    <n v="376"/>
    <x v="285"/>
    <x v="44"/>
    <n v="299"/>
    <n v="199"/>
    <s v="1 L"/>
    <x v="8"/>
  </r>
  <r>
    <n v="377"/>
    <x v="286"/>
    <x v="45"/>
    <n v="195"/>
    <n v="139"/>
    <s v="1 L"/>
    <x v="8"/>
  </r>
  <r>
    <n v="378"/>
    <x v="287"/>
    <x v="32"/>
    <n v="199"/>
    <n v="179"/>
    <s v="1 L"/>
    <x v="8"/>
  </r>
  <r>
    <n v="379"/>
    <x v="287"/>
    <x v="32"/>
    <n v="1100"/>
    <n v="973"/>
    <s v="5 L"/>
    <x v="8"/>
  </r>
  <r>
    <n v="380"/>
    <x v="288"/>
    <x v="2"/>
    <n v="190"/>
    <n v="170"/>
    <s v="1 L"/>
    <x v="8"/>
  </r>
  <r>
    <n v="381"/>
    <x v="287"/>
    <x v="32"/>
    <n v="3200"/>
    <n v="2399"/>
    <s v="15 L"/>
    <x v="8"/>
  </r>
  <r>
    <n v="382"/>
    <x v="289"/>
    <x v="46"/>
    <n v="230"/>
    <n v="172"/>
    <s v="1 L"/>
    <x v="8"/>
  </r>
  <r>
    <n v="383"/>
    <x v="289"/>
    <x v="46"/>
    <n v="1175"/>
    <n v="895"/>
    <s v="5 L"/>
    <x v="8"/>
  </r>
  <r>
    <n v="384"/>
    <x v="290"/>
    <x v="37"/>
    <n v="950"/>
    <n v="875"/>
    <s v="5  L"/>
    <x v="8"/>
  </r>
  <r>
    <n v="385"/>
    <x v="290"/>
    <x v="37"/>
    <n v="185"/>
    <n v="169"/>
    <s v="1 L"/>
    <x v="8"/>
  </r>
  <r>
    <n v="386"/>
    <x v="291"/>
    <x v="47"/>
    <n v="225"/>
    <n v="182"/>
    <s v="1 L"/>
    <x v="8"/>
  </r>
  <r>
    <n v="387"/>
    <x v="291"/>
    <x v="47"/>
    <n v="1165"/>
    <n v="899"/>
    <s v="5 L"/>
    <x v="8"/>
  </r>
  <r>
    <n v="388"/>
    <x v="292"/>
    <x v="34"/>
    <n v="215"/>
    <n v="191"/>
    <s v="1 L"/>
    <x v="8"/>
  </r>
  <r>
    <n v="389"/>
    <x v="292"/>
    <x v="34"/>
    <n v="1100"/>
    <n v="950"/>
    <s v="5 L"/>
    <x v="8"/>
  </r>
  <r>
    <n v="390"/>
    <x v="293"/>
    <x v="37"/>
    <n v="3030"/>
    <n v="2799"/>
    <s v="15 L"/>
    <x v="8"/>
  </r>
  <r>
    <n v="391"/>
    <x v="294"/>
    <x v="48"/>
    <n v="3589"/>
    <n v="2719"/>
    <s v="15 L"/>
    <x v="8"/>
  </r>
  <r>
    <n v="392"/>
    <x v="295"/>
    <x v="49"/>
    <n v="3500"/>
    <n v="2745"/>
    <s v="15 L"/>
    <x v="8"/>
  </r>
  <r>
    <n v="393"/>
    <x v="296"/>
    <x v="37"/>
    <n v="225"/>
    <n v="192"/>
    <s v="1 L"/>
    <x v="8"/>
  </r>
  <r>
    <n v="394"/>
    <x v="296"/>
    <x v="37"/>
    <n v="1150"/>
    <n v="975"/>
    <s v="5 L"/>
    <x v="8"/>
  </r>
  <r>
    <n v="395"/>
    <x v="297"/>
    <x v="50"/>
    <n v="255"/>
    <n v="175"/>
    <s v="1 L"/>
    <x v="8"/>
  </r>
  <r>
    <n v="396"/>
    <x v="297"/>
    <x v="50"/>
    <n v="1255"/>
    <n v="879"/>
    <s v="5 L"/>
    <x v="8"/>
  </r>
  <r>
    <n v="397"/>
    <x v="298"/>
    <x v="2"/>
    <n v="1223"/>
    <n v="935"/>
    <s v="5 L"/>
    <x v="8"/>
  </r>
  <r>
    <n v="398"/>
    <x v="298"/>
    <x v="2"/>
    <n v="230"/>
    <n v="184"/>
    <s v="1 L"/>
    <x v="8"/>
  </r>
  <r>
    <n v="399"/>
    <x v="299"/>
    <x v="50"/>
    <n v="1250"/>
    <n v="1105"/>
    <s v="5 L"/>
    <x v="8"/>
  </r>
  <r>
    <n v="400"/>
    <x v="299"/>
    <x v="51"/>
    <n v="3750"/>
    <n v="2799"/>
    <s v="15 L"/>
    <x v="8"/>
  </r>
  <r>
    <n v="401"/>
    <x v="297"/>
    <x v="51"/>
    <n v="3500"/>
    <n v="2499"/>
    <s v="15 L"/>
    <x v="8"/>
  </r>
  <r>
    <n v="402"/>
    <x v="300"/>
    <x v="52"/>
    <n v="490"/>
    <n v="389"/>
    <s v="1 L"/>
    <x v="8"/>
  </r>
  <r>
    <n v="403"/>
    <x v="301"/>
    <x v="49"/>
    <n v="1325"/>
    <n v="1109"/>
    <s v="5 L"/>
    <x v="8"/>
  </r>
  <r>
    <n v="404"/>
    <x v="302"/>
    <x v="52"/>
    <n v="290"/>
    <n v="229"/>
    <s v="500 ml"/>
    <x v="8"/>
  </r>
  <r>
    <n v="405"/>
    <x v="303"/>
    <x v="53"/>
    <n v="2400"/>
    <n v="1023"/>
    <s v="2 L"/>
    <x v="8"/>
  </r>
  <r>
    <n v="406"/>
    <x v="304"/>
    <x v="54"/>
    <n v="2600"/>
    <n v="1199"/>
    <s v="2 L"/>
    <x v="8"/>
  </r>
  <r>
    <n v="407"/>
    <x v="304"/>
    <x v="54"/>
    <n v="5500"/>
    <n v="2649"/>
    <s v="5 L"/>
    <x v="8"/>
  </r>
  <r>
    <n v="408"/>
    <x v="305"/>
    <x v="55"/>
    <n v="325"/>
    <n v="279"/>
    <s v="200 ml"/>
    <x v="8"/>
  </r>
  <r>
    <n v="409"/>
    <x v="305"/>
    <x v="55"/>
    <n v="599"/>
    <n v="482"/>
    <s v="500 ml"/>
    <x v="8"/>
  </r>
  <r>
    <n v="410"/>
    <x v="305"/>
    <x v="55"/>
    <n v="999"/>
    <n v="765"/>
    <s v="1 L"/>
    <x v="8"/>
  </r>
  <r>
    <n v="411"/>
    <x v="305"/>
    <x v="55"/>
    <n v="4500"/>
    <n v="3225"/>
    <s v="5 L"/>
    <x v="8"/>
  </r>
  <r>
    <n v="412"/>
    <x v="306"/>
    <x v="54"/>
    <n v="400"/>
    <n v="275"/>
    <s v="250 ml"/>
    <x v="8"/>
  </r>
  <r>
    <n v="413"/>
    <x v="306"/>
    <x v="54"/>
    <n v="1400"/>
    <n v="784"/>
    <s v="1 L"/>
    <x v="8"/>
  </r>
  <r>
    <n v="414"/>
    <x v="307"/>
    <x v="56"/>
    <n v="4099"/>
    <n v="1899"/>
    <s v="5 L"/>
    <x v="8"/>
  </r>
  <r>
    <n v="415"/>
    <x v="308"/>
    <x v="57"/>
    <n v="2999"/>
    <n v="1049"/>
    <s v="2 L"/>
    <x v="8"/>
  </r>
  <r>
    <n v="416"/>
    <x v="309"/>
    <x v="55"/>
    <n v="1199"/>
    <n v="765"/>
    <s v="1 L"/>
    <x v="8"/>
  </r>
  <r>
    <n v="417"/>
    <x v="309"/>
    <x v="55"/>
    <n v="649"/>
    <n v="405"/>
    <s v="500 ml"/>
    <x v="8"/>
  </r>
  <r>
    <n v="418"/>
    <x v="310"/>
    <x v="54"/>
    <n v="1350"/>
    <n v="639"/>
    <s v="1 L"/>
    <x v="8"/>
  </r>
  <r>
    <n v="419"/>
    <x v="311"/>
    <x v="56"/>
    <n v="2599"/>
    <n v="1400"/>
    <s v="2 L"/>
    <x v="8"/>
  </r>
  <r>
    <n v="420"/>
    <x v="312"/>
    <x v="58"/>
    <n v="185"/>
    <n v="176"/>
    <s v="1 L"/>
    <x v="8"/>
  </r>
  <r>
    <n v="421"/>
    <x v="313"/>
    <x v="32"/>
    <n v="226"/>
    <n v="185"/>
    <s v="1 L"/>
    <x v="8"/>
  </r>
  <r>
    <n v="422"/>
    <x v="314"/>
    <x v="37"/>
    <n v="195"/>
    <n v="179"/>
    <s v="1 L"/>
    <x v="8"/>
  </r>
  <r>
    <n v="423"/>
    <x v="314"/>
    <x v="37"/>
    <n v="1000"/>
    <n v="919"/>
    <s v="5 L"/>
    <x v="8"/>
  </r>
  <r>
    <n v="424"/>
    <x v="315"/>
    <x v="58"/>
    <n v="180"/>
    <n v="167"/>
    <s v="1 L"/>
    <x v="8"/>
  </r>
  <r>
    <n v="425"/>
    <x v="316"/>
    <x v="32"/>
    <n v="210"/>
    <n v="185"/>
    <s v="1 L"/>
    <x v="8"/>
  </r>
  <r>
    <n v="426"/>
    <x v="316"/>
    <x v="32"/>
    <n v="1154"/>
    <n v="999"/>
    <s v="5 L"/>
    <x v="8"/>
  </r>
  <r>
    <n v="427"/>
    <x v="317"/>
    <x v="59"/>
    <n v="225"/>
    <n v="202"/>
    <s v="1 L"/>
    <x v="8"/>
  </r>
  <r>
    <n v="428"/>
    <x v="318"/>
    <x v="50"/>
    <n v="1170"/>
    <n v="985"/>
    <s v="5 L"/>
    <x v="8"/>
  </r>
  <r>
    <n v="429"/>
    <x v="319"/>
    <x v="50"/>
    <n v="235"/>
    <n v="195"/>
    <s v="1 L"/>
    <x v="8"/>
  </r>
  <r>
    <n v="430"/>
    <x v="320"/>
    <x v="59"/>
    <n v="221"/>
    <n v="199"/>
    <s v="1 L"/>
    <x v="8"/>
  </r>
  <r>
    <n v="431"/>
    <x v="320"/>
    <x v="59"/>
    <n v="1120"/>
    <n v="999"/>
    <s v="5 L"/>
    <x v="8"/>
  </r>
  <r>
    <n v="432"/>
    <x v="321"/>
    <x v="34"/>
    <n v="175"/>
    <n v="146"/>
    <s v="1 L"/>
    <x v="8"/>
  </r>
  <r>
    <n v="433"/>
    <x v="322"/>
    <x v="36"/>
    <n v="199"/>
    <n v="166"/>
    <s v="1 L"/>
    <x v="8"/>
  </r>
  <r>
    <n v="434"/>
    <x v="323"/>
    <x v="60"/>
    <n v="368"/>
    <n v="320"/>
    <s v="1 L"/>
    <x v="8"/>
  </r>
  <r>
    <n v="435"/>
    <x v="324"/>
    <x v="61"/>
    <n v="330"/>
    <n v="228"/>
    <s v="1 L"/>
    <x v="8"/>
  </r>
  <r>
    <n v="436"/>
    <x v="325"/>
    <x v="50"/>
    <n v="184"/>
    <n v="152"/>
    <s v="500 ml"/>
    <x v="8"/>
  </r>
  <r>
    <n v="437"/>
    <x v="325"/>
    <x v="50"/>
    <n v="360"/>
    <n v="299"/>
    <s v="1 L"/>
    <x v="8"/>
  </r>
  <r>
    <n v="438"/>
    <x v="326"/>
    <x v="62"/>
    <n v="365"/>
    <n v="315"/>
    <s v="1 L"/>
    <x v="8"/>
  </r>
  <r>
    <n v="439"/>
    <x v="326"/>
    <x v="62"/>
    <n v="194"/>
    <n v="167"/>
    <s v="500 ml"/>
    <x v="8"/>
  </r>
  <r>
    <n v="440"/>
    <x v="327"/>
    <x v="32"/>
    <n v="855"/>
    <n v="795"/>
    <s v="5 L"/>
    <x v="8"/>
  </r>
  <r>
    <n v="441"/>
    <x v="327"/>
    <x v="32"/>
    <n v="175"/>
    <n v="153"/>
    <s v="1 L"/>
    <x v="8"/>
  </r>
  <r>
    <n v="442"/>
    <x v="328"/>
    <x v="63"/>
    <n v="255"/>
    <n v="229"/>
    <s v="1 L"/>
    <x v="9"/>
  </r>
  <r>
    <n v="443"/>
    <x v="329"/>
    <x v="60"/>
    <n v="386"/>
    <n v="329"/>
    <s v="1 L"/>
    <x v="8"/>
  </r>
  <r>
    <n v="444"/>
    <x v="330"/>
    <x v="32"/>
    <n v="230"/>
    <n v="186"/>
    <s v="1 L"/>
    <x v="8"/>
  </r>
  <r>
    <n v="445"/>
    <x v="330"/>
    <x v="32"/>
    <n v="1200"/>
    <n v="960"/>
    <s v="5 L"/>
    <x v="8"/>
  </r>
  <r>
    <n v="446"/>
    <x v="331"/>
    <x v="52"/>
    <n v="360"/>
    <n v="290"/>
    <s v="500 ml"/>
    <x v="8"/>
  </r>
  <r>
    <n v="447"/>
    <x v="332"/>
    <x v="32"/>
    <n v="159"/>
    <n v="129"/>
    <s v="1 L"/>
    <x v="8"/>
  </r>
  <r>
    <n v="448"/>
    <x v="333"/>
    <x v="64"/>
    <n v="265"/>
    <n v="255"/>
    <s v="500 ml"/>
    <x v="5"/>
  </r>
  <r>
    <n v="449"/>
    <x v="333"/>
    <x v="64"/>
    <n v="545"/>
    <n v="509"/>
    <s v="1 L"/>
    <x v="5"/>
  </r>
  <r>
    <n v="450"/>
    <x v="334"/>
    <x v="65"/>
    <n v="1258"/>
    <n v="1169"/>
    <s v="2x1L"/>
    <x v="5"/>
  </r>
  <r>
    <n v="451"/>
    <x v="334"/>
    <x v="65"/>
    <n v="629"/>
    <n v="584"/>
    <s v="1 L"/>
    <x v="5"/>
  </r>
  <r>
    <n v="452"/>
    <x v="335"/>
    <x v="64"/>
    <n v="540"/>
    <n v="523"/>
    <s v="1 L"/>
    <x v="5"/>
  </r>
  <r>
    <n v="453"/>
    <x v="336"/>
    <x v="66"/>
    <n v="599"/>
    <n v="425"/>
    <s v="1 L"/>
    <x v="5"/>
  </r>
  <r>
    <n v="454"/>
    <x v="337"/>
    <x v="67"/>
    <n v="550"/>
    <n v="499"/>
    <s v="1 L"/>
    <x v="5"/>
  </r>
  <r>
    <n v="455"/>
    <x v="338"/>
    <x v="68"/>
    <n v="545"/>
    <n v="506"/>
    <s v="1 L"/>
    <x v="5"/>
  </r>
  <r>
    <n v="456"/>
    <x v="339"/>
    <x v="69"/>
    <n v="610"/>
    <n v="479"/>
    <s v="1 L"/>
    <x v="5"/>
  </r>
  <r>
    <n v="457"/>
    <x v="340"/>
    <x v="70"/>
    <n v="300"/>
    <n v="279"/>
    <s v="500 ml"/>
    <x v="5"/>
  </r>
  <r>
    <n v="458"/>
    <x v="340"/>
    <x v="70"/>
    <n v="570"/>
    <n v="525"/>
    <s v="1 L"/>
    <x v="5"/>
  </r>
  <r>
    <n v="459"/>
    <x v="341"/>
    <x v="65"/>
    <n v="160"/>
    <n v="145"/>
    <s v="200 ml"/>
    <x v="5"/>
  </r>
  <r>
    <n v="460"/>
    <x v="341"/>
    <x v="65"/>
    <n v="335"/>
    <n v="302"/>
    <s v="500 ml"/>
    <x v="5"/>
  </r>
  <r>
    <n v="461"/>
    <x v="341"/>
    <x v="65"/>
    <n v="649"/>
    <n v="604"/>
    <s v="1 L"/>
    <x v="5"/>
  </r>
  <r>
    <n v="462"/>
    <x v="342"/>
    <x v="71"/>
    <n v="599"/>
    <n v="525"/>
    <s v="1 L"/>
    <x v="5"/>
  </r>
  <r>
    <n v="463"/>
    <x v="343"/>
    <x v="72"/>
    <n v="600"/>
    <n v="499"/>
    <s v="1 L"/>
    <x v="5"/>
  </r>
  <r>
    <n v="464"/>
    <x v="344"/>
    <x v="64"/>
    <n v="560"/>
    <n v="519"/>
    <s v="1 L"/>
    <x v="5"/>
  </r>
  <r>
    <n v="465"/>
    <x v="344"/>
    <x v="64"/>
    <n v="2750"/>
    <n v="2549"/>
    <s v="5 L"/>
    <x v="5"/>
  </r>
  <r>
    <n v="466"/>
    <x v="345"/>
    <x v="66"/>
    <n v="599"/>
    <n v="410"/>
    <s v="1 L"/>
    <x v="5"/>
  </r>
  <r>
    <n v="467"/>
    <x v="346"/>
    <x v="70"/>
    <n v="300"/>
    <n v="279"/>
    <s v="500 ml"/>
    <x v="5"/>
  </r>
  <r>
    <n v="468"/>
    <x v="346"/>
    <x v="70"/>
    <n v="570"/>
    <n v="525"/>
    <s v="1 L"/>
    <x v="5"/>
  </r>
  <r>
    <n v="469"/>
    <x v="347"/>
    <x v="68"/>
    <n v="560"/>
    <n v="519"/>
    <s v="1 L"/>
    <x v="5"/>
  </r>
  <r>
    <n v="470"/>
    <x v="348"/>
    <x v="73"/>
    <n v="650"/>
    <n v="499"/>
    <s v="1 L"/>
    <x v="5"/>
  </r>
  <r>
    <n v="471"/>
    <x v="349"/>
    <x v="74"/>
    <n v="575"/>
    <n v="475"/>
    <s v="500 ml"/>
    <x v="5"/>
  </r>
  <r>
    <n v="472"/>
    <x v="350"/>
    <x v="71"/>
    <n v="615"/>
    <n v="525"/>
    <s v="1 L"/>
    <x v="5"/>
  </r>
  <r>
    <n v="473"/>
    <x v="350"/>
    <x v="71"/>
    <n v="310"/>
    <n v="265"/>
    <s v="500 ml"/>
    <x v="5"/>
  </r>
  <r>
    <n v="474"/>
    <x v="350"/>
    <x v="71"/>
    <n v="139"/>
    <n v="119"/>
    <s v="200 ml"/>
    <x v="5"/>
  </r>
  <r>
    <n v="475"/>
    <x v="351"/>
    <x v="66"/>
    <n v="615"/>
    <n v="479"/>
    <s v="1 L"/>
    <x v="5"/>
  </r>
  <r>
    <n v="476"/>
    <x v="352"/>
    <x v="71"/>
    <n v="3000"/>
    <n v="2599"/>
    <s v="5 L"/>
    <x v="5"/>
  </r>
  <r>
    <n v="477"/>
    <x v="353"/>
    <x v="75"/>
    <n v="375"/>
    <n v="255"/>
    <s v="225 ml"/>
    <x v="10"/>
  </r>
  <r>
    <n v="478"/>
    <x v="354"/>
    <x v="74"/>
    <n v="575"/>
    <n v="470"/>
    <s v="500 ml"/>
    <x v="5"/>
  </r>
  <r>
    <n v="479"/>
    <x v="355"/>
    <x v="76"/>
    <n v="650"/>
    <n v="585"/>
    <s v="500 ml"/>
    <x v="5"/>
  </r>
  <r>
    <n v="480"/>
    <x v="356"/>
    <x v="39"/>
    <n v="106"/>
    <n v="87"/>
    <s v="500 ml"/>
    <x v="5"/>
  </r>
  <r>
    <n v="481"/>
    <x v="356"/>
    <x v="39"/>
    <n v="203"/>
    <n v="175"/>
    <s v="1 L"/>
    <x v="5"/>
  </r>
  <r>
    <n v="482"/>
    <x v="357"/>
    <x v="73"/>
    <n v="273"/>
    <n v="235"/>
    <s v="5 kg"/>
    <x v="7"/>
  </r>
  <r>
    <n v="483"/>
    <x v="357"/>
    <x v="73"/>
    <n v="512"/>
    <n v="430"/>
    <s v="10 kg"/>
    <x v="7"/>
  </r>
  <r>
    <n v="484"/>
    <x v="358"/>
    <x v="73"/>
    <n v="321"/>
    <n v="255"/>
    <s v="5 kg"/>
    <x v="7"/>
  </r>
  <r>
    <n v="485"/>
    <x v="359"/>
    <x v="73"/>
    <n v="337"/>
    <n v="272"/>
    <s v="5 kg"/>
    <x v="7"/>
  </r>
  <r>
    <n v="486"/>
    <x v="360"/>
    <x v="77"/>
    <n v="265"/>
    <n v="210"/>
    <s v="5 kg"/>
    <x v="7"/>
  </r>
  <r>
    <n v="487"/>
    <x v="360"/>
    <x v="77"/>
    <n v="496"/>
    <n v="385"/>
    <s v="10 kg"/>
    <x v="7"/>
  </r>
  <r>
    <n v="488"/>
    <x v="361"/>
    <x v="32"/>
    <n v="425"/>
    <n v="335"/>
    <s v="10 kg"/>
    <x v="7"/>
  </r>
  <r>
    <n v="489"/>
    <x v="362"/>
    <x v="38"/>
    <n v="245"/>
    <n v="185"/>
    <s v="5 kg"/>
    <x v="7"/>
  </r>
  <r>
    <n v="490"/>
    <x v="362"/>
    <x v="38"/>
    <n v="450"/>
    <n v="355"/>
    <s v="10 kg"/>
    <x v="7"/>
  </r>
  <r>
    <n v="491"/>
    <x v="363"/>
    <x v="78"/>
    <n v="86"/>
    <n v="79"/>
    <s v="1 kg"/>
    <x v="7"/>
  </r>
  <r>
    <n v="492"/>
    <x v="363"/>
    <x v="78"/>
    <n v="425"/>
    <n v="390"/>
    <s v="5 kg"/>
    <x v="7"/>
  </r>
  <r>
    <n v="493"/>
    <x v="364"/>
    <x v="2"/>
    <n v="225"/>
    <n v="163"/>
    <s v="5 kg"/>
    <x v="7"/>
  </r>
  <r>
    <n v="494"/>
    <x v="365"/>
    <x v="77"/>
    <n v="330"/>
    <n v="255"/>
    <s v="5 kg"/>
    <x v="7"/>
  </r>
  <r>
    <n v="495"/>
    <x v="366"/>
    <x v="12"/>
    <n v="350"/>
    <n v="305"/>
    <s v="5 kg"/>
    <x v="7"/>
  </r>
  <r>
    <n v="496"/>
    <x v="366"/>
    <x v="12"/>
    <n v="72"/>
    <n v="59"/>
    <s v="1 kg"/>
    <x v="7"/>
  </r>
  <r>
    <n v="497"/>
    <x v="367"/>
    <x v="2"/>
    <n v="55"/>
    <n v="45"/>
    <s v="1 kg"/>
    <x v="7"/>
  </r>
  <r>
    <n v="498"/>
    <x v="368"/>
    <x v="13"/>
    <n v="320"/>
    <n v="199"/>
    <s v="5 kg"/>
    <x v="7"/>
  </r>
  <r>
    <n v="499"/>
    <x v="369"/>
    <x v="12"/>
    <n v="65"/>
    <n v="52"/>
    <s v="500 gm"/>
    <x v="7"/>
  </r>
  <r>
    <n v="500"/>
    <x v="370"/>
    <x v="12"/>
    <n v="70"/>
    <n v="60"/>
    <s v="500 gm"/>
    <x v="7"/>
  </r>
  <r>
    <n v="501"/>
    <x v="371"/>
    <x v="78"/>
    <n v="155"/>
    <n v="144"/>
    <s v="1 kg"/>
    <x v="7"/>
  </r>
  <r>
    <n v="502"/>
    <x v="372"/>
    <x v="2"/>
    <n v="300"/>
    <n v="195"/>
    <s v="5 kg"/>
    <x v="7"/>
  </r>
  <r>
    <n v="503"/>
    <x v="372"/>
    <x v="2"/>
    <n v="570"/>
    <n v="370"/>
    <s v="10 kg"/>
    <x v="7"/>
  </r>
  <r>
    <n v="504"/>
    <x v="373"/>
    <x v="2"/>
    <n v="35"/>
    <n v="30"/>
    <s v="200 gm"/>
    <x v="7"/>
  </r>
  <r>
    <n v="505"/>
    <x v="374"/>
    <x v="2"/>
    <n v="44"/>
    <n v="40"/>
    <s v="1 kg"/>
    <x v="7"/>
  </r>
  <r>
    <n v="506"/>
    <x v="375"/>
    <x v="4"/>
    <n v="57"/>
    <n v="49"/>
    <s v="500 gm"/>
    <x v="7"/>
  </r>
  <r>
    <n v="507"/>
    <x v="376"/>
    <x v="2"/>
    <n v="47"/>
    <n v="41"/>
    <s v="1 kg"/>
    <x v="7"/>
  </r>
  <r>
    <n v="508"/>
    <x v="377"/>
    <x v="76"/>
    <n v="295"/>
    <n v="265"/>
    <s v="500 gm"/>
    <x v="7"/>
  </r>
  <r>
    <n v="509"/>
    <x v="378"/>
    <x v="4"/>
    <n v="37"/>
    <n v="34"/>
    <s v="500 gm"/>
    <x v="7"/>
  </r>
  <r>
    <n v="510"/>
    <x v="379"/>
    <x v="4"/>
    <n v="15"/>
    <n v="13"/>
    <s v="100 gm"/>
    <x v="7"/>
  </r>
  <r>
    <n v="511"/>
    <x v="380"/>
    <x v="79"/>
    <n v="225"/>
    <n v="112"/>
    <s v="500 gm"/>
    <x v="7"/>
  </r>
  <r>
    <n v="512"/>
    <x v="381"/>
    <x v="2"/>
    <n v="26"/>
    <n v="21"/>
    <s v="500 gm"/>
    <x v="7"/>
  </r>
  <r>
    <n v="513"/>
    <x v="381"/>
    <x v="2"/>
    <n v="50"/>
    <n v="42"/>
    <s v="1 kg"/>
    <x v="7"/>
  </r>
  <r>
    <n v="514"/>
    <x v="382"/>
    <x v="2"/>
    <n v="47"/>
    <n v="40"/>
    <s v="500 gm"/>
    <x v="7"/>
  </r>
  <r>
    <n v="515"/>
    <x v="382"/>
    <x v="2"/>
    <n v="91"/>
    <n v="78"/>
    <s v="1 kg"/>
    <x v="7"/>
  </r>
  <r>
    <n v="516"/>
    <x v="383"/>
    <x v="32"/>
    <n v="140"/>
    <n v="70"/>
    <s v="1 kg"/>
    <x v="7"/>
  </r>
  <r>
    <n v="517"/>
    <x v="384"/>
    <x v="4"/>
    <n v="37"/>
    <n v="34"/>
    <s v="500 gm"/>
    <x v="7"/>
  </r>
  <r>
    <n v="518"/>
    <x v="385"/>
    <x v="2"/>
    <n v="28"/>
    <n v="24"/>
    <s v="500 gm"/>
    <x v="7"/>
  </r>
  <r>
    <n v="519"/>
    <x v="386"/>
    <x v="2"/>
    <n v="27"/>
    <n v="24"/>
    <s v="500 gm"/>
    <x v="7"/>
  </r>
  <r>
    <n v="520"/>
    <x v="387"/>
    <x v="7"/>
    <n v="125"/>
    <n v="99"/>
    <s v="1 kg"/>
    <x v="7"/>
  </r>
  <r>
    <n v="521"/>
    <x v="367"/>
    <x v="2"/>
    <n v="27"/>
    <n v="23"/>
    <s v="500 gm"/>
    <x v="7"/>
  </r>
  <r>
    <n v="522"/>
    <x v="388"/>
    <x v="2"/>
    <n v="32"/>
    <n v="28"/>
    <s v="500 gm"/>
    <x v="7"/>
  </r>
  <r>
    <n v="523"/>
    <x v="389"/>
    <x v="80"/>
    <n v="44"/>
    <n v="34"/>
    <s v="500 gm"/>
    <x v="7"/>
  </r>
  <r>
    <n v="524"/>
    <x v="390"/>
    <x v="4"/>
    <n v="63"/>
    <n v="58"/>
    <s v="500 gm"/>
    <x v="7"/>
  </r>
  <r>
    <n v="525"/>
    <x v="391"/>
    <x v="81"/>
    <n v="45"/>
    <n v="38"/>
    <s v="200 gm"/>
    <x v="7"/>
  </r>
  <r>
    <n v="526"/>
    <x v="391"/>
    <x v="81"/>
    <n v="80"/>
    <n v="74"/>
    <s v="500 gm"/>
    <x v="7"/>
  </r>
  <r>
    <n v="527"/>
    <x v="392"/>
    <x v="4"/>
    <n v="35"/>
    <n v="30"/>
    <s v="500 gm"/>
    <x v="7"/>
  </r>
  <r>
    <n v="528"/>
    <x v="393"/>
    <x v="2"/>
    <n v="33"/>
    <n v="27"/>
    <s v="500 gm"/>
    <x v="7"/>
  </r>
  <r>
    <n v="529"/>
    <x v="394"/>
    <x v="80"/>
    <n v="45"/>
    <n v="35"/>
    <s v="200 gm"/>
    <x v="7"/>
  </r>
  <r>
    <n v="530"/>
    <x v="395"/>
    <x v="4"/>
    <n v="96"/>
    <n v="89"/>
    <s v="500 gm"/>
    <x v="7"/>
  </r>
  <r>
    <n v="531"/>
    <x v="396"/>
    <x v="80"/>
    <n v="44"/>
    <n v="37"/>
    <s v="500 gm"/>
    <x v="7"/>
  </r>
  <r>
    <n v="532"/>
    <x v="397"/>
    <x v="80"/>
    <n v="33"/>
    <n v="28"/>
    <s v="500 gm"/>
    <x v="7"/>
  </r>
  <r>
    <n v="533"/>
    <x v="398"/>
    <x v="80"/>
    <n v="40"/>
    <n v="28"/>
    <s v="500 gm"/>
    <x v="7"/>
  </r>
  <r>
    <n v="534"/>
    <x v="399"/>
    <x v="80"/>
    <n v="55"/>
    <n v="39"/>
    <s v="200 gm"/>
    <x v="7"/>
  </r>
  <r>
    <n v="535"/>
    <x v="400"/>
    <x v="13"/>
    <n v="55"/>
    <n v="38"/>
    <s v="500 gm"/>
    <x v="7"/>
  </r>
  <r>
    <n v="536"/>
    <x v="401"/>
    <x v="80"/>
    <n v="40"/>
    <n v="34"/>
    <s v="200 gm"/>
    <x v="7"/>
  </r>
  <r>
    <n v="537"/>
    <x v="402"/>
    <x v="80"/>
    <n v="120"/>
    <n v="85"/>
    <s v="200 gm"/>
    <x v="7"/>
  </r>
  <r>
    <n v="538"/>
    <x v="403"/>
    <x v="80"/>
    <n v="55"/>
    <n v="39"/>
    <s v="200 gm"/>
    <x v="7"/>
  </r>
  <r>
    <n v="539"/>
    <x v="404"/>
    <x v="2"/>
    <n v="34"/>
    <n v="28"/>
    <s v="500 gm"/>
    <x v="7"/>
  </r>
  <r>
    <n v="540"/>
    <x v="405"/>
    <x v="82"/>
    <n v="30"/>
    <n v="25"/>
    <s v="100 gm"/>
    <x v="7"/>
  </r>
  <r>
    <n v="541"/>
    <x v="406"/>
    <x v="11"/>
    <n v="50"/>
    <n v="35"/>
    <s v="200 gm"/>
    <x v="7"/>
  </r>
  <r>
    <n v="542"/>
    <x v="407"/>
    <x v="80"/>
    <n v="36"/>
    <n v="28"/>
    <s v="500 gm"/>
    <x v="7"/>
  </r>
  <r>
    <n v="543"/>
    <x v="408"/>
    <x v="4"/>
    <n v="33"/>
    <n v="30"/>
    <s v="500 gm"/>
    <x v="7"/>
  </r>
  <r>
    <n v="544"/>
    <x v="409"/>
    <x v="80"/>
    <n v="48"/>
    <n v="33"/>
    <s v="500 gm"/>
    <x v="7"/>
  </r>
  <r>
    <n v="545"/>
    <x v="410"/>
    <x v="83"/>
    <n v="28"/>
    <n v="25"/>
    <s v="100 gm"/>
    <x v="7"/>
  </r>
  <r>
    <n v="546"/>
    <x v="411"/>
    <x v="11"/>
    <n v="60"/>
    <n v="40"/>
    <s v="200 gm"/>
    <x v="7"/>
  </r>
  <r>
    <n v="547"/>
    <x v="412"/>
    <x v="84"/>
    <n v="50"/>
    <n v="45"/>
    <s v="200 gm"/>
    <x v="7"/>
  </r>
  <r>
    <n v="548"/>
    <x v="413"/>
    <x v="80"/>
    <n v="60"/>
    <n v="40"/>
    <s v="500 gm"/>
    <x v="7"/>
  </r>
  <r>
    <n v="549"/>
    <x v="414"/>
    <x v="84"/>
    <n v="65"/>
    <n v="52"/>
    <s v="200 gm"/>
    <x v="7"/>
  </r>
  <r>
    <n v="550"/>
    <x v="415"/>
    <x v="2"/>
    <n v="63"/>
    <n v="39"/>
    <s v="500 gm"/>
    <x v="7"/>
  </r>
  <r>
    <n v="551"/>
    <x v="416"/>
    <x v="85"/>
    <n v="118"/>
    <n v="87"/>
    <s v="1 kg"/>
    <x v="6"/>
  </r>
  <r>
    <n v="552"/>
    <x v="416"/>
    <x v="85"/>
    <n v="585"/>
    <n v="399"/>
    <s v="5 kg"/>
    <x v="6"/>
  </r>
  <r>
    <n v="553"/>
    <x v="417"/>
    <x v="86"/>
    <n v="500"/>
    <n v="269"/>
    <s v="5 kg"/>
    <x v="6"/>
  </r>
  <r>
    <n v="554"/>
    <x v="418"/>
    <x v="86"/>
    <n v="125"/>
    <n v="93"/>
    <s v="1 kg"/>
    <x v="6"/>
  </r>
  <r>
    <n v="555"/>
    <x v="418"/>
    <x v="86"/>
    <n v="620"/>
    <n v="455"/>
    <s v="5 kg"/>
    <x v="6"/>
  </r>
  <r>
    <n v="556"/>
    <x v="419"/>
    <x v="86"/>
    <n v="486"/>
    <n v="349"/>
    <s v="5 kg"/>
    <x v="6"/>
  </r>
  <r>
    <n v="557"/>
    <x v="420"/>
    <x v="85"/>
    <n v="660"/>
    <n v="539"/>
    <s v="10 kg"/>
    <x v="6"/>
  </r>
  <r>
    <n v="558"/>
    <x v="421"/>
    <x v="85"/>
    <n v="210"/>
    <n v="179"/>
    <s v="1 kg"/>
    <x v="6"/>
  </r>
  <r>
    <n v="559"/>
    <x v="421"/>
    <x v="85"/>
    <n v="960"/>
    <n v="565"/>
    <s v="5 kg"/>
    <x v="6"/>
  </r>
  <r>
    <n v="560"/>
    <x v="422"/>
    <x v="2"/>
    <n v="375"/>
    <n v="289"/>
    <s v="5 kg"/>
    <x v="11"/>
  </r>
  <r>
    <n v="561"/>
    <x v="422"/>
    <x v="2"/>
    <n v="750"/>
    <n v="549"/>
    <s v="10 kg"/>
    <x v="11"/>
  </r>
  <r>
    <n v="562"/>
    <x v="423"/>
    <x v="32"/>
    <n v="425"/>
    <n v="325"/>
    <s v="5 kg"/>
    <x v="6"/>
  </r>
  <r>
    <n v="563"/>
    <x v="424"/>
    <x v="86"/>
    <n v="190"/>
    <n v="120"/>
    <s v="1 kg"/>
    <x v="6"/>
  </r>
  <r>
    <n v="564"/>
    <x v="424"/>
    <x v="86"/>
    <n v="945"/>
    <n v="599"/>
    <s v="5 kg"/>
    <x v="6"/>
  </r>
  <r>
    <n v="565"/>
    <x v="425"/>
    <x v="85"/>
    <n v="450"/>
    <n v="359"/>
    <s v="10 kg"/>
    <x v="6"/>
  </r>
  <r>
    <n v="566"/>
    <x v="426"/>
    <x v="86"/>
    <n v="560"/>
    <n v="399"/>
    <s v="5 kg"/>
    <x v="6"/>
  </r>
  <r>
    <n v="567"/>
    <x v="427"/>
    <x v="2"/>
    <n v="500"/>
    <n v="398"/>
    <s v="5 kg"/>
    <x v="11"/>
  </r>
  <r>
    <n v="568"/>
    <x v="428"/>
    <x v="85"/>
    <n v="425"/>
    <n v="359"/>
    <s v="5 kg"/>
    <x v="6"/>
  </r>
  <r>
    <n v="569"/>
    <x v="428"/>
    <x v="85"/>
    <n v="830"/>
    <n v="699"/>
    <s v="10 kg"/>
    <x v="6"/>
  </r>
  <r>
    <n v="570"/>
    <x v="429"/>
    <x v="2"/>
    <n v="650"/>
    <n v="440"/>
    <s v="10 kg"/>
    <x v="11"/>
  </r>
  <r>
    <n v="571"/>
    <x v="430"/>
    <x v="85"/>
    <n v="218"/>
    <n v="175"/>
    <s v="1 kg"/>
    <x v="6"/>
  </r>
  <r>
    <n v="572"/>
    <x v="430"/>
    <x v="85"/>
    <n v="1085"/>
    <n v="830"/>
    <s v="5 kg"/>
    <x v="6"/>
  </r>
  <r>
    <n v="573"/>
    <x v="431"/>
    <x v="86"/>
    <n v="220"/>
    <n v="179"/>
    <s v="1 kg"/>
    <x v="6"/>
  </r>
  <r>
    <n v="574"/>
    <x v="431"/>
    <x v="86"/>
    <n v="1097"/>
    <n v="870"/>
    <s v="5 kg"/>
    <x v="6"/>
  </r>
  <r>
    <n v="575"/>
    <x v="432"/>
    <x v="2"/>
    <n v="500"/>
    <n v="385"/>
    <s v="10 kg"/>
    <x v="6"/>
  </r>
  <r>
    <n v="576"/>
    <x v="433"/>
    <x v="2"/>
    <n v="140"/>
    <n v="115"/>
    <s v="1 kg"/>
    <x v="11"/>
  </r>
  <r>
    <n v="577"/>
    <x v="434"/>
    <x v="32"/>
    <n v="875"/>
    <n v="625"/>
    <s v="5 kg"/>
    <x v="6"/>
  </r>
  <r>
    <n v="578"/>
    <x v="435"/>
    <x v="85"/>
    <n v="149"/>
    <n v="118"/>
    <s v="1 kg"/>
    <x v="6"/>
  </r>
  <r>
    <n v="579"/>
    <x v="435"/>
    <x v="85"/>
    <n v="725"/>
    <n v="549"/>
    <s v="5 kg"/>
    <x v="6"/>
  </r>
  <r>
    <n v="580"/>
    <x v="436"/>
    <x v="86"/>
    <n v="675"/>
    <n v="559"/>
    <s v="5 kg"/>
    <x v="6"/>
  </r>
  <r>
    <n v="581"/>
    <x v="436"/>
    <x v="86"/>
    <n v="135"/>
    <n v="111"/>
    <s v="1 kg"/>
    <x v="6"/>
  </r>
  <r>
    <n v="582"/>
    <x v="436"/>
    <x v="86"/>
    <n v="75"/>
    <n v="47"/>
    <s v="500 gm"/>
    <x v="6"/>
  </r>
  <r>
    <n v="583"/>
    <x v="437"/>
    <x v="86"/>
    <n v="325"/>
    <n v="279"/>
    <s v="5 kg"/>
    <x v="6"/>
  </r>
  <r>
    <n v="584"/>
    <x v="437"/>
    <x v="86"/>
    <n v="615"/>
    <n v="545"/>
    <s v="10 kg"/>
    <x v="6"/>
  </r>
  <r>
    <n v="585"/>
    <x v="438"/>
    <x v="2"/>
    <n v="450"/>
    <n v="314"/>
    <s v="5 kg"/>
    <x v="6"/>
  </r>
  <r>
    <n v="586"/>
    <x v="439"/>
    <x v="87"/>
    <n v="700"/>
    <n v="505"/>
    <s v="5 kg"/>
    <x v="11"/>
  </r>
  <r>
    <n v="587"/>
    <x v="440"/>
    <x v="88"/>
    <n v="1070"/>
    <n v="535"/>
    <s v="5 kg"/>
    <x v="6"/>
  </r>
  <r>
    <n v="588"/>
    <x v="441"/>
    <x v="86"/>
    <n v="175"/>
    <n v="145"/>
    <s v="1 kg"/>
    <x v="6"/>
  </r>
  <r>
    <n v="589"/>
    <x v="442"/>
    <x v="2"/>
    <n v="650"/>
    <n v="452"/>
    <s v="5 kg"/>
    <x v="11"/>
  </r>
  <r>
    <n v="590"/>
    <x v="443"/>
    <x v="85"/>
    <n v="138"/>
    <n v="109"/>
    <s v="1 kg"/>
    <x v="6"/>
  </r>
  <r>
    <n v="591"/>
    <x v="443"/>
    <x v="85"/>
    <n v="685"/>
    <n v="629"/>
    <s v="5 kg"/>
    <x v="6"/>
  </r>
  <r>
    <n v="592"/>
    <x v="444"/>
    <x v="86"/>
    <n v="210"/>
    <n v="175"/>
    <s v="1 kg"/>
    <x v="6"/>
  </r>
  <r>
    <n v="593"/>
    <x v="445"/>
    <x v="86"/>
    <n v="400"/>
    <n v="359"/>
    <s v="5 kg"/>
    <x v="6"/>
  </r>
  <r>
    <n v="594"/>
    <x v="445"/>
    <x v="86"/>
    <n v="790"/>
    <n v="665"/>
    <s v="10 kg"/>
    <x v="6"/>
  </r>
  <r>
    <n v="595"/>
    <x v="446"/>
    <x v="85"/>
    <n v="560"/>
    <n v="415"/>
    <s v="5 kg"/>
    <x v="6"/>
  </r>
  <r>
    <n v="596"/>
    <x v="447"/>
    <x v="2"/>
    <n v="800"/>
    <n v="526"/>
    <s v="5 kg"/>
    <x v="11"/>
  </r>
  <r>
    <n v="597"/>
    <x v="440"/>
    <x v="88"/>
    <n v="215"/>
    <n v="107"/>
    <s v="1 kg"/>
    <x v="6"/>
  </r>
  <r>
    <n v="598"/>
    <x v="448"/>
    <x v="2"/>
    <n v="72"/>
    <n v="61"/>
    <s v="1 kg"/>
    <x v="11"/>
  </r>
  <r>
    <n v="599"/>
    <x v="449"/>
    <x v="89"/>
    <n v="1080"/>
    <n v="859"/>
    <s v="5 kg"/>
    <x v="6"/>
  </r>
  <r>
    <n v="600"/>
    <x v="449"/>
    <x v="89"/>
    <n v="220"/>
    <n v="173"/>
    <s v="1 kg"/>
    <x v="6"/>
  </r>
  <r>
    <n v="601"/>
    <x v="450"/>
    <x v="89"/>
    <n v="234"/>
    <n v="199"/>
    <s v="1 kg"/>
    <x v="6"/>
  </r>
  <r>
    <n v="602"/>
    <x v="451"/>
    <x v="89"/>
    <n v="135"/>
    <n v="110"/>
    <s v="1 kg"/>
    <x v="6"/>
  </r>
  <r>
    <n v="603"/>
    <x v="452"/>
    <x v="89"/>
    <n v="115"/>
    <n v="99"/>
    <s v="1 kg"/>
    <x v="6"/>
  </r>
  <r>
    <n v="604"/>
    <x v="453"/>
    <x v="89"/>
    <n v="180"/>
    <n v="162"/>
    <s v="1 kg"/>
    <x v="6"/>
  </r>
  <r>
    <n v="605"/>
    <x v="454"/>
    <x v="89"/>
    <n v="195"/>
    <n v="160"/>
    <s v="1 kg"/>
    <x v="6"/>
  </r>
  <r>
    <n v="606"/>
    <x v="455"/>
    <x v="2"/>
    <n v="850"/>
    <n v="615"/>
    <s v="10 kg"/>
    <x v="11"/>
  </r>
  <r>
    <n v="607"/>
    <x v="455"/>
    <x v="2"/>
    <n v="78"/>
    <n v="67"/>
    <s v="1 kg"/>
    <x v="11"/>
  </r>
  <r>
    <n v="608"/>
    <x v="455"/>
    <x v="2"/>
    <n v="500"/>
    <n v="325"/>
    <s v=" 5 kg"/>
    <x v="11"/>
  </r>
  <r>
    <n v="609"/>
    <x v="456"/>
    <x v="2"/>
    <n v="460"/>
    <n v="279"/>
    <s v=" 5 kg"/>
    <x v="11"/>
  </r>
  <r>
    <n v="610"/>
    <x v="456"/>
    <x v="2"/>
    <n v="69"/>
    <n v="60"/>
    <s v="1 kg"/>
    <x v="11"/>
  </r>
  <r>
    <n v="611"/>
    <x v="457"/>
    <x v="2"/>
    <n v="67"/>
    <n v="58"/>
    <s v="1 kg"/>
    <x v="11"/>
  </r>
  <r>
    <n v="612"/>
    <x v="457"/>
    <x v="2"/>
    <n v="410"/>
    <n v="263"/>
    <s v="5 kg"/>
    <x v="11"/>
  </r>
  <r>
    <n v="613"/>
    <x v="457"/>
    <x v="2"/>
    <n v="700"/>
    <n v="495"/>
    <s v="10 kg"/>
    <x v="11"/>
  </r>
  <r>
    <n v="614"/>
    <x v="458"/>
    <x v="2"/>
    <n v="260"/>
    <n v="240"/>
    <s v=" 5 kg"/>
    <x v="11"/>
  </r>
  <r>
    <n v="615"/>
    <x v="458"/>
    <x v="2"/>
    <n v="550"/>
    <n v="425"/>
    <s v="10 kg"/>
    <x v="11"/>
  </r>
  <r>
    <n v="616"/>
    <x v="459"/>
    <x v="12"/>
    <n v="95"/>
    <n v="76"/>
    <s v="1 kg"/>
    <x v="6"/>
  </r>
  <r>
    <n v="617"/>
    <x v="460"/>
    <x v="85"/>
    <n v="152"/>
    <n v="114"/>
    <s v="1 kg"/>
    <x v="6"/>
  </r>
  <r>
    <n v="618"/>
    <x v="461"/>
    <x v="7"/>
    <n v="46"/>
    <n v="31"/>
    <s v="500 gm"/>
    <x v="6"/>
  </r>
  <r>
    <n v="619"/>
    <x v="462"/>
    <x v="4"/>
    <n v="40"/>
    <n v="37"/>
    <s v="500 gm"/>
    <x v="6"/>
  </r>
  <r>
    <n v="620"/>
    <x v="463"/>
    <x v="12"/>
    <n v="85"/>
    <n v="68"/>
    <s v="500 gm"/>
    <x v="6"/>
  </r>
  <r>
    <n v="621"/>
    <x v="464"/>
    <x v="12"/>
    <n v="75"/>
    <n v="62"/>
    <s v="500 gm"/>
    <x v="6"/>
  </r>
  <r>
    <n v="622"/>
    <x v="465"/>
    <x v="4"/>
    <n v="42"/>
    <n v="39"/>
    <s v="500 gm"/>
    <x v="6"/>
  </r>
  <r>
    <n v="623"/>
    <x v="466"/>
    <x v="13"/>
    <n v="80"/>
    <n v="56"/>
    <s v="500 gm"/>
    <x v="6"/>
  </r>
  <r>
    <n v="624"/>
    <x v="467"/>
    <x v="13"/>
    <n v="70"/>
    <n v="56"/>
    <s v="500 gm"/>
    <x v="6"/>
  </r>
  <r>
    <n v="625"/>
    <x v="468"/>
    <x v="2"/>
    <n v="650"/>
    <n v="490"/>
    <s v="5 kg"/>
    <x v="6"/>
  </r>
  <r>
    <n v="626"/>
    <x v="469"/>
    <x v="2"/>
    <n v="59"/>
    <n v="55"/>
    <s v="1 kg"/>
    <x v="6"/>
  </r>
  <r>
    <n v="627"/>
    <x v="470"/>
    <x v="2"/>
    <n v="67"/>
    <n v="51"/>
    <s v="1 kg"/>
    <x v="6"/>
  </r>
  <r>
    <n v="628"/>
    <x v="471"/>
    <x v="2"/>
    <n v="650"/>
    <n v="470"/>
    <s v="10 kg"/>
    <x v="6"/>
  </r>
  <r>
    <n v="629"/>
    <x v="472"/>
    <x v="2"/>
    <n v="44"/>
    <n v="41"/>
    <s v="1 kg"/>
    <x v="6"/>
  </r>
  <r>
    <n v="630"/>
    <x v="473"/>
    <x v="2"/>
    <n v="51"/>
    <n v="42"/>
    <s v="1 kg"/>
    <x v="6"/>
  </r>
  <r>
    <n v="631"/>
    <x v="474"/>
    <x v="4"/>
    <n v="100"/>
    <n v="93"/>
    <s v="500 gm"/>
    <x v="6"/>
  </r>
  <r>
    <n v="632"/>
    <x v="475"/>
    <x v="4"/>
    <n v="72"/>
    <n v="66"/>
    <s v="100 gm"/>
    <x v="3"/>
  </r>
  <r>
    <n v="633"/>
    <x v="475"/>
    <x v="4"/>
    <n v="142"/>
    <n v="132"/>
    <s v="200 gm"/>
    <x v="3"/>
  </r>
  <r>
    <n v="634"/>
    <x v="198"/>
    <x v="0"/>
    <n v="42"/>
    <n v="32"/>
    <s v="25 gm"/>
    <x v="3"/>
  </r>
  <r>
    <n v="635"/>
    <x v="476"/>
    <x v="90"/>
    <n v="100"/>
    <n v="62"/>
    <s v="200 gm"/>
    <x v="3"/>
  </r>
  <r>
    <n v="636"/>
    <x v="477"/>
    <x v="4"/>
    <n v="135"/>
    <n v="125"/>
    <s v="100 gm"/>
    <x v="3"/>
  </r>
  <r>
    <n v="637"/>
    <x v="478"/>
    <x v="4"/>
    <n v="160"/>
    <n v="148"/>
    <s v="100 gm"/>
    <x v="3"/>
  </r>
  <r>
    <n v="638"/>
    <x v="479"/>
    <x v="4"/>
    <n v="121"/>
    <n v="99"/>
    <s v="100 gm"/>
    <x v="3"/>
  </r>
  <r>
    <n v="639"/>
    <x v="212"/>
    <x v="2"/>
    <n v="118"/>
    <n v="93"/>
    <s v="200 gm"/>
    <x v="3"/>
  </r>
  <r>
    <n v="640"/>
    <x v="480"/>
    <x v="2"/>
    <n v="94"/>
    <n v="78"/>
    <s v="50 gm"/>
    <x v="3"/>
  </r>
  <r>
    <n v="641"/>
    <x v="481"/>
    <x v="4"/>
    <n v="104"/>
    <n v="96"/>
    <s v="100 gm"/>
    <x v="3"/>
  </r>
  <r>
    <n v="642"/>
    <x v="482"/>
    <x v="2"/>
    <n v="65"/>
    <n v="50"/>
    <s v="200 gm"/>
    <x v="3"/>
  </r>
  <r>
    <n v="643"/>
    <x v="483"/>
    <x v="4"/>
    <n v="97"/>
    <n v="82"/>
    <s v="100 gm"/>
    <x v="3"/>
  </r>
  <r>
    <n v="644"/>
    <x v="484"/>
    <x v="4"/>
    <n v="184"/>
    <n v="171"/>
    <s v="50 gm"/>
    <x v="3"/>
  </r>
  <r>
    <n v="645"/>
    <x v="485"/>
    <x v="4"/>
    <n v="108"/>
    <n v="100"/>
    <s v="200 gm"/>
    <x v="3"/>
  </r>
  <r>
    <n v="646"/>
    <x v="486"/>
    <x v="4"/>
    <n v="120"/>
    <n v="111"/>
    <s v="200 gm"/>
    <x v="3"/>
  </r>
  <r>
    <n v="647"/>
    <x v="487"/>
    <x v="12"/>
    <n v="75"/>
    <n v="62"/>
    <s v="200 gm"/>
    <x v="3"/>
  </r>
  <r>
    <n v="648"/>
    <x v="488"/>
    <x v="2"/>
    <n v="110"/>
    <n v="85"/>
    <s v="500 gm"/>
    <x v="3"/>
  </r>
  <r>
    <n v="649"/>
    <x v="489"/>
    <x v="4"/>
    <n v="141"/>
    <n v="131"/>
    <s v="50 gm"/>
    <x v="3"/>
  </r>
  <r>
    <n v="650"/>
    <x v="490"/>
    <x v="4"/>
    <n v="149"/>
    <n v="138"/>
    <s v="200 gm"/>
    <x v="3"/>
  </r>
  <r>
    <n v="651"/>
    <x v="491"/>
    <x v="4"/>
    <n v="62"/>
    <n v="57"/>
    <s v="100 gm"/>
    <x v="3"/>
  </r>
  <r>
    <n v="652"/>
    <x v="492"/>
    <x v="4"/>
    <n v="38"/>
    <n v="35"/>
    <s v="50 gm"/>
    <x v="3"/>
  </r>
  <r>
    <n v="653"/>
    <x v="493"/>
    <x v="2"/>
    <n v="75"/>
    <n v="56"/>
    <s v="100 gm"/>
    <x v="3"/>
  </r>
  <r>
    <n v="654"/>
    <x v="494"/>
    <x v="4"/>
    <n v="66"/>
    <n v="61"/>
    <s v="100 gm"/>
    <x v="3"/>
  </r>
  <r>
    <n v="655"/>
    <x v="495"/>
    <x v="4"/>
    <n v="62"/>
    <n v="57"/>
    <s v="100 gm"/>
    <x v="3"/>
  </r>
  <r>
    <n v="656"/>
    <x v="496"/>
    <x v="4"/>
    <n v="170"/>
    <n v="158"/>
    <s v="500 gm"/>
    <x v="3"/>
  </r>
  <r>
    <n v="657"/>
    <x v="496"/>
    <x v="4"/>
    <n v="69"/>
    <n v="64"/>
    <s v="200 gm"/>
    <x v="3"/>
  </r>
  <r>
    <n v="658"/>
    <x v="497"/>
    <x v="4"/>
    <n v="54"/>
    <n v="50"/>
    <s v="200 gm"/>
    <x v="3"/>
  </r>
  <r>
    <n v="659"/>
    <x v="498"/>
    <x v="4"/>
    <n v="82"/>
    <n v="66"/>
    <s v="100 gm"/>
    <x v="3"/>
  </r>
  <r>
    <n v="660"/>
    <x v="499"/>
    <x v="4"/>
    <n v="145"/>
    <n v="134"/>
    <s v="100 gm"/>
    <x v="3"/>
  </r>
  <r>
    <n v="661"/>
    <x v="500"/>
    <x v="4"/>
    <n v="117"/>
    <n v="108"/>
    <s v="50 gm"/>
    <x v="3"/>
  </r>
  <r>
    <n v="662"/>
    <x v="501"/>
    <x v="4"/>
    <n v="160"/>
    <n v="148"/>
    <s v="100 gm"/>
    <x v="3"/>
  </r>
  <r>
    <n v="663"/>
    <x v="502"/>
    <x v="4"/>
    <n v="107"/>
    <n v="99"/>
    <s v="100 gm"/>
    <x v="3"/>
  </r>
  <r>
    <n v="664"/>
    <x v="503"/>
    <x v="4"/>
    <n v="121"/>
    <n v="112"/>
    <s v="100 gm"/>
    <x v="3"/>
  </r>
  <r>
    <n v="665"/>
    <x v="504"/>
    <x v="4"/>
    <n v="25"/>
    <n v="23"/>
    <s v="100 gm"/>
    <x v="3"/>
  </r>
  <r>
    <n v="666"/>
    <x v="505"/>
    <x v="4"/>
    <n v="74"/>
    <n v="68"/>
    <s v="100 gm"/>
    <x v="3"/>
  </r>
  <r>
    <n v="667"/>
    <x v="506"/>
    <x v="2"/>
    <n v="33"/>
    <n v="25"/>
    <s v="200 gm"/>
    <x v="3"/>
  </r>
  <r>
    <n v="668"/>
    <x v="507"/>
    <x v="91"/>
    <n v="95"/>
    <n v="65"/>
    <s v="200 gm"/>
    <x v="3"/>
  </r>
  <r>
    <n v="669"/>
    <x v="508"/>
    <x v="16"/>
    <n v="150"/>
    <n v="102"/>
    <s v="100 gm"/>
    <x v="3"/>
  </r>
  <r>
    <n v="670"/>
    <x v="509"/>
    <x v="16"/>
    <n v="100"/>
    <n v="63"/>
    <s v="100 gm"/>
    <x v="3"/>
  </r>
  <r>
    <n v="671"/>
    <x v="510"/>
    <x v="16"/>
    <n v="80"/>
    <n v="66"/>
    <s v="100 gm"/>
    <x v="3"/>
  </r>
  <r>
    <n v="672"/>
    <x v="511"/>
    <x v="79"/>
    <n v="399"/>
    <n v="199"/>
    <s v="350 gm"/>
    <x v="3"/>
  </r>
  <r>
    <n v="673"/>
    <x v="512"/>
    <x v="92"/>
    <n v="399"/>
    <n v="199"/>
    <s v="350 gm"/>
    <x v="3"/>
  </r>
  <r>
    <n v="674"/>
    <x v="513"/>
    <x v="93"/>
    <n v="96"/>
    <n v="85"/>
    <s v="100 gm"/>
    <x v="3"/>
  </r>
  <r>
    <n v="675"/>
    <x v="514"/>
    <x v="93"/>
    <n v="54"/>
    <n v="50"/>
    <s v="100 gm"/>
    <x v="3"/>
  </r>
  <r>
    <n v="676"/>
    <x v="514"/>
    <x v="93"/>
    <n v="116"/>
    <n v="90"/>
    <s v="200 gm"/>
    <x v="3"/>
  </r>
  <r>
    <n v="677"/>
    <x v="514"/>
    <x v="93"/>
    <n v="280"/>
    <n v="245"/>
    <s v="500 gm"/>
    <x v="3"/>
  </r>
  <r>
    <n v="678"/>
    <x v="515"/>
    <x v="93"/>
    <n v="46"/>
    <n v="38"/>
    <s v="50 gm"/>
    <x v="3"/>
  </r>
  <r>
    <n v="679"/>
    <x v="515"/>
    <x v="93"/>
    <n v="88"/>
    <n v="71"/>
    <s v="100 gm"/>
    <x v="3"/>
  </r>
  <r>
    <n v="680"/>
    <x v="516"/>
    <x v="94"/>
    <n v="160"/>
    <n v="130"/>
    <s v="50 gm"/>
    <x v="3"/>
  </r>
  <r>
    <n v="681"/>
    <x v="516"/>
    <x v="94"/>
    <n v="290"/>
    <n v="225"/>
    <s v="100 gm"/>
    <x v="3"/>
  </r>
  <r>
    <n v="682"/>
    <x v="517"/>
    <x v="0"/>
    <n v="90"/>
    <n v="54"/>
    <s v="50 gm"/>
    <x v="3"/>
  </r>
  <r>
    <n v="683"/>
    <x v="517"/>
    <x v="0"/>
    <n v="175"/>
    <n v="99"/>
    <s v="100 gm"/>
    <x v="3"/>
  </r>
  <r>
    <n v="684"/>
    <x v="518"/>
    <x v="95"/>
    <n v="60"/>
    <n v="54"/>
    <s v="72 gm"/>
    <x v="3"/>
  </r>
  <r>
    <n v="685"/>
    <x v="519"/>
    <x v="93"/>
    <n v="39"/>
    <n v="32"/>
    <s v="50 gm"/>
    <x v="3"/>
  </r>
  <r>
    <n v="686"/>
    <x v="519"/>
    <x v="93"/>
    <n v="73"/>
    <n v="60"/>
    <s v="100 gm"/>
    <x v="3"/>
  </r>
  <r>
    <n v="687"/>
    <x v="520"/>
    <x v="96"/>
    <n v="85"/>
    <n v="73"/>
    <s v="50 gm"/>
    <x v="3"/>
  </r>
  <r>
    <n v="688"/>
    <x v="520"/>
    <x v="96"/>
    <n v="165"/>
    <n v="142"/>
    <s v="100 gm"/>
    <x v="3"/>
  </r>
  <r>
    <n v="689"/>
    <x v="520"/>
    <x v="96"/>
    <n v="335"/>
    <n v="273"/>
    <s v="200 gm"/>
    <x v="3"/>
  </r>
  <r>
    <n v="690"/>
    <x v="521"/>
    <x v="97"/>
    <n v="76"/>
    <n v="38"/>
    <s v="50 gm"/>
    <x v="3"/>
  </r>
  <r>
    <n v="691"/>
    <x v="521"/>
    <x v="97"/>
    <n v="152"/>
    <n v="76"/>
    <s v="100 gm"/>
    <x v="3"/>
  </r>
  <r>
    <n v="692"/>
    <x v="522"/>
    <x v="2"/>
    <n v="60"/>
    <n v="32"/>
    <s v="50 gm"/>
    <x v="3"/>
  </r>
  <r>
    <n v="693"/>
    <x v="522"/>
    <x v="2"/>
    <n v="110"/>
    <n v="59"/>
    <s v="100 gm"/>
    <x v="3"/>
  </r>
  <r>
    <n v="694"/>
    <x v="523"/>
    <x v="93"/>
    <n v="41"/>
    <n v="33"/>
    <s v="50 gm"/>
    <x v="3"/>
  </r>
  <r>
    <n v="695"/>
    <x v="523"/>
    <x v="93"/>
    <n v="78"/>
    <n v="62"/>
    <s v="100 gm"/>
    <x v="3"/>
  </r>
  <r>
    <n v="696"/>
    <x v="524"/>
    <x v="93"/>
    <n v="80"/>
    <n v="62"/>
    <s v="100 gm"/>
    <x v="3"/>
  </r>
  <r>
    <n v="697"/>
    <x v="525"/>
    <x v="93"/>
    <n v="70"/>
    <n v="55"/>
    <s v="200 gm"/>
    <x v="3"/>
  </r>
  <r>
    <n v="698"/>
    <x v="525"/>
    <x v="93"/>
    <n v="165"/>
    <n v="129"/>
    <s v="500 gm"/>
    <x v="3"/>
  </r>
  <r>
    <n v="699"/>
    <x v="526"/>
    <x v="97"/>
    <n v="180"/>
    <n v="110"/>
    <s v="100 gm"/>
    <x v="3"/>
  </r>
  <r>
    <n v="700"/>
    <x v="527"/>
    <x v="93"/>
    <n v="74"/>
    <n v="59"/>
    <s v="50 gm"/>
    <x v="3"/>
  </r>
  <r>
    <n v="701"/>
    <x v="528"/>
    <x v="93"/>
    <n v="84"/>
    <n v="68"/>
    <s v="200 gm"/>
    <x v="3"/>
  </r>
  <r>
    <n v="702"/>
    <x v="528"/>
    <x v="93"/>
    <n v="200"/>
    <n v="175"/>
    <s v="500 gm"/>
    <x v="3"/>
  </r>
  <r>
    <n v="703"/>
    <x v="529"/>
    <x v="93"/>
    <n v="200"/>
    <n v="160"/>
    <s v="100 gm"/>
    <x v="3"/>
  </r>
  <r>
    <n v="704"/>
    <x v="530"/>
    <x v="98"/>
    <n v="140"/>
    <n v="119"/>
    <s v="200 gm"/>
    <x v="3"/>
  </r>
  <r>
    <n v="705"/>
    <x v="531"/>
    <x v="93"/>
    <n v="40"/>
    <n v="31"/>
    <s v="50 gm"/>
    <x v="3"/>
  </r>
  <r>
    <n v="706"/>
    <x v="531"/>
    <x v="93"/>
    <n v="78"/>
    <n v="62"/>
    <s v="100 gm"/>
    <x v="3"/>
  </r>
  <r>
    <n v="707"/>
    <x v="532"/>
    <x v="0"/>
    <n v="27"/>
    <n v="21"/>
    <s v="100 gm"/>
    <x v="3"/>
  </r>
  <r>
    <n v="708"/>
    <x v="532"/>
    <x v="0"/>
    <n v="50"/>
    <n v="38"/>
    <s v="200 gm"/>
    <x v="3"/>
  </r>
  <r>
    <n v="709"/>
    <x v="532"/>
    <x v="0"/>
    <n v="118"/>
    <n v="94"/>
    <s v="500 gm"/>
    <x v="3"/>
  </r>
  <r>
    <n v="710"/>
    <x v="532"/>
    <x v="0"/>
    <n v="213"/>
    <n v="159"/>
    <s v="1 kg"/>
    <x v="3"/>
  </r>
  <r>
    <n v="711"/>
    <x v="533"/>
    <x v="93"/>
    <n v="120"/>
    <n v="96"/>
    <s v="100 gm"/>
    <x v="3"/>
  </r>
  <r>
    <n v="712"/>
    <x v="534"/>
    <x v="93"/>
    <n v="43"/>
    <n v="38"/>
    <s v=" 50 gm"/>
    <x v="3"/>
  </r>
  <r>
    <n v="713"/>
    <x v="534"/>
    <x v="93"/>
    <n v="82"/>
    <n v="67"/>
    <s v="100 gm"/>
    <x v="3"/>
  </r>
  <r>
    <n v="714"/>
    <x v="535"/>
    <x v="7"/>
    <n v="72"/>
    <n v="61"/>
    <s v="200 gm"/>
    <x v="3"/>
  </r>
  <r>
    <n v="715"/>
    <x v="536"/>
    <x v="93"/>
    <n v="37"/>
    <n v="32"/>
    <s v="50 gm"/>
    <x v="3"/>
  </r>
  <r>
    <n v="716"/>
    <x v="536"/>
    <x v="93"/>
    <n v="70"/>
    <n v="59"/>
    <s v="100 gm"/>
    <x v="3"/>
  </r>
  <r>
    <n v="717"/>
    <x v="537"/>
    <x v="93"/>
    <n v="82"/>
    <n v="69"/>
    <s v="100 gm"/>
    <x v="3"/>
  </r>
  <r>
    <n v="718"/>
    <x v="538"/>
    <x v="99"/>
    <n v="45"/>
    <n v="29"/>
    <s v="50 gm"/>
    <x v="3"/>
  </r>
  <r>
    <n v="719"/>
    <x v="539"/>
    <x v="100"/>
    <n v="65"/>
    <n v="52"/>
    <s v="35 gm"/>
    <x v="3"/>
  </r>
  <r>
    <n v="720"/>
    <x v="540"/>
    <x v="101"/>
    <n v="74"/>
    <n v="52"/>
    <s v="100 gm"/>
    <x v="3"/>
  </r>
  <r>
    <n v="721"/>
    <x v="541"/>
    <x v="99"/>
    <n v="45"/>
    <n v="35"/>
    <s v="50 gm"/>
    <x v="3"/>
  </r>
  <r>
    <n v="722"/>
    <x v="542"/>
    <x v="99"/>
    <n v="45"/>
    <n v="35"/>
    <s v="50 gm"/>
    <x v="3"/>
  </r>
  <r>
    <n v="723"/>
    <x v="543"/>
    <x v="102"/>
    <n v="85"/>
    <n v="65"/>
    <s v="200 gm"/>
    <x v="3"/>
  </r>
  <r>
    <n v="724"/>
    <x v="544"/>
    <x v="94"/>
    <n v="110"/>
    <n v="94"/>
    <s v="200 gm"/>
    <x v="3"/>
  </r>
  <r>
    <n v="725"/>
    <x v="526"/>
    <x v="97"/>
    <n v="90"/>
    <n v="60"/>
    <s v="50 gm"/>
    <x v="3"/>
  </r>
  <r>
    <n v="726"/>
    <x v="545"/>
    <x v="93"/>
    <n v="82"/>
    <n v="73"/>
    <s v="100 gm"/>
    <x v="3"/>
  </r>
  <r>
    <n v="727"/>
    <x v="546"/>
    <x v="103"/>
    <n v="165"/>
    <n v="82"/>
    <s v="200 gm"/>
    <x v="3"/>
  </r>
  <r>
    <n v="728"/>
    <x v="547"/>
    <x v="101"/>
    <n v="95"/>
    <n v="47"/>
    <s v="50 gm"/>
    <x v="3"/>
  </r>
  <r>
    <n v="729"/>
    <x v="548"/>
    <x v="98"/>
    <n v="135"/>
    <n v="119"/>
    <s v="200 gm"/>
    <x v="12"/>
  </r>
  <r>
    <n v="730"/>
    <x v="549"/>
    <x v="104"/>
    <n v="110"/>
    <n v="88"/>
    <s v="20 gm"/>
    <x v="3"/>
  </r>
  <r>
    <n v="731"/>
    <x v="549"/>
    <x v="104"/>
    <n v="55"/>
    <n v="44"/>
    <s v="10 gm"/>
    <x v="3"/>
  </r>
  <r>
    <n v="732"/>
    <x v="550"/>
    <x v="105"/>
    <n v="75"/>
    <n v="65"/>
    <s v="60 gm"/>
    <x v="3"/>
  </r>
  <r>
    <n v="733"/>
    <x v="551"/>
    <x v="101"/>
    <n v="85"/>
    <n v="60"/>
    <s v="100 gm"/>
    <x v="3"/>
  </r>
  <r>
    <n v="734"/>
    <x v="552"/>
    <x v="93"/>
    <n v="35"/>
    <n v="29"/>
    <s v="50 gm"/>
    <x v="3"/>
  </r>
  <r>
    <n v="735"/>
    <x v="553"/>
    <x v="106"/>
    <n v="90"/>
    <n v="45"/>
    <s v="100 gm"/>
    <x v="3"/>
  </r>
  <r>
    <n v="736"/>
    <x v="554"/>
    <x v="95"/>
    <n v="100"/>
    <n v="90"/>
    <s v="120 gm"/>
    <x v="3"/>
  </r>
  <r>
    <n v="737"/>
    <x v="555"/>
    <x v="99"/>
    <n v="45"/>
    <n v="33"/>
    <s v="50 gm"/>
    <x v="3"/>
  </r>
  <r>
    <n v="738"/>
    <x v="556"/>
    <x v="94"/>
    <n v="70"/>
    <n v="60"/>
    <s v="200 gm"/>
    <x v="3"/>
  </r>
  <r>
    <n v="739"/>
    <x v="557"/>
    <x v="101"/>
    <n v="67"/>
    <n v="47"/>
    <s v="100 gm"/>
    <x v="3"/>
  </r>
  <r>
    <n v="740"/>
    <x v="558"/>
    <x v="99"/>
    <n v="50"/>
    <n v="32"/>
    <s v="80 gm"/>
    <x v="3"/>
  </r>
  <r>
    <n v="741"/>
    <x v="559"/>
    <x v="101"/>
    <n v="130"/>
    <n v="95"/>
    <s v="100 gm"/>
    <x v="3"/>
  </r>
  <r>
    <n v="742"/>
    <x v="560"/>
    <x v="84"/>
    <n v="70"/>
    <n v="55"/>
    <s v="100 gm"/>
    <x v="3"/>
  </r>
  <r>
    <n v="743"/>
    <x v="561"/>
    <x v="103"/>
    <n v="815"/>
    <n v="407"/>
    <s v="1 kg"/>
    <x v="3"/>
  </r>
  <r>
    <n v="744"/>
    <x v="562"/>
    <x v="99"/>
    <n v="40"/>
    <n v="29"/>
    <s v="50 gm"/>
    <x v="3"/>
  </r>
  <r>
    <n v="745"/>
    <x v="563"/>
    <x v="107"/>
    <n v="60"/>
    <n v="48"/>
    <s v="5 U"/>
    <x v="3"/>
  </r>
  <r>
    <n v="746"/>
    <x v="564"/>
    <x v="93"/>
    <n v="54"/>
    <n v="45"/>
    <s v="100 gm"/>
    <x v="3"/>
  </r>
  <r>
    <n v="747"/>
    <x v="564"/>
    <x v="93"/>
    <n v="108"/>
    <n v="100"/>
    <s v="200 gm"/>
    <x v="3"/>
  </r>
  <r>
    <n v="748"/>
    <x v="565"/>
    <x v="103"/>
    <n v="210"/>
    <n v="105"/>
    <s v="500 gm"/>
    <x v="3"/>
  </r>
  <r>
    <n v="749"/>
    <x v="566"/>
    <x v="106"/>
    <n v="76"/>
    <n v="38"/>
    <s v="100 gm"/>
    <x v="3"/>
  </r>
  <r>
    <n v="750"/>
    <x v="567"/>
    <x v="93"/>
    <n v="34"/>
    <n v="28"/>
    <s v="50 gm"/>
    <x v="3"/>
  </r>
  <r>
    <n v="751"/>
    <x v="567"/>
    <x v="93"/>
    <n v="64"/>
    <n v="53"/>
    <s v="100 gm"/>
    <x v="3"/>
  </r>
  <r>
    <n v="752"/>
    <x v="568"/>
    <x v="94"/>
    <n v="83"/>
    <n v="72"/>
    <s v="200 gm"/>
    <x v="3"/>
  </r>
  <r>
    <n v="753"/>
    <x v="569"/>
    <x v="99"/>
    <n v="45"/>
    <n v="32"/>
    <s v="50 gm"/>
    <x v="3"/>
  </r>
  <r>
    <n v="754"/>
    <x v="570"/>
    <x v="101"/>
    <n v="80"/>
    <n v="40"/>
    <s v="50 gm"/>
    <x v="3"/>
  </r>
  <r>
    <n v="755"/>
    <x v="571"/>
    <x v="84"/>
    <n v="60"/>
    <n v="45"/>
    <s v="100 gm"/>
    <x v="3"/>
  </r>
  <r>
    <n v="756"/>
    <x v="572"/>
    <x v="106"/>
    <n v="64"/>
    <n v="32"/>
    <s v="100 gm"/>
    <x v="3"/>
  </r>
  <r>
    <n v="757"/>
    <x v="573"/>
    <x v="108"/>
    <n v="180"/>
    <n v="155"/>
    <s v="100 gm"/>
    <x v="3"/>
  </r>
  <r>
    <n v="758"/>
    <x v="574"/>
    <x v="100"/>
    <n v="379"/>
    <n v="275"/>
    <s v="40 gm"/>
    <x v="3"/>
  </r>
  <r>
    <n v="759"/>
    <x v="575"/>
    <x v="103"/>
    <n v="150"/>
    <n v="75"/>
    <s v="500 gm"/>
    <x v="3"/>
  </r>
  <r>
    <n v="760"/>
    <x v="576"/>
    <x v="101"/>
    <n v="72"/>
    <n v="53"/>
    <s v="100 gm"/>
    <x v="3"/>
  </r>
  <r>
    <n v="761"/>
    <x v="577"/>
    <x v="108"/>
    <n v="55"/>
    <n v="45"/>
    <s v="50 gm"/>
    <x v="3"/>
  </r>
  <r>
    <n v="762"/>
    <x v="578"/>
    <x v="99"/>
    <n v="55"/>
    <n v="35"/>
    <s v="100 gm"/>
    <x v="3"/>
  </r>
  <r>
    <n v="763"/>
    <x v="579"/>
    <x v="106"/>
    <n v="70"/>
    <n v="35"/>
    <s v="100 gm"/>
    <x v="3"/>
  </r>
  <r>
    <n v="764"/>
    <x v="580"/>
    <x v="99"/>
    <n v="50"/>
    <n v="35"/>
    <s v="80 gm"/>
    <x v="3"/>
  </r>
  <r>
    <n v="765"/>
    <x v="581"/>
    <x v="101"/>
    <n v="78"/>
    <n v="55"/>
    <s v="100 gm"/>
    <x v="3"/>
  </r>
  <r>
    <n v="766"/>
    <x v="582"/>
    <x v="101"/>
    <n v="69"/>
    <n v="49"/>
    <s v="100 gm"/>
    <x v="3"/>
  </r>
  <r>
    <n v="767"/>
    <x v="583"/>
    <x v="106"/>
    <n v="62"/>
    <n v="31"/>
    <s v="100 gm"/>
    <x v="3"/>
  </r>
  <r>
    <n v="768"/>
    <x v="584"/>
    <x v="104"/>
    <n v="75"/>
    <n v="60"/>
    <s v="50 gm"/>
    <x v="3"/>
  </r>
  <r>
    <n v="769"/>
    <x v="585"/>
    <x v="105"/>
    <n v="75"/>
    <n v="65"/>
    <s v="50 gm"/>
    <x v="3"/>
  </r>
  <r>
    <n v="770"/>
    <x v="586"/>
    <x v="99"/>
    <n v="45"/>
    <n v="33"/>
    <s v="80 gm"/>
    <x v="3"/>
  </r>
  <r>
    <n v="771"/>
    <x v="587"/>
    <x v="100"/>
    <n v="99"/>
    <n v="75"/>
    <s v="35 gm"/>
    <x v="3"/>
  </r>
  <r>
    <n v="772"/>
    <x v="588"/>
    <x v="101"/>
    <n v="42"/>
    <n v="21"/>
    <s v="50 gm"/>
    <x v="3"/>
  </r>
  <r>
    <n v="773"/>
    <x v="589"/>
    <x v="103"/>
    <n v="190"/>
    <n v="95"/>
    <s v="500 gm"/>
    <x v="3"/>
  </r>
  <r>
    <n v="774"/>
    <x v="590"/>
    <x v="104"/>
    <n v="35"/>
    <n v="28"/>
    <s v="10 gm"/>
    <x v="3"/>
  </r>
  <r>
    <n v="775"/>
    <x v="591"/>
    <x v="108"/>
    <n v="50"/>
    <n v="40"/>
    <s v="50 gm"/>
    <x v="3"/>
  </r>
  <r>
    <n v="776"/>
    <x v="592"/>
    <x v="109"/>
    <n v="78"/>
    <n v="65"/>
    <s v="100 gm"/>
    <x v="3"/>
  </r>
  <r>
    <n v="777"/>
    <x v="593"/>
    <x v="109"/>
    <n v="79"/>
    <n v="65"/>
    <s v="100 gm"/>
    <x v="3"/>
  </r>
  <r>
    <n v="778"/>
    <x v="594"/>
    <x v="105"/>
    <n v="75"/>
    <n v="65"/>
    <s v="50 gm"/>
    <x v="3"/>
  </r>
  <r>
    <n v="779"/>
    <x v="595"/>
    <x v="104"/>
    <n v="60"/>
    <n v="48"/>
    <s v="20 gm"/>
    <x v="3"/>
  </r>
  <r>
    <n v="780"/>
    <x v="596"/>
    <x v="109"/>
    <n v="92"/>
    <n v="73"/>
    <s v="100 gm"/>
    <x v="3"/>
  </r>
  <r>
    <n v="781"/>
    <x v="597"/>
    <x v="106"/>
    <n v="66"/>
    <n v="33"/>
    <s v="100 gm"/>
    <x v="3"/>
  </r>
  <r>
    <n v="782"/>
    <x v="598"/>
    <x v="109"/>
    <n v="89"/>
    <n v="70"/>
    <s v="100 gm"/>
    <x v="3"/>
  </r>
  <r>
    <n v="783"/>
    <x v="599"/>
    <x v="108"/>
    <n v="60"/>
    <n v="50"/>
    <s v="50 gm"/>
    <x v="3"/>
  </r>
  <r>
    <n v="784"/>
    <x v="600"/>
    <x v="105"/>
    <n v="75"/>
    <n v="65"/>
    <s v="60 gm"/>
    <x v="3"/>
  </r>
  <r>
    <n v="785"/>
    <x v="601"/>
    <x v="103"/>
    <n v="130"/>
    <n v="65"/>
    <s v="200 gm"/>
    <x v="3"/>
  </r>
  <r>
    <n v="786"/>
    <x v="602"/>
    <x v="106"/>
    <n v="56"/>
    <n v="28"/>
    <s v="100 gm"/>
    <x v="3"/>
  </r>
  <r>
    <n v="787"/>
    <x v="603"/>
    <x v="100"/>
    <n v="99"/>
    <n v="79"/>
    <s v="40 gm"/>
    <x v="3"/>
  </r>
  <r>
    <n v="788"/>
    <x v="604"/>
    <x v="106"/>
    <n v="78"/>
    <n v="39"/>
    <s v="100 gm"/>
    <x v="3"/>
  </r>
  <r>
    <n v="789"/>
    <x v="605"/>
    <x v="104"/>
    <n v="85"/>
    <n v="68"/>
    <s v="50 gm"/>
    <x v="3"/>
  </r>
  <r>
    <n v="790"/>
    <x v="606"/>
    <x v="106"/>
    <n v="42"/>
    <n v="21"/>
    <s v="50 gm"/>
    <x v="3"/>
  </r>
  <r>
    <n v="791"/>
    <x v="607"/>
    <x v="106"/>
    <n v="72"/>
    <n v="36"/>
    <s v="100 gm"/>
    <x v="3"/>
  </r>
  <r>
    <n v="792"/>
    <x v="608"/>
    <x v="104"/>
    <n v="94"/>
    <n v="75"/>
    <s v="20 gm"/>
    <x v="3"/>
  </r>
  <r>
    <n v="793"/>
    <x v="609"/>
    <x v="109"/>
    <n v="78"/>
    <n v="58"/>
    <s v="100 gm"/>
    <x v="3"/>
  </r>
  <r>
    <n v="794"/>
    <x v="610"/>
    <x v="101"/>
    <n v="66"/>
    <n v="53"/>
    <s v="100 gm"/>
    <x v="3"/>
  </r>
  <r>
    <n v="795"/>
    <x v="611"/>
    <x v="105"/>
    <n v="75"/>
    <n v="65"/>
    <s v="50 gm"/>
    <x v="3"/>
  </r>
  <r>
    <n v="796"/>
    <x v="612"/>
    <x v="107"/>
    <n v="60"/>
    <n v="50"/>
    <s v="5 U"/>
    <x v="3"/>
  </r>
  <r>
    <n v="797"/>
    <x v="613"/>
    <x v="7"/>
    <n v="20"/>
    <n v="18"/>
    <s v="100 gm"/>
    <x v="3"/>
  </r>
  <r>
    <n v="798"/>
    <x v="614"/>
    <x v="101"/>
    <n v="102"/>
    <n v="77"/>
    <s v="100 gm"/>
    <x v="3"/>
  </r>
  <r>
    <n v="799"/>
    <x v="615"/>
    <x v="109"/>
    <n v="81"/>
    <n v="65"/>
    <s v="100 gm"/>
    <x v="3"/>
  </r>
  <r>
    <n v="800"/>
    <x v="616"/>
    <x v="109"/>
    <n v="80"/>
    <n v="64"/>
    <s v="100 gm"/>
    <x v="3"/>
  </r>
  <r>
    <n v="801"/>
    <x v="617"/>
    <x v="81"/>
    <n v="30"/>
    <n v="22"/>
    <s v="25 gm"/>
    <x v="3"/>
  </r>
  <r>
    <n v="802"/>
    <x v="618"/>
    <x v="110"/>
    <n v="100"/>
    <n v="90"/>
    <s v="50 gm"/>
    <x v="3"/>
  </r>
  <r>
    <n v="803"/>
    <x v="619"/>
    <x v="110"/>
    <n v="68"/>
    <n v="61"/>
    <s v="100 gm"/>
    <x v="3"/>
  </r>
  <r>
    <n v="804"/>
    <x v="620"/>
    <x v="110"/>
    <n v="30"/>
    <n v="27"/>
    <s v="50 gm"/>
    <x v="3"/>
  </r>
  <r>
    <n v="805"/>
    <x v="621"/>
    <x v="111"/>
    <n v="219"/>
    <n v="109"/>
    <s v="700 gm"/>
    <x v="3"/>
  </r>
  <r>
    <n v="806"/>
    <x v="622"/>
    <x v="112"/>
    <n v="75"/>
    <n v="69"/>
    <s v="200 ml"/>
    <x v="3"/>
  </r>
  <r>
    <n v="807"/>
    <x v="623"/>
    <x v="113"/>
    <n v="50"/>
    <n v="40"/>
    <s v="200 gm"/>
    <x v="3"/>
  </r>
  <r>
    <n v="808"/>
    <x v="624"/>
    <x v="111"/>
    <n v="50"/>
    <n v="25"/>
    <s v="200 gm"/>
    <x v="3"/>
  </r>
  <r>
    <n v="809"/>
    <x v="625"/>
    <x v="95"/>
    <n v="35"/>
    <n v="32"/>
    <s v="40 gm"/>
    <x v="3"/>
  </r>
  <r>
    <n v="810"/>
    <x v="626"/>
    <x v="112"/>
    <n v="50"/>
    <n v="25"/>
    <s v="200 gm"/>
    <x v="3"/>
  </r>
  <r>
    <n v="811"/>
    <x v="627"/>
    <x v="112"/>
    <n v="25"/>
    <n v="22"/>
    <s v="200 gm"/>
    <x v="3"/>
  </r>
  <r>
    <n v="812"/>
    <x v="628"/>
    <x v="81"/>
    <n v="27"/>
    <n v="21"/>
    <s v="50 gm"/>
    <x v="3"/>
  </r>
  <r>
    <n v="813"/>
    <x v="629"/>
    <x v="82"/>
    <n v="25"/>
    <n v="20"/>
    <s v="50 gm"/>
    <x v="3"/>
  </r>
  <r>
    <n v="814"/>
    <x v="630"/>
    <x v="114"/>
    <n v="199"/>
    <n v="80"/>
    <s v="250 gm"/>
    <x v="3"/>
  </r>
  <r>
    <n v="815"/>
    <x v="631"/>
    <x v="114"/>
    <n v="199"/>
    <n v="80"/>
    <s v="200 gm"/>
    <x v="3"/>
  </r>
  <r>
    <n v="816"/>
    <x v="632"/>
    <x v="115"/>
    <n v="25"/>
    <n v="17"/>
    <s v="50 gm"/>
    <x v="3"/>
  </r>
  <r>
    <n v="817"/>
    <x v="633"/>
    <x v="81"/>
    <n v="25"/>
    <n v="22"/>
    <s v="100 gm"/>
    <x v="3"/>
  </r>
  <r>
    <n v="818"/>
    <x v="634"/>
    <x v="116"/>
    <n v="300"/>
    <n v="240"/>
    <s v="1 gm"/>
    <x v="3"/>
  </r>
  <r>
    <n v="819"/>
    <x v="635"/>
    <x v="100"/>
    <n v="79"/>
    <n v="63"/>
    <s v="20 gm"/>
    <x v="3"/>
  </r>
  <r>
    <n v="820"/>
    <x v="636"/>
    <x v="100"/>
    <n v="99"/>
    <n v="81"/>
    <s v="45 gm"/>
    <x v="3"/>
  </r>
  <r>
    <n v="821"/>
    <x v="637"/>
    <x v="100"/>
    <n v="99"/>
    <n v="81"/>
    <s v="20 gm"/>
    <x v="3"/>
  </r>
  <r>
    <n v="822"/>
    <x v="638"/>
    <x v="100"/>
    <n v="99"/>
    <n v="75"/>
    <s v="25 gm"/>
    <x v="3"/>
  </r>
  <r>
    <n v="823"/>
    <x v="639"/>
    <x v="100"/>
    <n v="99"/>
    <n v="79"/>
    <s v="45 gm"/>
    <x v="3"/>
  </r>
  <r>
    <n v="824"/>
    <x v="640"/>
    <x v="100"/>
    <n v="99"/>
    <n v="89"/>
    <s v="50 gm"/>
    <x v="3"/>
  </r>
  <r>
    <n v="825"/>
    <x v="641"/>
    <x v="117"/>
    <n v="170"/>
    <n v="123"/>
    <s v="100 gm"/>
    <x v="3"/>
  </r>
  <r>
    <n v="826"/>
    <x v="642"/>
    <x v="118"/>
    <n v="79"/>
    <n v="39"/>
    <s v="40 gm"/>
    <x v="3"/>
  </r>
  <r>
    <n v="827"/>
    <x v="643"/>
    <x v="118"/>
    <n v="109"/>
    <n v="54"/>
    <s v="80 gm"/>
    <x v="3"/>
  </r>
  <r>
    <n v="828"/>
    <x v="644"/>
    <x v="118"/>
    <n v="109"/>
    <n v="54"/>
    <s v="7 gm"/>
    <x v="3"/>
  </r>
  <r>
    <n v="829"/>
    <x v="645"/>
    <x v="118"/>
    <n v="109"/>
    <n v="54"/>
    <s v="40 gm"/>
    <x v="3"/>
  </r>
  <r>
    <n v="830"/>
    <x v="646"/>
    <x v="109"/>
    <n v="28"/>
    <n v="24"/>
    <s v="25 gm"/>
    <x v="3"/>
  </r>
  <r>
    <n v="831"/>
    <x v="647"/>
    <x v="93"/>
    <n v="210"/>
    <n v="189"/>
    <s v="50 gm"/>
    <x v="3"/>
  </r>
  <r>
    <n v="832"/>
    <x v="648"/>
    <x v="119"/>
    <n v="50"/>
    <n v="37"/>
    <s v="45 gm"/>
    <x v="3"/>
  </r>
  <r>
    <n v="833"/>
    <x v="649"/>
    <x v="119"/>
    <n v="50"/>
    <n v="32"/>
    <s v="45 gm"/>
    <x v="3"/>
  </r>
  <r>
    <n v="834"/>
    <x v="650"/>
    <x v="99"/>
    <n v="75"/>
    <n v="55"/>
    <s v="20 gm"/>
    <x v="3"/>
  </r>
  <r>
    <n v="835"/>
    <x v="651"/>
    <x v="111"/>
    <n v="55"/>
    <n v="27"/>
    <s v="75 gm"/>
    <x v="3"/>
  </r>
  <r>
    <n v="836"/>
    <x v="652"/>
    <x v="108"/>
    <n v="40"/>
    <n v="34"/>
    <s v="50 gm"/>
    <x v="3"/>
  </r>
  <r>
    <n v="837"/>
    <x v="653"/>
    <x v="119"/>
    <n v="53"/>
    <n v="39"/>
    <s v="45 gm"/>
    <x v="3"/>
  </r>
  <r>
    <n v="838"/>
    <x v="654"/>
    <x v="111"/>
    <n v="55"/>
    <n v="27"/>
    <s v="75 gm"/>
    <x v="3"/>
  </r>
  <r>
    <n v="839"/>
    <x v="655"/>
    <x v="119"/>
    <n v="53"/>
    <n v="39"/>
    <s v="45 gm"/>
    <x v="3"/>
  </r>
  <r>
    <n v="840"/>
    <x v="656"/>
    <x v="111"/>
    <n v="55"/>
    <n v="27"/>
    <s v="100 gm"/>
    <x v="3"/>
  </r>
  <r>
    <n v="841"/>
    <x v="657"/>
    <x v="103"/>
    <n v="60"/>
    <n v="30"/>
    <s v="100 gm"/>
    <x v="3"/>
  </r>
  <r>
    <n v="842"/>
    <x v="658"/>
    <x v="120"/>
    <n v="115"/>
    <n v="90"/>
    <s v="250 ml"/>
    <x v="3"/>
  </r>
  <r>
    <n v="843"/>
    <x v="659"/>
    <x v="121"/>
    <n v="90"/>
    <n v="70"/>
    <s v="20 ml"/>
    <x v="3"/>
  </r>
  <r>
    <n v="844"/>
    <x v="660"/>
    <x v="3"/>
    <n v="28"/>
    <n v="25"/>
    <s v="1 kg"/>
    <x v="4"/>
  </r>
  <r>
    <n v="845"/>
    <x v="661"/>
    <x v="122"/>
    <n v="110"/>
    <n v="87"/>
    <s v="1 kg"/>
    <x v="4"/>
  </r>
  <r>
    <n v="846"/>
    <x v="662"/>
    <x v="3"/>
    <n v="50"/>
    <n v="45"/>
    <s v="1 kg"/>
    <x v="4"/>
  </r>
  <r>
    <n v="847"/>
    <x v="663"/>
    <x v="3"/>
    <n v="120"/>
    <n v="95"/>
    <s v="1 kg"/>
    <x v="4"/>
  </r>
  <r>
    <n v="848"/>
    <x v="663"/>
    <x v="3"/>
    <n v="65"/>
    <n v="50"/>
    <s v="500 gm"/>
    <x v="4"/>
  </r>
  <r>
    <n v="849"/>
    <x v="664"/>
    <x v="73"/>
    <n v="25"/>
    <n v="13"/>
    <s v="1 kg"/>
    <x v="4"/>
  </r>
  <r>
    <n v="850"/>
    <x v="665"/>
    <x v="2"/>
    <n v="99"/>
    <n v="49"/>
    <s v="1 kg"/>
    <x v="4"/>
  </r>
  <r>
    <n v="851"/>
    <x v="666"/>
    <x v="3"/>
    <n v="60"/>
    <n v="49"/>
    <s v="1 kg"/>
    <x v="4"/>
  </r>
  <r>
    <n v="852"/>
    <x v="667"/>
    <x v="2"/>
    <n v="34"/>
    <n v="28"/>
    <s v="200 gm"/>
    <x v="13"/>
  </r>
  <r>
    <n v="853"/>
    <x v="668"/>
    <x v="0"/>
    <n v="39"/>
    <n v="35"/>
    <s v="50 gm"/>
    <x v="14"/>
  </r>
  <r>
    <n v="854"/>
    <x v="669"/>
    <x v="0"/>
    <n v="28"/>
    <n v="19"/>
    <s v="100 gm"/>
    <x v="15"/>
  </r>
  <r>
    <n v="855"/>
    <x v="670"/>
    <x v="2"/>
    <n v="193"/>
    <n v="148"/>
    <s v="200 gm"/>
    <x v="15"/>
  </r>
  <r>
    <n v="856"/>
    <x v="671"/>
    <x v="2"/>
    <n v="18"/>
    <n v="13"/>
    <s v="200 gm"/>
    <x v="4"/>
  </r>
  <r>
    <n v="857"/>
    <x v="672"/>
    <x v="123"/>
    <n v="100"/>
    <n v="50"/>
    <s v="1 kg"/>
    <x v="15"/>
  </r>
  <r>
    <n v="858"/>
    <x v="673"/>
    <x v="2"/>
    <n v="510"/>
    <n v="315"/>
    <s v="5 kg"/>
    <x v="16"/>
  </r>
  <r>
    <n v="859"/>
    <x v="674"/>
    <x v="64"/>
    <n v="255"/>
    <n v="245"/>
    <s v="500 gm"/>
    <x v="17"/>
  </r>
  <r>
    <n v="860"/>
    <x v="674"/>
    <x v="64"/>
    <n v="52"/>
    <n v="48"/>
    <s v="100 gm"/>
    <x v="17"/>
  </r>
  <r>
    <n v="861"/>
    <x v="674"/>
    <x v="64"/>
    <n v="106"/>
    <n v="98"/>
    <s v="200 gm"/>
    <x v="17"/>
  </r>
  <r>
    <n v="862"/>
    <x v="675"/>
    <x v="124"/>
    <n v="140"/>
    <n v="130"/>
    <s v="250 gm"/>
    <x v="14"/>
  </r>
  <r>
    <n v="863"/>
    <x v="675"/>
    <x v="124"/>
    <n v="280"/>
    <n v="255"/>
    <s v="500 gm"/>
    <x v="14"/>
  </r>
  <r>
    <n v="864"/>
    <x v="675"/>
    <x v="124"/>
    <n v="550"/>
    <n v="480"/>
    <s v="1 kg"/>
    <x v="14"/>
  </r>
  <r>
    <n v="865"/>
    <x v="676"/>
    <x v="125"/>
    <n v="140"/>
    <n v="129"/>
    <s v="250 gm"/>
    <x v="14"/>
  </r>
  <r>
    <n v="866"/>
    <x v="676"/>
    <x v="125"/>
    <n v="280"/>
    <n v="225"/>
    <s v="500 gm"/>
    <x v="14"/>
  </r>
  <r>
    <n v="867"/>
    <x v="676"/>
    <x v="125"/>
    <n v="540"/>
    <n v="460"/>
    <s v="1 kg"/>
    <x v="14"/>
  </r>
  <r>
    <n v="868"/>
    <x v="677"/>
    <x v="126"/>
    <n v="570"/>
    <n v="375"/>
    <s v="1 kg"/>
    <x v="14"/>
  </r>
  <r>
    <n v="869"/>
    <x v="677"/>
    <x v="126"/>
    <n v="285"/>
    <n v="251"/>
    <s v="500 gm"/>
    <x v="14"/>
  </r>
  <r>
    <n v="870"/>
    <x v="677"/>
    <x v="126"/>
    <n v="145"/>
    <n v="133"/>
    <s v="250 gm"/>
    <x v="14"/>
  </r>
  <r>
    <n v="871"/>
    <x v="678"/>
    <x v="127"/>
    <n v="300"/>
    <n v="245"/>
    <s v="1.5 kg"/>
    <x v="14"/>
  </r>
  <r>
    <n v="872"/>
    <x v="678"/>
    <x v="127"/>
    <n v="240"/>
    <n v="209"/>
    <s v="1 kg"/>
    <x v="14"/>
  </r>
  <r>
    <n v="873"/>
    <x v="678"/>
    <x v="127"/>
    <n v="100"/>
    <n v="90"/>
    <s v="500 gm"/>
    <x v="14"/>
  </r>
  <r>
    <n v="874"/>
    <x v="678"/>
    <x v="127"/>
    <n v="50"/>
    <n v="46"/>
    <s v="250 gm"/>
    <x v="14"/>
  </r>
  <r>
    <n v="875"/>
    <x v="679"/>
    <x v="126"/>
    <n v="650"/>
    <n v="455"/>
    <s v="1 kg"/>
    <x v="14"/>
  </r>
  <r>
    <n v="876"/>
    <x v="679"/>
    <x v="126"/>
    <n v="330"/>
    <n v="270"/>
    <s v="500 gm"/>
    <x v="14"/>
  </r>
  <r>
    <n v="877"/>
    <x v="679"/>
    <x v="126"/>
    <n v="170"/>
    <n v="150"/>
    <s v="250 gm"/>
    <x v="14"/>
  </r>
  <r>
    <n v="878"/>
    <x v="680"/>
    <x v="128"/>
    <n v="550"/>
    <n v="429"/>
    <s v="1 kg"/>
    <x v="14"/>
  </r>
  <r>
    <n v="879"/>
    <x v="680"/>
    <x v="128"/>
    <n v="280"/>
    <n v="245"/>
    <s v="500 gm"/>
    <x v="14"/>
  </r>
  <r>
    <n v="880"/>
    <x v="680"/>
    <x v="128"/>
    <n v="140"/>
    <n v="125"/>
    <s v="250 gm"/>
    <x v="14"/>
  </r>
  <r>
    <n v="881"/>
    <x v="681"/>
    <x v="127"/>
    <n v="140"/>
    <n v="125"/>
    <s v="250 gm"/>
    <x v="14"/>
  </r>
  <r>
    <n v="882"/>
    <x v="681"/>
    <x v="127"/>
    <n v="280"/>
    <n v="227"/>
    <s v="500 gm"/>
    <x v="14"/>
  </r>
  <r>
    <n v="883"/>
    <x v="681"/>
    <x v="127"/>
    <n v="550"/>
    <n v="389"/>
    <s v="1 kg"/>
    <x v="14"/>
  </r>
  <r>
    <n v="884"/>
    <x v="682"/>
    <x v="129"/>
    <n v="220"/>
    <n v="204"/>
    <s v="250 gm"/>
    <x v="14"/>
  </r>
  <r>
    <n v="885"/>
    <x v="682"/>
    <x v="129"/>
    <n v="410"/>
    <n v="335"/>
    <s v="500 gm"/>
    <x v="14"/>
  </r>
  <r>
    <n v="886"/>
    <x v="683"/>
    <x v="127"/>
    <n v="145"/>
    <n v="132"/>
    <s v="250 gm"/>
    <x v="14"/>
  </r>
  <r>
    <n v="887"/>
    <x v="683"/>
    <x v="127"/>
    <n v="315"/>
    <n v="249"/>
    <s v="500 gm"/>
    <x v="14"/>
  </r>
  <r>
    <n v="888"/>
    <x v="683"/>
    <x v="127"/>
    <n v="620"/>
    <n v="448"/>
    <s v="1 kg"/>
    <x v="14"/>
  </r>
  <r>
    <n v="889"/>
    <x v="684"/>
    <x v="124"/>
    <n v="67"/>
    <n v="58"/>
    <s v="100 gm"/>
    <x v="14"/>
  </r>
  <r>
    <n v="890"/>
    <x v="684"/>
    <x v="124"/>
    <n v="640"/>
    <n v="570"/>
    <s v="1 kg"/>
    <x v="14"/>
  </r>
  <r>
    <n v="891"/>
    <x v="685"/>
    <x v="125"/>
    <n v="240"/>
    <n v="190"/>
    <s v="1 kg"/>
    <x v="14"/>
  </r>
  <r>
    <n v="892"/>
    <x v="686"/>
    <x v="130"/>
    <n v="240"/>
    <n v="160"/>
    <s v="500 gm"/>
    <x v="17"/>
  </r>
  <r>
    <n v="893"/>
    <x v="687"/>
    <x v="131"/>
    <n v="165"/>
    <n v="148"/>
    <s v="25 Bags"/>
    <x v="14"/>
  </r>
  <r>
    <n v="894"/>
    <x v="687"/>
    <x v="131"/>
    <n v="600"/>
    <n v="299"/>
    <s v="100 Bags"/>
    <x v="14"/>
  </r>
  <r>
    <n v="895"/>
    <x v="688"/>
    <x v="2"/>
    <n v="230"/>
    <n v="200"/>
    <s v="1 kg"/>
    <x v="14"/>
  </r>
  <r>
    <n v="896"/>
    <x v="689"/>
    <x v="67"/>
    <n v="255"/>
    <n v="216"/>
    <s v="500 gm"/>
    <x v="17"/>
  </r>
  <r>
    <n v="897"/>
    <x v="690"/>
    <x v="132"/>
    <n v="114"/>
    <n v="91"/>
    <s v="500 gm"/>
    <x v="17"/>
  </r>
  <r>
    <n v="898"/>
    <x v="691"/>
    <x v="127"/>
    <n v="320"/>
    <n v="249"/>
    <s v="500 gm"/>
    <x v="14"/>
  </r>
  <r>
    <n v="899"/>
    <x v="692"/>
    <x v="133"/>
    <n v="165"/>
    <n v="140"/>
    <s v="25 Bags"/>
    <x v="14"/>
  </r>
  <r>
    <n v="900"/>
    <x v="692"/>
    <x v="133"/>
    <n v="600"/>
    <n v="499"/>
    <s v="100 Bags"/>
    <x v="14"/>
  </r>
  <r>
    <n v="901"/>
    <x v="693"/>
    <x v="124"/>
    <n v="330"/>
    <n v="300"/>
    <s v="500 gm"/>
    <x v="14"/>
  </r>
  <r>
    <n v="902"/>
    <x v="694"/>
    <x v="64"/>
    <n v="53"/>
    <n v="50"/>
    <s v="100 gm"/>
    <x v="17"/>
  </r>
  <r>
    <n v="903"/>
    <x v="695"/>
    <x v="127"/>
    <n v="140"/>
    <n v="120"/>
    <s v="250 gm"/>
    <x v="14"/>
  </r>
  <r>
    <n v="904"/>
    <x v="696"/>
    <x v="128"/>
    <n v="100"/>
    <n v="90"/>
    <s v="10 Bags"/>
    <x v="14"/>
  </r>
  <r>
    <n v="905"/>
    <x v="696"/>
    <x v="128"/>
    <n v="490"/>
    <n v="420"/>
    <s v="50 Bags"/>
    <x v="14"/>
  </r>
  <r>
    <n v="906"/>
    <x v="697"/>
    <x v="64"/>
    <n v="61"/>
    <n v="57"/>
    <s v="100 gm"/>
    <x v="17"/>
  </r>
  <r>
    <n v="907"/>
    <x v="698"/>
    <x v="126"/>
    <n v="210"/>
    <n v="185"/>
    <s v="100 Bags"/>
    <x v="14"/>
  </r>
  <r>
    <n v="908"/>
    <x v="699"/>
    <x v="130"/>
    <n v="230"/>
    <n v="160"/>
    <s v="500 gm"/>
    <x v="17"/>
  </r>
  <r>
    <n v="909"/>
    <x v="700"/>
    <x v="128"/>
    <n v="400"/>
    <n v="299"/>
    <s v="1 kg"/>
    <x v="14"/>
  </r>
  <r>
    <n v="910"/>
    <x v="701"/>
    <x v="133"/>
    <n v="165"/>
    <n v="140"/>
    <s v="25 Bags"/>
    <x v="14"/>
  </r>
  <r>
    <n v="911"/>
    <x v="701"/>
    <x v="133"/>
    <n v="600"/>
    <n v="500"/>
    <s v="100 Bags"/>
    <x v="14"/>
  </r>
  <r>
    <n v="912"/>
    <x v="702"/>
    <x v="134"/>
    <n v="405"/>
    <n v="202"/>
    <s v="1 kg"/>
    <x v="14"/>
  </r>
  <r>
    <n v="913"/>
    <x v="703"/>
    <x v="128"/>
    <n v="150"/>
    <n v="125"/>
    <s v="140 gm"/>
    <x v="14"/>
  </r>
  <r>
    <n v="914"/>
    <x v="704"/>
    <x v="133"/>
    <n v="350"/>
    <n v="315"/>
    <s v="250 gm"/>
    <x v="14"/>
  </r>
  <r>
    <n v="915"/>
    <x v="705"/>
    <x v="64"/>
    <n v="205"/>
    <n v="191"/>
    <s v="500 gm"/>
    <x v="17"/>
  </r>
  <r>
    <n v="916"/>
    <x v="706"/>
    <x v="128"/>
    <n v="150"/>
    <n v="125"/>
    <s v="140 gm"/>
    <x v="14"/>
  </r>
  <r>
    <n v="917"/>
    <x v="707"/>
    <x v="131"/>
    <n v="165"/>
    <n v="145"/>
    <s v="25 Bags"/>
    <x v="14"/>
  </r>
  <r>
    <n v="918"/>
    <x v="708"/>
    <x v="135"/>
    <n v="130"/>
    <n v="69"/>
    <s v="25 Bags"/>
    <x v="14"/>
  </r>
  <r>
    <n v="919"/>
    <x v="709"/>
    <x v="136"/>
    <n v="305"/>
    <n v="274"/>
    <s v="500 gm"/>
    <x v="17"/>
  </r>
  <r>
    <n v="920"/>
    <x v="710"/>
    <x v="64"/>
    <n v="53"/>
    <n v="50"/>
    <s v="100 gm"/>
    <x v="17"/>
  </r>
  <r>
    <n v="921"/>
    <x v="711"/>
    <x v="133"/>
    <n v="165"/>
    <n v="145"/>
    <s v="25 Bags"/>
    <x v="14"/>
  </r>
  <r>
    <n v="922"/>
    <x v="712"/>
    <x v="131"/>
    <n v="350"/>
    <n v="325"/>
    <s v="250 gm"/>
    <x v="14"/>
  </r>
  <r>
    <n v="923"/>
    <x v="713"/>
    <x v="125"/>
    <n v="150"/>
    <n v="120"/>
    <s v="25 Bags"/>
    <x v="14"/>
  </r>
  <r>
    <n v="924"/>
    <x v="714"/>
    <x v="76"/>
    <n v="194"/>
    <n v="157"/>
    <s v="25 Bags"/>
    <x v="14"/>
  </r>
  <r>
    <n v="925"/>
    <x v="715"/>
    <x v="125"/>
    <n v="160"/>
    <n v="120"/>
    <s v="168 gm"/>
    <x v="14"/>
  </r>
  <r>
    <n v="926"/>
    <x v="716"/>
    <x v="137"/>
    <n v="198"/>
    <n v="99"/>
    <s v="250 gm"/>
    <x v="14"/>
  </r>
  <r>
    <n v="927"/>
    <x v="717"/>
    <x v="136"/>
    <n v="305"/>
    <n v="260"/>
    <s v="500 gm"/>
    <x v="17"/>
  </r>
  <r>
    <n v="928"/>
    <x v="718"/>
    <x v="125"/>
    <n v="165"/>
    <n v="82"/>
    <s v="25 Bags"/>
    <x v="14"/>
  </r>
  <r>
    <n v="929"/>
    <x v="719"/>
    <x v="125"/>
    <n v="150"/>
    <n v="115"/>
    <s v="140 gm"/>
    <x v="14"/>
  </r>
  <r>
    <n v="930"/>
    <x v="720"/>
    <x v="135"/>
    <n v="130"/>
    <n v="69"/>
    <s v="25 Bags"/>
    <x v="14"/>
  </r>
  <r>
    <n v="931"/>
    <x v="721"/>
    <x v="125"/>
    <n v="140"/>
    <n v="105"/>
    <s v="140 gm"/>
    <x v="14"/>
  </r>
  <r>
    <n v="932"/>
    <x v="722"/>
    <x v="125"/>
    <n v="150"/>
    <n v="75"/>
    <s v="25 Bags"/>
    <x v="14"/>
  </r>
  <r>
    <n v="933"/>
    <x v="723"/>
    <x v="125"/>
    <n v="150"/>
    <n v="120"/>
    <s v="25 Bags"/>
    <x v="14"/>
  </r>
  <r>
    <n v="934"/>
    <x v="724"/>
    <x v="124"/>
    <n v="100"/>
    <n v="75"/>
    <s v="50 gm"/>
    <x v="14"/>
  </r>
  <r>
    <n v="935"/>
    <x v="725"/>
    <x v="138"/>
    <n v="299"/>
    <n v="149"/>
    <s v="16 Bags"/>
    <x v="14"/>
  </r>
  <r>
    <n v="936"/>
    <x v="726"/>
    <x v="138"/>
    <n v="349"/>
    <n v="174"/>
    <s v="16 Bags"/>
    <x v="14"/>
  </r>
  <r>
    <n v="937"/>
    <x v="727"/>
    <x v="139"/>
    <n v="299"/>
    <n v="260"/>
    <s v="25 Bags"/>
    <x v="10"/>
  </r>
  <r>
    <n v="938"/>
    <x v="728"/>
    <x v="139"/>
    <n v="314"/>
    <n v="260"/>
    <s v="25 Bags"/>
    <x v="10"/>
  </r>
  <r>
    <n v="939"/>
    <x v="729"/>
    <x v="139"/>
    <n v="314"/>
    <n v="275"/>
    <s v="25 Bags"/>
    <x v="10"/>
  </r>
  <r>
    <n v="940"/>
    <x v="730"/>
    <x v="124"/>
    <n v="590"/>
    <n v="520"/>
    <s v="1 kg"/>
    <x v="14"/>
  </r>
  <r>
    <n v="941"/>
    <x v="731"/>
    <x v="124"/>
    <n v="170"/>
    <n v="153"/>
    <s v="250 gm"/>
    <x v="14"/>
  </r>
  <r>
    <n v="942"/>
    <x v="732"/>
    <x v="64"/>
    <n v="15"/>
    <n v="15"/>
    <s v="200 ml"/>
    <x v="17"/>
  </r>
  <r>
    <n v="943"/>
    <x v="732"/>
    <x v="64"/>
    <n v="68"/>
    <n v="64"/>
    <s v="1 L"/>
    <x v="17"/>
  </r>
  <r>
    <n v="944"/>
    <x v="733"/>
    <x v="140"/>
    <n v="67"/>
    <n v="60"/>
    <s v="1 L"/>
    <x v="17"/>
  </r>
  <r>
    <n v="945"/>
    <x v="734"/>
    <x v="64"/>
    <n v="74"/>
    <n v="71"/>
    <s v="1 L"/>
    <x v="17"/>
  </r>
  <r>
    <n v="946"/>
    <x v="735"/>
    <x v="141"/>
    <n v="68"/>
    <n v="60"/>
    <s v="1 L"/>
    <x v="17"/>
  </r>
  <r>
    <n v="947"/>
    <x v="736"/>
    <x v="64"/>
    <n v="75"/>
    <n v="65"/>
    <s v="1 L"/>
    <x v="17"/>
  </r>
  <r>
    <n v="948"/>
    <x v="737"/>
    <x v="142"/>
    <n v="89"/>
    <n v="82"/>
    <s v="1 L"/>
    <x v="17"/>
  </r>
  <r>
    <n v="949"/>
    <x v="738"/>
    <x v="64"/>
    <n v="22"/>
    <n v="20"/>
    <s v="180 ml"/>
    <x v="17"/>
  </r>
  <r>
    <n v="950"/>
    <x v="739"/>
    <x v="64"/>
    <n v="22"/>
    <n v="20"/>
    <s v="180 ml"/>
    <x v="17"/>
  </r>
  <r>
    <n v="951"/>
    <x v="740"/>
    <x v="64"/>
    <n v="25"/>
    <n v="23"/>
    <s v="200 ml"/>
    <x v="17"/>
  </r>
  <r>
    <n v="952"/>
    <x v="741"/>
    <x v="64"/>
    <n v="22"/>
    <n v="20"/>
    <s v="180 ml"/>
    <x v="17"/>
  </r>
  <r>
    <n v="953"/>
    <x v="742"/>
    <x v="143"/>
    <n v="195"/>
    <n v="97"/>
    <s v="1 L"/>
    <x v="17"/>
  </r>
  <r>
    <n v="954"/>
    <x v="743"/>
    <x v="144"/>
    <n v="199"/>
    <n v="99"/>
    <s v="1 L"/>
    <x v="17"/>
  </r>
  <r>
    <n v="955"/>
    <x v="744"/>
    <x v="64"/>
    <n v="22"/>
    <n v="20"/>
    <s v="180 ml"/>
    <x v="17"/>
  </r>
  <r>
    <n v="956"/>
    <x v="745"/>
    <x v="64"/>
    <n v="25"/>
    <n v="23"/>
    <s v="200 ml"/>
    <x v="17"/>
  </r>
  <r>
    <n v="957"/>
    <x v="746"/>
    <x v="144"/>
    <n v="199"/>
    <n v="99"/>
    <s v="1 L"/>
    <x v="17"/>
  </r>
  <r>
    <n v="958"/>
    <x v="747"/>
    <x v="143"/>
    <n v="195"/>
    <n v="97"/>
    <s v="1 L"/>
    <x v="17"/>
  </r>
  <r>
    <n v="959"/>
    <x v="748"/>
    <x v="145"/>
    <n v="145"/>
    <n v="125"/>
    <s v="1 L"/>
    <x v="17"/>
  </r>
  <r>
    <n v="960"/>
    <x v="749"/>
    <x v="146"/>
    <n v="325"/>
    <n v="255"/>
    <s v="1 L"/>
    <x v="17"/>
  </r>
  <r>
    <n v="961"/>
    <x v="750"/>
    <x v="145"/>
    <n v="145"/>
    <n v="125"/>
    <s v="1 L"/>
    <x v="17"/>
  </r>
  <r>
    <n v="962"/>
    <x v="751"/>
    <x v="133"/>
    <n v="165"/>
    <n v="148"/>
    <s v="25 Bags"/>
    <x v="14"/>
  </r>
  <r>
    <n v="963"/>
    <x v="732"/>
    <x v="64"/>
    <n v="816"/>
    <n v="780"/>
    <s v="1 L x 12 U"/>
    <x v="17"/>
  </r>
  <r>
    <n v="964"/>
    <x v="752"/>
    <x v="145"/>
    <n v="145"/>
    <n v="127"/>
    <s v="1 L"/>
    <x v="17"/>
  </r>
  <r>
    <n v="965"/>
    <x v="753"/>
    <x v="2"/>
    <n v="130"/>
    <n v="65"/>
    <s v="25 Bags"/>
    <x v="14"/>
  </r>
  <r>
    <n v="966"/>
    <x v="754"/>
    <x v="147"/>
    <n v="25"/>
    <n v="23"/>
    <s v="200 ml"/>
    <x v="17"/>
  </r>
  <r>
    <n v="967"/>
    <x v="755"/>
    <x v="64"/>
    <n v="190"/>
    <n v="178"/>
    <s v="1 L"/>
    <x v="17"/>
  </r>
  <r>
    <n v="968"/>
    <x v="756"/>
    <x v="137"/>
    <n v="250"/>
    <n v="125"/>
    <s v="25 Bags"/>
    <x v="14"/>
  </r>
  <r>
    <n v="969"/>
    <x v="757"/>
    <x v="145"/>
    <n v="145"/>
    <n v="130"/>
    <s v="1 L"/>
    <x v="17"/>
  </r>
  <r>
    <n v="970"/>
    <x v="758"/>
    <x v="147"/>
    <n v="30"/>
    <n v="27"/>
    <s v="200 ml"/>
    <x v="17"/>
  </r>
  <r>
    <n v="971"/>
    <x v="759"/>
    <x v="64"/>
    <n v="122"/>
    <n v="113"/>
    <s v="200 gm"/>
    <x v="17"/>
  </r>
  <r>
    <n v="972"/>
    <x v="759"/>
    <x v="64"/>
    <n v="280"/>
    <n v="262"/>
    <s v="500 gm"/>
    <x v="17"/>
  </r>
  <r>
    <n v="973"/>
    <x v="759"/>
    <x v="64"/>
    <n v="545"/>
    <n v="510"/>
    <s v="1 kg"/>
    <x v="17"/>
  </r>
  <r>
    <n v="974"/>
    <x v="760"/>
    <x v="64"/>
    <n v="490"/>
    <n v="455"/>
    <s v="1 kg"/>
    <x v="17"/>
  </r>
  <r>
    <n v="975"/>
    <x v="761"/>
    <x v="65"/>
    <n v="430"/>
    <n v="215"/>
    <s v="476 gm"/>
    <x v="17"/>
  </r>
  <r>
    <n v="976"/>
    <x v="762"/>
    <x v="64"/>
    <n v="114"/>
    <n v="107"/>
    <s v="200 gm"/>
    <x v="17"/>
  </r>
  <r>
    <n v="977"/>
    <x v="762"/>
    <x v="64"/>
    <n v="265"/>
    <n v="248"/>
    <s v="500 gm"/>
    <x v="17"/>
  </r>
  <r>
    <n v="978"/>
    <x v="763"/>
    <x v="64"/>
    <n v="75"/>
    <n v="70"/>
    <s v="100 gm"/>
    <x v="17"/>
  </r>
  <r>
    <n v="979"/>
    <x v="763"/>
    <x v="64"/>
    <n v="130"/>
    <n v="122"/>
    <s v="200 gm"/>
    <x v="17"/>
  </r>
  <r>
    <n v="980"/>
    <x v="763"/>
    <x v="64"/>
    <n v="248"/>
    <n v="235"/>
    <s v="400 gm"/>
    <x v="17"/>
  </r>
  <r>
    <n v="981"/>
    <x v="763"/>
    <x v="64"/>
    <n v="390"/>
    <n v="362"/>
    <s v="750 gm"/>
    <x v="17"/>
  </r>
  <r>
    <n v="982"/>
    <x v="764"/>
    <x v="148"/>
    <n v="400"/>
    <n v="268"/>
    <s v="400 gm"/>
    <x v="17"/>
  </r>
  <r>
    <n v="983"/>
    <x v="764"/>
    <x v="148"/>
    <n v="600"/>
    <n v="375"/>
    <s v="663 gm"/>
    <x v="17"/>
  </r>
  <r>
    <n v="984"/>
    <x v="764"/>
    <x v="148"/>
    <n v="165"/>
    <n v="130"/>
    <s v="200 gm"/>
    <x v="17"/>
  </r>
  <r>
    <n v="985"/>
    <x v="765"/>
    <x v="64"/>
    <n v="486"/>
    <n v="451"/>
    <s v="1 kg"/>
    <x v="17"/>
  </r>
  <r>
    <n v="986"/>
    <x v="766"/>
    <x v="64"/>
    <n v="113"/>
    <n v="105"/>
    <s v="200 gm"/>
    <x v="17"/>
  </r>
  <r>
    <n v="987"/>
    <x v="767"/>
    <x v="65"/>
    <n v="260"/>
    <n v="240"/>
    <s v="400 gm"/>
    <x v="17"/>
  </r>
  <r>
    <n v="988"/>
    <x v="767"/>
    <x v="65"/>
    <n v="499"/>
    <n v="449"/>
    <s v="1 kg"/>
    <x v="17"/>
  </r>
  <r>
    <n v="989"/>
    <x v="768"/>
    <x v="64"/>
    <n v="94"/>
    <n v="89"/>
    <s v="200 gm"/>
    <x v="17"/>
  </r>
  <r>
    <n v="990"/>
    <x v="769"/>
    <x v="148"/>
    <n v="300"/>
    <n v="225"/>
    <s v="400 gm"/>
    <x v="17"/>
  </r>
  <r>
    <n v="991"/>
    <x v="770"/>
    <x v="148"/>
    <n v="155"/>
    <n v="124"/>
    <s v="200 gm"/>
    <x v="17"/>
  </r>
  <r>
    <n v="992"/>
    <x v="770"/>
    <x v="148"/>
    <n v="450"/>
    <n v="375"/>
    <s v="600 gm"/>
    <x v="17"/>
  </r>
  <r>
    <n v="993"/>
    <x v="771"/>
    <x v="148"/>
    <n v="160"/>
    <n v="148"/>
    <s v="200 gm"/>
    <x v="17"/>
  </r>
  <r>
    <n v="994"/>
    <x v="771"/>
    <x v="148"/>
    <n v="300"/>
    <n v="226"/>
    <s v="400 gm"/>
    <x v="17"/>
  </r>
  <r>
    <n v="995"/>
    <x v="772"/>
    <x v="131"/>
    <n v="600"/>
    <n v="300"/>
    <s v="100 Bags"/>
    <x v="14"/>
  </r>
  <r>
    <n v="996"/>
    <x v="773"/>
    <x v="64"/>
    <n v="500"/>
    <n v="465"/>
    <s v="1 kg"/>
    <x v="17"/>
  </r>
  <r>
    <n v="997"/>
    <x v="774"/>
    <x v="149"/>
    <n v="310"/>
    <n v="155"/>
    <s v="400 gm"/>
    <x v="17"/>
  </r>
  <r>
    <n v="998"/>
    <x v="774"/>
    <x v="149"/>
    <n v="160"/>
    <n v="99"/>
    <s v="200 gm"/>
    <x v="17"/>
  </r>
  <r>
    <n v="999"/>
    <x v="775"/>
    <x v="64"/>
    <n v="495"/>
    <n v="455"/>
    <s v="1 kg"/>
    <x v="17"/>
  </r>
  <r>
    <n v="1000"/>
    <x v="776"/>
    <x v="150"/>
    <n v="155"/>
    <n v="120"/>
    <s v="200 gm"/>
    <x v="17"/>
  </r>
  <r>
    <n v="1001"/>
    <x v="777"/>
    <x v="131"/>
    <n v="600"/>
    <n v="300"/>
    <s v="100 Bags"/>
    <x v="14"/>
  </r>
  <r>
    <n v="1002"/>
    <x v="778"/>
    <x v="149"/>
    <n v="305"/>
    <n v="244"/>
    <s v="500 gm"/>
    <x v="17"/>
  </r>
  <r>
    <n v="1003"/>
    <x v="779"/>
    <x v="149"/>
    <n v="155"/>
    <n v="119"/>
    <s v="200 gm"/>
    <x v="17"/>
  </r>
  <r>
    <n v="1004"/>
    <x v="780"/>
    <x v="67"/>
    <n v="125"/>
    <n v="115"/>
    <s v="180 gm"/>
    <x v="17"/>
  </r>
  <r>
    <n v="1005"/>
    <x v="781"/>
    <x v="67"/>
    <n v="135"/>
    <n v="120"/>
    <s v="200 gm"/>
    <x v="17"/>
  </r>
  <r>
    <n v="1006"/>
    <x v="782"/>
    <x v="64"/>
    <n v="113"/>
    <n v="106"/>
    <s v="200 gm"/>
    <x v="17"/>
  </r>
  <r>
    <n v="1007"/>
    <x v="783"/>
    <x v="149"/>
    <n v="330"/>
    <n v="264"/>
    <s v="400 gm"/>
    <x v="17"/>
  </r>
  <r>
    <n v="1008"/>
    <x v="783"/>
    <x v="149"/>
    <n v="175"/>
    <n v="149"/>
    <s v="150 gm"/>
    <x v="17"/>
  </r>
  <r>
    <n v="1009"/>
    <x v="784"/>
    <x v="149"/>
    <n v="155"/>
    <n v="124"/>
    <s v="200 gm"/>
    <x v="17"/>
  </r>
  <r>
    <n v="1010"/>
    <x v="785"/>
    <x v="149"/>
    <n v="105"/>
    <n v="84"/>
    <s v="100 gm"/>
    <x v="17"/>
  </r>
  <r>
    <n v="1011"/>
    <x v="786"/>
    <x v="150"/>
    <n v="150"/>
    <n v="113"/>
    <s v="200 gm"/>
    <x v="17"/>
  </r>
  <r>
    <n v="1012"/>
    <x v="787"/>
    <x v="149"/>
    <n v="120"/>
    <n v="96"/>
    <s v="180 gm"/>
    <x v="17"/>
  </r>
  <r>
    <n v="1013"/>
    <x v="788"/>
    <x v="149"/>
    <n v="199"/>
    <n v="159"/>
    <s v="200 gm"/>
    <x v="17"/>
  </r>
  <r>
    <n v="1014"/>
    <x v="789"/>
    <x v="64"/>
    <n v="108"/>
    <n v="100"/>
    <s v="200 gm"/>
    <x v="17"/>
  </r>
  <r>
    <n v="1015"/>
    <x v="790"/>
    <x v="149"/>
    <n v="105"/>
    <n v="84"/>
    <s v="140 gm"/>
    <x v="17"/>
  </r>
  <r>
    <n v="1016"/>
    <x v="791"/>
    <x v="150"/>
    <n v="100"/>
    <n v="80"/>
    <s v="160 gm"/>
    <x v="17"/>
  </r>
  <r>
    <n v="1017"/>
    <x v="792"/>
    <x v="149"/>
    <n v="199"/>
    <n v="159"/>
    <s v="200 gm"/>
    <x v="17"/>
  </r>
  <r>
    <n v="1018"/>
    <x v="793"/>
    <x v="125"/>
    <n v="225"/>
    <n v="180"/>
    <s v="25 Bags"/>
    <x v="14"/>
  </r>
  <r>
    <n v="1019"/>
    <x v="794"/>
    <x v="151"/>
    <n v="168"/>
    <n v="135"/>
    <s v="25 Bags"/>
    <x v="14"/>
  </r>
  <r>
    <n v="1020"/>
    <x v="795"/>
    <x v="139"/>
    <n v="299"/>
    <n v="254"/>
    <s v="25 Bags"/>
    <x v="10"/>
  </r>
  <r>
    <n v="1021"/>
    <x v="795"/>
    <x v="139"/>
    <n v="999"/>
    <n v="855"/>
    <s v="100 Bags"/>
    <x v="10"/>
  </r>
  <r>
    <n v="1022"/>
    <x v="727"/>
    <x v="139"/>
    <n v="955"/>
    <n v="820"/>
    <s v="100 Bags"/>
    <x v="10"/>
  </r>
  <r>
    <n v="1023"/>
    <x v="796"/>
    <x v="152"/>
    <n v="299"/>
    <n v="210"/>
    <s v="20 Bag"/>
    <x v="14"/>
  </r>
  <r>
    <n v="1024"/>
    <x v="797"/>
    <x v="152"/>
    <n v="249"/>
    <n v="175"/>
    <s v="20 Bag"/>
    <x v="14"/>
  </r>
  <r>
    <n v="1025"/>
    <x v="798"/>
    <x v="139"/>
    <n v="999"/>
    <n v="820"/>
    <s v="100 Bags"/>
    <x v="10"/>
  </r>
  <r>
    <n v="1026"/>
    <x v="799"/>
    <x v="153"/>
    <n v="249"/>
    <n v="175"/>
    <s v="20 Bag"/>
    <x v="14"/>
  </r>
  <r>
    <n v="1027"/>
    <x v="800"/>
    <x v="152"/>
    <n v="349"/>
    <n v="245"/>
    <s v="20 Bag"/>
    <x v="14"/>
  </r>
  <r>
    <n v="1028"/>
    <x v="801"/>
    <x v="152"/>
    <n v="249"/>
    <n v="175"/>
    <s v="20 Bag"/>
    <x v="14"/>
  </r>
  <r>
    <n v="1029"/>
    <x v="802"/>
    <x v="139"/>
    <n v="750"/>
    <n v="601"/>
    <s v="100 gm"/>
    <x v="10"/>
  </r>
  <r>
    <n v="1030"/>
    <x v="803"/>
    <x v="148"/>
    <n v="150"/>
    <n v="125"/>
    <s v="200 gm"/>
    <x v="17"/>
  </r>
  <r>
    <n v="1031"/>
    <x v="803"/>
    <x v="148"/>
    <n v="350"/>
    <n v="295"/>
    <s v="500 gm"/>
    <x v="17"/>
  </r>
  <r>
    <n v="1032"/>
    <x v="804"/>
    <x v="154"/>
    <n v="90"/>
    <n v="83"/>
    <s v="50 gm"/>
    <x v="14"/>
  </r>
  <r>
    <n v="1033"/>
    <x v="804"/>
    <x v="154"/>
    <n v="380"/>
    <n v="299"/>
    <s v="200 gm"/>
    <x v="14"/>
  </r>
  <r>
    <n v="1034"/>
    <x v="805"/>
    <x v="155"/>
    <n v="160"/>
    <n v="135"/>
    <s v="50 gm"/>
    <x v="14"/>
  </r>
  <r>
    <n v="1035"/>
    <x v="805"/>
    <x v="155"/>
    <n v="600"/>
    <n v="555"/>
    <s v="200 gm"/>
    <x v="14"/>
  </r>
  <r>
    <n v="1036"/>
    <x v="805"/>
    <x v="155"/>
    <n v="1320"/>
    <n v="1220"/>
    <s v="500 gm"/>
    <x v="14"/>
  </r>
  <r>
    <n v="1037"/>
    <x v="806"/>
    <x v="156"/>
    <n v="108"/>
    <n v="54"/>
    <s v="50 gm"/>
    <x v="14"/>
  </r>
  <r>
    <n v="1038"/>
    <x v="807"/>
    <x v="142"/>
    <n v="113"/>
    <n v="105"/>
    <s v="200 gm"/>
    <x v="17"/>
  </r>
  <r>
    <n v="1039"/>
    <x v="807"/>
    <x v="142"/>
    <n v="218"/>
    <n v="198"/>
    <s v="400 gm"/>
    <x v="17"/>
  </r>
  <r>
    <n v="1040"/>
    <x v="807"/>
    <x v="142"/>
    <n v="535"/>
    <n v="474"/>
    <s v="1 kg"/>
    <x v="17"/>
  </r>
  <r>
    <n v="1041"/>
    <x v="808"/>
    <x v="65"/>
    <n v="98"/>
    <n v="83"/>
    <s v="200 gm"/>
    <x v="17"/>
  </r>
  <r>
    <n v="1042"/>
    <x v="808"/>
    <x v="65"/>
    <n v="225"/>
    <n v="180"/>
    <s v="500 gm"/>
    <x v="17"/>
  </r>
  <r>
    <n v="1043"/>
    <x v="809"/>
    <x v="64"/>
    <n v="14"/>
    <n v="13"/>
    <s v="180 ml"/>
    <x v="17"/>
  </r>
  <r>
    <n v="1044"/>
    <x v="809"/>
    <x v="64"/>
    <n v="50"/>
    <n v="50"/>
    <s v="1 L"/>
    <x v="17"/>
  </r>
  <r>
    <n v="1045"/>
    <x v="810"/>
    <x v="155"/>
    <n v="95"/>
    <n v="85"/>
    <s v="50 gm"/>
    <x v="14"/>
  </r>
  <r>
    <n v="1046"/>
    <x v="810"/>
    <x v="155"/>
    <n v="380"/>
    <n v="342"/>
    <s v="200 gm"/>
    <x v="14"/>
  </r>
  <r>
    <n v="1047"/>
    <x v="811"/>
    <x v="64"/>
    <n v="362"/>
    <n v="330"/>
    <s v="2x500 gm"/>
    <x v="17"/>
  </r>
  <r>
    <n v="1048"/>
    <x v="811"/>
    <x v="64"/>
    <n v="80"/>
    <n v="70"/>
    <s v="200 gm"/>
    <x v="17"/>
  </r>
  <r>
    <n v="1049"/>
    <x v="812"/>
    <x v="155"/>
    <n v="330"/>
    <n v="275"/>
    <s v="95 gm"/>
    <x v="14"/>
  </r>
  <r>
    <n v="1050"/>
    <x v="812"/>
    <x v="155"/>
    <n v="170"/>
    <n v="155"/>
    <s v="48 gm"/>
    <x v="14"/>
  </r>
  <r>
    <n v="1051"/>
    <x v="812"/>
    <x v="155"/>
    <n v="80"/>
    <n v="74"/>
    <s v="25 gm"/>
    <x v="14"/>
  </r>
  <r>
    <n v="1052"/>
    <x v="813"/>
    <x v="64"/>
    <n v="65"/>
    <n v="61"/>
    <s v="250 ml"/>
    <x v="17"/>
  </r>
  <r>
    <n v="1053"/>
    <x v="813"/>
    <x v="64"/>
    <n v="205"/>
    <n v="193"/>
    <s v="1 L"/>
    <x v="17"/>
  </r>
  <r>
    <n v="1054"/>
    <x v="814"/>
    <x v="157"/>
    <n v="80"/>
    <n v="80"/>
    <s v="5x65 ml"/>
    <x v="17"/>
  </r>
  <r>
    <n v="1055"/>
    <x v="815"/>
    <x v="158"/>
    <n v="85"/>
    <n v="42"/>
    <s v="50 gm"/>
    <x v="14"/>
  </r>
  <r>
    <n v="1056"/>
    <x v="816"/>
    <x v="64"/>
    <n v="116"/>
    <n v="107"/>
    <s v="400 gm"/>
    <x v="17"/>
  </r>
  <r>
    <n v="1057"/>
    <x v="817"/>
    <x v="142"/>
    <n v="139"/>
    <n v="124"/>
    <s v="380 gm"/>
    <x v="17"/>
  </r>
  <r>
    <n v="1058"/>
    <x v="818"/>
    <x v="155"/>
    <n v="495"/>
    <n v="425"/>
    <s v="100 gm"/>
    <x v="14"/>
  </r>
  <r>
    <n v="1059"/>
    <x v="818"/>
    <x v="155"/>
    <n v="295"/>
    <n v="249"/>
    <s v="50 gm"/>
    <x v="14"/>
  </r>
  <r>
    <n v="1060"/>
    <x v="742"/>
    <x v="143"/>
    <n v="40"/>
    <n v="28"/>
    <s v="180 ml"/>
    <x v="17"/>
  </r>
  <r>
    <n v="1061"/>
    <x v="819"/>
    <x v="147"/>
    <n v="80"/>
    <n v="75"/>
    <s v="200 gm"/>
    <x v="17"/>
  </r>
  <r>
    <n v="1062"/>
    <x v="820"/>
    <x v="159"/>
    <n v="125"/>
    <n v="62"/>
    <s v="50 gm"/>
    <x v="14"/>
  </r>
  <r>
    <n v="1063"/>
    <x v="821"/>
    <x v="160"/>
    <n v="310"/>
    <n v="240"/>
    <s v="200 gm"/>
    <x v="14"/>
  </r>
  <r>
    <n v="1064"/>
    <x v="822"/>
    <x v="69"/>
    <n v="95"/>
    <n v="75"/>
    <s v="200 gm"/>
    <x v="17"/>
  </r>
  <r>
    <n v="1065"/>
    <x v="823"/>
    <x v="64"/>
    <n v="82"/>
    <n v="75"/>
    <s v="200 gm"/>
    <x v="17"/>
  </r>
  <r>
    <n v="1066"/>
    <x v="823"/>
    <x v="64"/>
    <n v="378"/>
    <n v="349"/>
    <s v="1 kg"/>
    <x v="17"/>
  </r>
  <r>
    <n v="1067"/>
    <x v="824"/>
    <x v="64"/>
    <n v="220"/>
    <n v="190"/>
    <s v="500 gm"/>
    <x v="17"/>
  </r>
  <r>
    <n v="1068"/>
    <x v="747"/>
    <x v="143"/>
    <n v="35"/>
    <n v="27"/>
    <s v="180 ml"/>
    <x v="17"/>
  </r>
  <r>
    <n v="1069"/>
    <x v="825"/>
    <x v="160"/>
    <n v="140"/>
    <n v="70"/>
    <s v="50 gm"/>
    <x v="14"/>
  </r>
  <r>
    <n v="1070"/>
    <x v="826"/>
    <x v="161"/>
    <n v="299"/>
    <n v="149"/>
    <s v="100 gm"/>
    <x v="10"/>
  </r>
  <r>
    <n v="1071"/>
    <x v="827"/>
    <x v="162"/>
    <n v="110"/>
    <n v="92"/>
    <s v="200 gm"/>
    <x v="17"/>
  </r>
  <r>
    <n v="1072"/>
    <x v="828"/>
    <x v="163"/>
    <n v="550"/>
    <n v="495"/>
    <s v="100 gm"/>
    <x v="14"/>
  </r>
  <r>
    <n v="1073"/>
    <x v="829"/>
    <x v="143"/>
    <n v="40"/>
    <n v="28"/>
    <s v="180 ml"/>
    <x v="17"/>
  </r>
  <r>
    <n v="1074"/>
    <x v="830"/>
    <x v="164"/>
    <n v="122"/>
    <n v="110"/>
    <s v="200 gm"/>
    <x v="14"/>
  </r>
  <r>
    <n v="1075"/>
    <x v="831"/>
    <x v="163"/>
    <n v="550"/>
    <n v="495"/>
    <s v="100 gm"/>
    <x v="14"/>
  </r>
  <r>
    <n v="1076"/>
    <x v="832"/>
    <x v="149"/>
    <n v="57"/>
    <n v="45"/>
    <s v="200 ml"/>
    <x v="17"/>
  </r>
  <r>
    <n v="1077"/>
    <x v="833"/>
    <x v="161"/>
    <n v="399"/>
    <n v="199"/>
    <s v="100 gm"/>
    <x v="10"/>
  </r>
  <r>
    <n v="1078"/>
    <x v="834"/>
    <x v="156"/>
    <n v="400"/>
    <n v="200"/>
    <s v="200 gm"/>
    <x v="14"/>
  </r>
  <r>
    <n v="1079"/>
    <x v="835"/>
    <x v="64"/>
    <n v="20"/>
    <n v="20"/>
    <s v="250 ml"/>
    <x v="17"/>
  </r>
  <r>
    <n v="1080"/>
    <x v="836"/>
    <x v="165"/>
    <n v="249"/>
    <n v="124"/>
    <s v="10 U"/>
    <x v="14"/>
  </r>
  <r>
    <n v="1081"/>
    <x v="837"/>
    <x v="64"/>
    <n v="70"/>
    <n v="70"/>
    <s v="1 L"/>
    <x v="17"/>
  </r>
  <r>
    <n v="1082"/>
    <x v="838"/>
    <x v="155"/>
    <n v="45"/>
    <n v="40"/>
    <s v="180 ml"/>
    <x v="14"/>
  </r>
  <r>
    <n v="1083"/>
    <x v="839"/>
    <x v="165"/>
    <n v="249"/>
    <n v="124"/>
    <s v="10 U"/>
    <x v="14"/>
  </r>
  <r>
    <n v="1084"/>
    <x v="840"/>
    <x v="155"/>
    <n v="45"/>
    <n v="40"/>
    <s v="180 ml"/>
    <x v="14"/>
  </r>
  <r>
    <n v="1085"/>
    <x v="841"/>
    <x v="155"/>
    <n v="65"/>
    <n v="58"/>
    <s v="180 ml"/>
    <x v="14"/>
  </r>
  <r>
    <n v="1086"/>
    <x v="842"/>
    <x v="165"/>
    <n v="249"/>
    <n v="124"/>
    <s v="10 U"/>
    <x v="14"/>
  </r>
  <r>
    <n v="1087"/>
    <x v="843"/>
    <x v="155"/>
    <n v="45"/>
    <n v="41"/>
    <s v="180 ml"/>
    <x v="14"/>
  </r>
  <r>
    <n v="1088"/>
    <x v="815"/>
    <x v="158"/>
    <n v="330"/>
    <n v="165"/>
    <s v="200 gm"/>
    <x v="14"/>
  </r>
  <r>
    <n v="1089"/>
    <x v="844"/>
    <x v="144"/>
    <n v="199"/>
    <n v="99"/>
    <s v="1 L"/>
    <x v="17"/>
  </r>
  <r>
    <n v="1090"/>
    <x v="845"/>
    <x v="157"/>
    <n v="95"/>
    <n v="95"/>
    <s v="5x65 ml"/>
    <x v="14"/>
  </r>
  <r>
    <n v="1091"/>
    <x v="846"/>
    <x v="161"/>
    <n v="399"/>
    <n v="199"/>
    <s v="100 gm"/>
    <x v="10"/>
  </r>
  <r>
    <n v="1092"/>
    <x v="847"/>
    <x v="155"/>
    <n v="65"/>
    <n v="59"/>
    <s v="180 ml"/>
    <x v="14"/>
  </r>
  <r>
    <n v="1093"/>
    <x v="848"/>
    <x v="165"/>
    <n v="249"/>
    <n v="124"/>
    <s v="10 U"/>
    <x v="14"/>
  </r>
  <r>
    <n v="1094"/>
    <x v="849"/>
    <x v="162"/>
    <n v="95"/>
    <n v="64"/>
    <s v="150 ml"/>
    <x v="14"/>
  </r>
  <r>
    <n v="1095"/>
    <x v="850"/>
    <x v="143"/>
    <n v="35"/>
    <n v="20"/>
    <s v="85 gm"/>
    <x v="17"/>
  </r>
  <r>
    <n v="1096"/>
    <x v="851"/>
    <x v="161"/>
    <n v="399"/>
    <n v="199"/>
    <s v="100 gm"/>
    <x v="10"/>
  </r>
  <r>
    <n v="1097"/>
    <x v="852"/>
    <x v="162"/>
    <n v="70"/>
    <n v="55"/>
    <s v="150 ml"/>
    <x v="14"/>
  </r>
  <r>
    <n v="1098"/>
    <x v="853"/>
    <x v="163"/>
    <n v="550"/>
    <n v="494"/>
    <s v="100 gm"/>
    <x v="14"/>
  </r>
  <r>
    <n v="1099"/>
    <x v="854"/>
    <x v="161"/>
    <n v="350"/>
    <n v="175"/>
    <s v="100 gm"/>
    <x v="10"/>
  </r>
  <r>
    <n v="1100"/>
    <x v="855"/>
    <x v="160"/>
    <n v="160"/>
    <n v="80"/>
    <s v="50 gm"/>
    <x v="14"/>
  </r>
  <r>
    <n v="1101"/>
    <x v="856"/>
    <x v="163"/>
    <n v="550"/>
    <n v="494"/>
    <s v="90 gm"/>
    <x v="14"/>
  </r>
  <r>
    <n v="1102"/>
    <x v="857"/>
    <x v="149"/>
    <n v="495"/>
    <n v="396"/>
    <s v="1 kg"/>
    <x v="17"/>
  </r>
  <r>
    <n v="1103"/>
    <x v="858"/>
    <x v="146"/>
    <n v="100"/>
    <n v="80"/>
    <s v="200 ml"/>
    <x v="14"/>
  </r>
  <r>
    <n v="1104"/>
    <x v="859"/>
    <x v="64"/>
    <n v="50"/>
    <n v="48"/>
    <s v="250 ml"/>
    <x v="17"/>
  </r>
  <r>
    <n v="1105"/>
    <x v="860"/>
    <x v="138"/>
    <n v="339"/>
    <n v="168"/>
    <s v="100 gm"/>
    <x v="14"/>
  </r>
  <r>
    <n v="1106"/>
    <x v="861"/>
    <x v="166"/>
    <n v="360"/>
    <n v="310"/>
    <s v="100 gm"/>
    <x v="14"/>
  </r>
  <r>
    <n v="1107"/>
    <x v="862"/>
    <x v="147"/>
    <n v="25"/>
    <n v="23"/>
    <s v="200 ml"/>
    <x v="17"/>
  </r>
  <r>
    <n v="1108"/>
    <x v="863"/>
    <x v="155"/>
    <n v="610"/>
    <n v="565"/>
    <s v="200 gm"/>
    <x v="14"/>
  </r>
  <r>
    <n v="1109"/>
    <x v="864"/>
    <x v="161"/>
    <n v="99"/>
    <n v="49"/>
    <s v="10 U"/>
    <x v="14"/>
  </r>
  <r>
    <n v="1110"/>
    <x v="865"/>
    <x v="167"/>
    <n v="320"/>
    <n v="239"/>
    <s v="750 gm"/>
    <x v="14"/>
  </r>
  <r>
    <n v="1111"/>
    <x v="865"/>
    <x v="167"/>
    <n v="214"/>
    <n v="185"/>
    <s v="500 gm"/>
    <x v="14"/>
  </r>
  <r>
    <n v="1112"/>
    <x v="865"/>
    <x v="167"/>
    <n v="30"/>
    <n v="27"/>
    <s v="75 gm"/>
    <x v="14"/>
  </r>
  <r>
    <n v="1113"/>
    <x v="865"/>
    <x v="167"/>
    <n v="395"/>
    <n v="306"/>
    <s v="1 kg"/>
    <x v="14"/>
  </r>
  <r>
    <n v="1114"/>
    <x v="866"/>
    <x v="168"/>
    <n v="590"/>
    <n v="535"/>
    <s v="400 gm"/>
    <x v="14"/>
  </r>
  <r>
    <n v="1115"/>
    <x v="866"/>
    <x v="168"/>
    <n v="1080"/>
    <n v="965"/>
    <s v="750 gm"/>
    <x v="14"/>
  </r>
  <r>
    <n v="1116"/>
    <x v="866"/>
    <x v="168"/>
    <n v="1375"/>
    <n v="1221"/>
    <s v="1 kg"/>
    <x v="14"/>
  </r>
  <r>
    <n v="1117"/>
    <x v="867"/>
    <x v="169"/>
    <n v="635"/>
    <n v="560"/>
    <s v="400 gm"/>
    <x v="14"/>
  </r>
  <r>
    <n v="1118"/>
    <x v="868"/>
    <x v="169"/>
    <n v="599"/>
    <n v="524"/>
    <s v="400 gm"/>
    <x v="14"/>
  </r>
  <r>
    <n v="1119"/>
    <x v="869"/>
    <x v="167"/>
    <n v="333"/>
    <n v="253"/>
    <s v="750 gm"/>
    <x v="14"/>
  </r>
  <r>
    <n v="1120"/>
    <x v="870"/>
    <x v="170"/>
    <n v="1080"/>
    <n v="852"/>
    <s v="750 gm"/>
    <x v="14"/>
  </r>
  <r>
    <n v="1121"/>
    <x v="871"/>
    <x v="171"/>
    <n v="425"/>
    <n v="310"/>
    <s v="1 kg"/>
    <x v="14"/>
  </r>
  <r>
    <n v="1122"/>
    <x v="871"/>
    <x v="171"/>
    <n v="339"/>
    <n v="224"/>
    <s v="750 gm"/>
    <x v="14"/>
  </r>
  <r>
    <n v="1123"/>
    <x v="872"/>
    <x v="64"/>
    <n v="175"/>
    <n v="135"/>
    <s v="500 gm"/>
    <x v="14"/>
  </r>
  <r>
    <n v="1124"/>
    <x v="873"/>
    <x v="167"/>
    <n v="420"/>
    <n v="385"/>
    <s v="1 kg"/>
    <x v="14"/>
  </r>
  <r>
    <n v="1125"/>
    <x v="874"/>
    <x v="171"/>
    <n v="260"/>
    <n v="235"/>
    <s v="500 gm"/>
    <x v="14"/>
  </r>
  <r>
    <n v="1126"/>
    <x v="874"/>
    <x v="171"/>
    <n v="379"/>
    <n v="338"/>
    <s v="750 gm"/>
    <x v="14"/>
  </r>
  <r>
    <n v="1127"/>
    <x v="874"/>
    <x v="171"/>
    <n v="490"/>
    <n v="439"/>
    <s v="1 kg"/>
    <x v="14"/>
  </r>
  <r>
    <n v="1128"/>
    <x v="875"/>
    <x v="172"/>
    <n v="540"/>
    <n v="399"/>
    <s v="1 kg"/>
    <x v="14"/>
  </r>
  <r>
    <n v="1129"/>
    <x v="875"/>
    <x v="172"/>
    <n v="289"/>
    <n v="250"/>
    <s v="500 gm"/>
    <x v="14"/>
  </r>
  <r>
    <n v="1130"/>
    <x v="876"/>
    <x v="169"/>
    <n v="599"/>
    <n v="505"/>
    <s v="400 gm"/>
    <x v="14"/>
  </r>
  <r>
    <n v="1131"/>
    <x v="877"/>
    <x v="168"/>
    <n v="1375"/>
    <n v="1275"/>
    <s v="1 kg"/>
    <x v="14"/>
  </r>
  <r>
    <n v="1132"/>
    <x v="878"/>
    <x v="171"/>
    <n v="325"/>
    <n v="265"/>
    <s v="400 gm"/>
    <x v="14"/>
  </r>
  <r>
    <n v="1133"/>
    <x v="879"/>
    <x v="171"/>
    <n v="325"/>
    <n v="270"/>
    <s v="400 gm"/>
    <x v="14"/>
  </r>
  <r>
    <n v="1134"/>
    <x v="880"/>
    <x v="173"/>
    <n v="219"/>
    <n v="203"/>
    <s v="500 gm"/>
    <x v="14"/>
  </r>
  <r>
    <n v="1135"/>
    <x v="881"/>
    <x v="148"/>
    <n v="75"/>
    <n v="39"/>
    <s v="400 gm"/>
    <x v="17"/>
  </r>
  <r>
    <n v="1136"/>
    <x v="882"/>
    <x v="64"/>
    <n v="42"/>
    <n v="39"/>
    <s v="400 gm"/>
    <x v="17"/>
  </r>
  <r>
    <n v="1137"/>
    <x v="883"/>
    <x v="174"/>
    <n v="180"/>
    <n v="162"/>
    <s v="200 gm"/>
    <x v="14"/>
  </r>
  <r>
    <n v="1138"/>
    <x v="884"/>
    <x v="162"/>
    <n v="78"/>
    <n v="58"/>
    <s v="400 gm"/>
    <x v="17"/>
  </r>
  <r>
    <n v="1139"/>
    <x v="885"/>
    <x v="168"/>
    <n v="590"/>
    <n v="545"/>
    <s v="400 gm"/>
    <x v="14"/>
  </r>
  <r>
    <n v="1140"/>
    <x v="885"/>
    <x v="168"/>
    <n v="1080"/>
    <n v="975"/>
    <s v="750 gm"/>
    <x v="14"/>
  </r>
  <r>
    <n v="1141"/>
    <x v="886"/>
    <x v="175"/>
    <n v="615"/>
    <n v="555"/>
    <s v="400 gm"/>
    <x v="14"/>
  </r>
  <r>
    <n v="1142"/>
    <x v="887"/>
    <x v="171"/>
    <n v="270"/>
    <n v="249"/>
    <s v="500 gm"/>
    <x v="14"/>
  </r>
  <r>
    <n v="1143"/>
    <x v="888"/>
    <x v="172"/>
    <n v="325"/>
    <n v="295"/>
    <s v="500 gm"/>
    <x v="14"/>
  </r>
  <r>
    <n v="1144"/>
    <x v="889"/>
    <x v="171"/>
    <n v="245"/>
    <n v="209"/>
    <s v="500 gm"/>
    <x v="14"/>
  </r>
  <r>
    <n v="1145"/>
    <x v="890"/>
    <x v="169"/>
    <n v="399"/>
    <n v="350"/>
    <s v="250 gm"/>
    <x v="14"/>
  </r>
  <r>
    <n v="1146"/>
    <x v="891"/>
    <x v="171"/>
    <n v="239"/>
    <n v="201"/>
    <s v="500 gm"/>
    <x v="14"/>
  </r>
  <r>
    <n v="1147"/>
    <x v="892"/>
    <x v="176"/>
    <n v="285"/>
    <n v="255"/>
    <s v="225 gm"/>
    <x v="14"/>
  </r>
  <r>
    <n v="1148"/>
    <x v="893"/>
    <x v="64"/>
    <n v="58"/>
    <n v="46"/>
    <s v="400 gm"/>
    <x v="17"/>
  </r>
  <r>
    <n v="1149"/>
    <x v="894"/>
    <x v="67"/>
    <n v="75"/>
    <n v="68"/>
    <s v="400 gm"/>
    <x v="17"/>
  </r>
  <r>
    <n v="1150"/>
    <x v="895"/>
    <x v="177"/>
    <n v="2300"/>
    <n v="1299"/>
    <s v="1 kg"/>
    <x v="14"/>
  </r>
  <r>
    <n v="1151"/>
    <x v="896"/>
    <x v="176"/>
    <n v="200"/>
    <n v="174"/>
    <s v="450 gm"/>
    <x v="14"/>
  </r>
  <r>
    <n v="1152"/>
    <x v="897"/>
    <x v="178"/>
    <n v="299"/>
    <n v="149"/>
    <s v="200 gm"/>
    <x v="14"/>
  </r>
  <r>
    <n v="1153"/>
    <x v="898"/>
    <x v="178"/>
    <n v="299"/>
    <n v="124"/>
    <s v="200 gm"/>
    <x v="14"/>
  </r>
  <r>
    <n v="1154"/>
    <x v="899"/>
    <x v="171"/>
    <n v="115"/>
    <n v="106"/>
    <s v="200 gm"/>
    <x v="14"/>
  </r>
  <r>
    <n v="1155"/>
    <x v="900"/>
    <x v="81"/>
    <n v="70"/>
    <n v="58"/>
    <s v="50 gm"/>
    <x v="14"/>
  </r>
  <r>
    <n v="1156"/>
    <x v="901"/>
    <x v="179"/>
    <n v="99"/>
    <n v="66"/>
    <s v="2.25 L"/>
    <x v="14"/>
  </r>
  <r>
    <n v="1157"/>
    <x v="902"/>
    <x v="180"/>
    <n v="38"/>
    <n v="33"/>
    <s v="600 ml"/>
    <x v="14"/>
  </r>
  <r>
    <n v="1158"/>
    <x v="902"/>
    <x v="180"/>
    <n v="90"/>
    <n v="59"/>
    <s v="1.75 L"/>
    <x v="14"/>
  </r>
  <r>
    <n v="1159"/>
    <x v="903"/>
    <x v="181"/>
    <n v="90"/>
    <n v="59"/>
    <s v="1.75 L"/>
    <x v="14"/>
  </r>
  <r>
    <n v="1160"/>
    <x v="903"/>
    <x v="181"/>
    <n v="38"/>
    <n v="33"/>
    <s v="600 ml"/>
    <x v="14"/>
  </r>
  <r>
    <n v="1161"/>
    <x v="904"/>
    <x v="180"/>
    <n v="160"/>
    <n v="145"/>
    <s v="8x250 ml"/>
    <x v="14"/>
  </r>
  <r>
    <n v="1162"/>
    <x v="903"/>
    <x v="181"/>
    <n v="160"/>
    <n v="135"/>
    <s v="8x250 ml"/>
    <x v="14"/>
  </r>
  <r>
    <n v="1163"/>
    <x v="905"/>
    <x v="182"/>
    <n v="160"/>
    <n v="130"/>
    <s v="8x250 ml"/>
    <x v="14"/>
  </r>
  <r>
    <n v="1164"/>
    <x v="906"/>
    <x v="183"/>
    <n v="99"/>
    <n v="66"/>
    <s v="2.25 L"/>
    <x v="14"/>
  </r>
  <r>
    <n v="1165"/>
    <x v="907"/>
    <x v="184"/>
    <n v="99"/>
    <n v="74"/>
    <s v="2.25 L"/>
    <x v="14"/>
  </r>
  <r>
    <n v="1166"/>
    <x v="908"/>
    <x v="185"/>
    <n v="20"/>
    <n v="10"/>
    <s v="750 ml"/>
    <x v="14"/>
  </r>
  <r>
    <n v="1167"/>
    <x v="909"/>
    <x v="186"/>
    <n v="99"/>
    <n v="66"/>
    <s v="2.25 L"/>
    <x v="14"/>
  </r>
  <r>
    <n v="1168"/>
    <x v="910"/>
    <x v="182"/>
    <n v="90"/>
    <n v="59"/>
    <s v="1.75 L"/>
    <x v="14"/>
  </r>
  <r>
    <n v="1169"/>
    <x v="911"/>
    <x v="187"/>
    <n v="99"/>
    <n v="74"/>
    <s v="2.25 L"/>
    <x v="14"/>
  </r>
  <r>
    <n v="1170"/>
    <x v="907"/>
    <x v="184"/>
    <n v="160"/>
    <n v="135"/>
    <s v="8x250 ml"/>
    <x v="14"/>
  </r>
  <r>
    <n v="1171"/>
    <x v="912"/>
    <x v="188"/>
    <n v="60"/>
    <n v="45"/>
    <s v="1 L"/>
    <x v="14"/>
  </r>
  <r>
    <n v="1172"/>
    <x v="912"/>
    <x v="188"/>
    <n v="100"/>
    <n v="75"/>
    <s v="2 L"/>
    <x v="14"/>
  </r>
  <r>
    <n v="1173"/>
    <x v="913"/>
    <x v="182"/>
    <n v="40"/>
    <n v="36"/>
    <s v="300 ml"/>
    <x v="14"/>
  </r>
  <r>
    <n v="1174"/>
    <x v="914"/>
    <x v="189"/>
    <n v="20"/>
    <n v="17"/>
    <s v="750 ml"/>
    <x v="14"/>
  </r>
  <r>
    <n v="1175"/>
    <x v="915"/>
    <x v="190"/>
    <n v="474"/>
    <n v="317"/>
    <s v="6x330 ml"/>
    <x v="14"/>
  </r>
  <r>
    <n v="1176"/>
    <x v="916"/>
    <x v="191"/>
    <n v="90"/>
    <n v="55"/>
    <s v="330 ml"/>
    <x v="14"/>
  </r>
  <r>
    <n v="1177"/>
    <x v="906"/>
    <x v="183"/>
    <n v="40"/>
    <n v="35"/>
    <s v="750  ml"/>
    <x v="14"/>
  </r>
  <r>
    <n v="1178"/>
    <x v="917"/>
    <x v="192"/>
    <n v="50"/>
    <n v="25"/>
    <s v="300 ml"/>
    <x v="14"/>
  </r>
  <r>
    <n v="1179"/>
    <x v="918"/>
    <x v="190"/>
    <n v="474"/>
    <n v="317"/>
    <s v="6x330 ml"/>
    <x v="14"/>
  </r>
  <r>
    <n v="1180"/>
    <x v="919"/>
    <x v="143"/>
    <n v="55"/>
    <n v="39"/>
    <s v="90 gm"/>
    <x v="17"/>
  </r>
  <r>
    <n v="1181"/>
    <x v="918"/>
    <x v="190"/>
    <n v="79"/>
    <n v="49"/>
    <s v="330 ml"/>
    <x v="14"/>
  </r>
  <r>
    <n v="1182"/>
    <x v="920"/>
    <x v="192"/>
    <n v="50"/>
    <n v="25"/>
    <s v="300 ml"/>
    <x v="14"/>
  </r>
  <r>
    <n v="1183"/>
    <x v="921"/>
    <x v="143"/>
    <n v="55"/>
    <n v="35"/>
    <s v="90 gm"/>
    <x v="17"/>
  </r>
  <r>
    <n v="1184"/>
    <x v="922"/>
    <x v="192"/>
    <n v="50"/>
    <n v="25"/>
    <s v="300 ml"/>
    <x v="14"/>
  </r>
  <r>
    <n v="1185"/>
    <x v="923"/>
    <x v="143"/>
    <n v="55"/>
    <n v="35"/>
    <s v="90 gm"/>
    <x v="17"/>
  </r>
  <r>
    <n v="1186"/>
    <x v="924"/>
    <x v="185"/>
    <n v="40"/>
    <n v="25"/>
    <s v="600 ml"/>
    <x v="14"/>
  </r>
  <r>
    <n v="1187"/>
    <x v="925"/>
    <x v="182"/>
    <n v="40"/>
    <n v="35"/>
    <s v="300 ml"/>
    <x v="14"/>
  </r>
  <r>
    <n v="1188"/>
    <x v="926"/>
    <x v="192"/>
    <n v="50"/>
    <n v="25"/>
    <s v="300 ml"/>
    <x v="14"/>
  </r>
  <r>
    <n v="1189"/>
    <x v="927"/>
    <x v="190"/>
    <n v="79"/>
    <n v="52"/>
    <s v="330 ml"/>
    <x v="14"/>
  </r>
  <r>
    <n v="1190"/>
    <x v="928"/>
    <x v="143"/>
    <n v="55"/>
    <n v="40"/>
    <s v="90 gm"/>
    <x v="17"/>
  </r>
  <r>
    <n v="1191"/>
    <x v="929"/>
    <x v="192"/>
    <n v="50"/>
    <n v="25"/>
    <s v="300 ml"/>
    <x v="14"/>
  </r>
  <r>
    <n v="1192"/>
    <x v="930"/>
    <x v="143"/>
    <n v="55"/>
    <n v="44"/>
    <s v="90 gm"/>
    <x v="17"/>
  </r>
  <r>
    <n v="1193"/>
    <x v="931"/>
    <x v="2"/>
    <n v="40"/>
    <n v="36"/>
    <s v="300 ml"/>
    <x v="14"/>
  </r>
  <r>
    <n v="1194"/>
    <x v="932"/>
    <x v="190"/>
    <n v="79"/>
    <n v="52"/>
    <s v="330 ml"/>
    <x v="14"/>
  </r>
  <r>
    <n v="1195"/>
    <x v="933"/>
    <x v="143"/>
    <n v="75"/>
    <n v="49"/>
    <s v="120 gm"/>
    <x v="17"/>
  </r>
  <r>
    <n v="1196"/>
    <x v="934"/>
    <x v="185"/>
    <n v="40"/>
    <n v="25"/>
    <s v="600 ml"/>
    <x v="14"/>
  </r>
  <r>
    <n v="1197"/>
    <x v="935"/>
    <x v="143"/>
    <n v="70"/>
    <n v="49"/>
    <s v="200 ml"/>
    <x v="17"/>
  </r>
  <r>
    <n v="1198"/>
    <x v="936"/>
    <x v="190"/>
    <n v="79"/>
    <n v="52"/>
    <s v="330 ml"/>
    <x v="14"/>
  </r>
  <r>
    <n v="1199"/>
    <x v="937"/>
    <x v="143"/>
    <n v="70"/>
    <n v="49"/>
    <s v="200 ml"/>
    <x v="17"/>
  </r>
  <r>
    <n v="1200"/>
    <x v="938"/>
    <x v="143"/>
    <n v="75"/>
    <n v="49"/>
    <s v="120 gm"/>
    <x v="17"/>
  </r>
  <r>
    <n v="1201"/>
    <x v="939"/>
    <x v="143"/>
    <n v="70"/>
    <n v="45"/>
    <s v="200 ml"/>
    <x v="17"/>
  </r>
  <r>
    <n v="1202"/>
    <x v="940"/>
    <x v="193"/>
    <n v="50"/>
    <n v="40"/>
    <s v="300 ml"/>
    <x v="14"/>
  </r>
  <r>
    <n v="1203"/>
    <x v="941"/>
    <x v="193"/>
    <n v="50"/>
    <n v="40"/>
    <s v="300 ml"/>
    <x v="14"/>
  </r>
  <r>
    <n v="1204"/>
    <x v="912"/>
    <x v="194"/>
    <n v="20"/>
    <n v="17"/>
    <s v="300 ml"/>
    <x v="14"/>
  </r>
  <r>
    <n v="1205"/>
    <x v="942"/>
    <x v="195"/>
    <n v="50"/>
    <n v="25"/>
    <s v="500 ml"/>
    <x v="14"/>
  </r>
  <r>
    <n v="1206"/>
    <x v="943"/>
    <x v="196"/>
    <n v="70"/>
    <n v="52"/>
    <s v="1.2 L"/>
    <x v="14"/>
  </r>
  <r>
    <n v="1207"/>
    <x v="944"/>
    <x v="197"/>
    <n v="95"/>
    <n v="70"/>
    <s v="1.75 L"/>
    <x v="14"/>
  </r>
  <r>
    <n v="1208"/>
    <x v="945"/>
    <x v="198"/>
    <n v="118"/>
    <n v="78"/>
    <s v="1 L"/>
    <x v="14"/>
  </r>
  <r>
    <n v="1209"/>
    <x v="946"/>
    <x v="199"/>
    <n v="80"/>
    <n v="65"/>
    <s v="1 L"/>
    <x v="14"/>
  </r>
  <r>
    <n v="1210"/>
    <x v="947"/>
    <x v="200"/>
    <n v="100"/>
    <n v="85"/>
    <s v="2 L"/>
    <x v="14"/>
  </r>
  <r>
    <n v="1211"/>
    <x v="948"/>
    <x v="201"/>
    <n v="65"/>
    <n v="40"/>
    <s v="1.2 L"/>
    <x v="14"/>
  </r>
  <r>
    <n v="1212"/>
    <x v="948"/>
    <x v="201"/>
    <n v="95"/>
    <n v="66"/>
    <s v="2 L"/>
    <x v="14"/>
  </r>
  <r>
    <n v="1213"/>
    <x v="949"/>
    <x v="198"/>
    <n v="118"/>
    <n v="88"/>
    <s v="1 L"/>
    <x v="14"/>
  </r>
  <r>
    <n v="1214"/>
    <x v="950"/>
    <x v="202"/>
    <n v="130"/>
    <n v="65"/>
    <s v="1 L"/>
    <x v="14"/>
  </r>
  <r>
    <n v="1215"/>
    <x v="951"/>
    <x v="198"/>
    <n v="115"/>
    <n v="74"/>
    <s v="1 L"/>
    <x v="14"/>
  </r>
  <r>
    <n v="1216"/>
    <x v="952"/>
    <x v="202"/>
    <n v="130"/>
    <n v="65"/>
    <s v="1 L"/>
    <x v="14"/>
  </r>
  <r>
    <n v="1217"/>
    <x v="953"/>
    <x v="198"/>
    <n v="110"/>
    <n v="95"/>
    <s v="1 L"/>
    <x v="14"/>
  </r>
  <r>
    <n v="1218"/>
    <x v="954"/>
    <x v="203"/>
    <n v="115"/>
    <n v="95"/>
    <s v="1 L"/>
    <x v="14"/>
  </r>
  <r>
    <n v="1219"/>
    <x v="955"/>
    <x v="202"/>
    <n v="130"/>
    <n v="65"/>
    <s v="1 L"/>
    <x v="14"/>
  </r>
  <r>
    <n v="1220"/>
    <x v="956"/>
    <x v="146"/>
    <n v="60"/>
    <n v="39"/>
    <s v="200 ml"/>
    <x v="14"/>
  </r>
  <r>
    <n v="1221"/>
    <x v="957"/>
    <x v="147"/>
    <n v="78"/>
    <n v="70"/>
    <s v="250 gm"/>
    <x v="17"/>
  </r>
  <r>
    <n v="1222"/>
    <x v="957"/>
    <x v="147"/>
    <n v="145"/>
    <n v="131"/>
    <s v="500 gm"/>
    <x v="17"/>
  </r>
  <r>
    <n v="1223"/>
    <x v="958"/>
    <x v="204"/>
    <n v="130"/>
    <n v="89"/>
    <s v="1 L"/>
    <x v="14"/>
  </r>
  <r>
    <n v="1224"/>
    <x v="959"/>
    <x v="198"/>
    <n v="110"/>
    <n v="85"/>
    <s v="1 L"/>
    <x v="14"/>
  </r>
  <r>
    <n v="1225"/>
    <x v="958"/>
    <x v="204"/>
    <n v="35"/>
    <n v="29"/>
    <s v="200 ml"/>
    <x v="14"/>
  </r>
  <r>
    <n v="1226"/>
    <x v="960"/>
    <x v="198"/>
    <n v="125"/>
    <n v="65"/>
    <s v="1 L"/>
    <x v="14"/>
  </r>
  <r>
    <n v="1227"/>
    <x v="961"/>
    <x v="198"/>
    <n v="130"/>
    <n v="65"/>
    <s v="1 L"/>
    <x v="14"/>
  </r>
  <r>
    <n v="1228"/>
    <x v="962"/>
    <x v="64"/>
    <n v="47"/>
    <n v="43"/>
    <s v="200 gm"/>
    <x v="17"/>
  </r>
  <r>
    <n v="1229"/>
    <x v="962"/>
    <x v="64"/>
    <n v="105"/>
    <n v="97"/>
    <s v="500 gm"/>
    <x v="17"/>
  </r>
  <r>
    <n v="1230"/>
    <x v="963"/>
    <x v="64"/>
    <n v="52"/>
    <n v="48"/>
    <s v="200 gm"/>
    <x v="17"/>
  </r>
  <r>
    <n v="1231"/>
    <x v="963"/>
    <x v="64"/>
    <n v="120"/>
    <n v="110"/>
    <s v="500 gm"/>
    <x v="17"/>
  </r>
  <r>
    <n v="1232"/>
    <x v="964"/>
    <x v="203"/>
    <n v="105"/>
    <n v="77"/>
    <s v="1 L"/>
    <x v="14"/>
  </r>
  <r>
    <n v="1233"/>
    <x v="965"/>
    <x v="204"/>
    <n v="35"/>
    <n v="25"/>
    <s v="200 ml"/>
    <x v="14"/>
  </r>
  <r>
    <n v="1234"/>
    <x v="966"/>
    <x v="203"/>
    <n v="115"/>
    <n v="97"/>
    <s v="1 L"/>
    <x v="14"/>
  </r>
  <r>
    <n v="1235"/>
    <x v="967"/>
    <x v="203"/>
    <n v="110"/>
    <n v="90"/>
    <s v="1 L"/>
    <x v="14"/>
  </r>
  <r>
    <n v="1236"/>
    <x v="968"/>
    <x v="204"/>
    <n v="20"/>
    <n v="13"/>
    <s v="150 ml"/>
    <x v="14"/>
  </r>
  <r>
    <n v="1237"/>
    <x v="969"/>
    <x v="64"/>
    <n v="105"/>
    <n v="97"/>
    <s v="500 gm"/>
    <x v="17"/>
  </r>
  <r>
    <n v="1238"/>
    <x v="970"/>
    <x v="64"/>
    <n v="47"/>
    <n v="43"/>
    <s v="200 gm"/>
    <x v="17"/>
  </r>
  <r>
    <n v="1239"/>
    <x v="970"/>
    <x v="64"/>
    <n v="105"/>
    <n v="97"/>
    <s v="500 gm"/>
    <x v="17"/>
  </r>
  <r>
    <n v="1240"/>
    <x v="971"/>
    <x v="204"/>
    <n v="35"/>
    <n v="24"/>
    <s v="200 ml"/>
    <x v="14"/>
  </r>
  <r>
    <n v="1241"/>
    <x v="972"/>
    <x v="147"/>
    <n v="145"/>
    <n v="127"/>
    <s v="500 gm"/>
    <x v="17"/>
  </r>
  <r>
    <n v="1242"/>
    <x v="972"/>
    <x v="147"/>
    <n v="78"/>
    <n v="69"/>
    <s v="250 gm"/>
    <x v="17"/>
  </r>
  <r>
    <n v="1243"/>
    <x v="973"/>
    <x v="146"/>
    <n v="330"/>
    <n v="247"/>
    <s v="1 L"/>
    <x v="14"/>
  </r>
  <r>
    <n v="1244"/>
    <x v="974"/>
    <x v="64"/>
    <n v="120"/>
    <n v="112"/>
    <s v="500 gm"/>
    <x v="17"/>
  </r>
  <r>
    <n v="1245"/>
    <x v="975"/>
    <x v="204"/>
    <n v="150"/>
    <n v="75"/>
    <s v="1 L"/>
    <x v="14"/>
  </r>
  <r>
    <n v="1246"/>
    <x v="976"/>
    <x v="147"/>
    <n v="78"/>
    <n v="71"/>
    <s v="250 gm"/>
    <x v="17"/>
  </r>
  <r>
    <n v="1247"/>
    <x v="976"/>
    <x v="147"/>
    <n v="145"/>
    <n v="134"/>
    <s v="500 gm"/>
    <x v="17"/>
  </r>
  <r>
    <n v="1248"/>
    <x v="977"/>
    <x v="205"/>
    <n v="220"/>
    <n v="175"/>
    <s v="1 L"/>
    <x v="14"/>
  </r>
  <r>
    <n v="1249"/>
    <x v="978"/>
    <x v="146"/>
    <n v="425"/>
    <n v="318"/>
    <s v="1 L"/>
    <x v="14"/>
  </r>
  <r>
    <n v="1250"/>
    <x v="979"/>
    <x v="205"/>
    <n v="250"/>
    <n v="200"/>
    <s v="1 L"/>
    <x v="14"/>
  </r>
  <r>
    <n v="1251"/>
    <x v="980"/>
    <x v="146"/>
    <n v="220"/>
    <n v="165"/>
    <s v="1 L"/>
    <x v="14"/>
  </r>
  <r>
    <n v="1252"/>
    <x v="981"/>
    <x v="205"/>
    <n v="325"/>
    <n v="260"/>
    <s v="1 L"/>
    <x v="14"/>
  </r>
  <r>
    <n v="1253"/>
    <x v="982"/>
    <x v="205"/>
    <n v="250"/>
    <n v="170"/>
    <s v="1 L"/>
    <x v="14"/>
  </r>
  <r>
    <n v="1254"/>
    <x v="983"/>
    <x v="206"/>
    <n v="50"/>
    <n v="25"/>
    <s v="500 ml"/>
    <x v="14"/>
  </r>
  <r>
    <n v="1255"/>
    <x v="984"/>
    <x v="207"/>
    <n v="173"/>
    <n v="147"/>
    <s v="450 gm"/>
    <x v="14"/>
  </r>
  <r>
    <n v="1256"/>
    <x v="984"/>
    <x v="207"/>
    <n v="352"/>
    <n v="301"/>
    <s v="1 kg"/>
    <x v="14"/>
  </r>
  <r>
    <n v="1257"/>
    <x v="985"/>
    <x v="208"/>
    <n v="650"/>
    <n v="552"/>
    <s v="6x250 ml"/>
    <x v="14"/>
  </r>
  <r>
    <n v="1258"/>
    <x v="985"/>
    <x v="208"/>
    <n v="440"/>
    <n v="350"/>
    <s v="4x250 ml"/>
    <x v="14"/>
  </r>
  <r>
    <n v="1259"/>
    <x v="986"/>
    <x v="207"/>
    <n v="173"/>
    <n v="147"/>
    <s v="450 gm"/>
    <x v="14"/>
  </r>
  <r>
    <n v="1260"/>
    <x v="986"/>
    <x v="207"/>
    <n v="352"/>
    <n v="315"/>
    <s v="1 kg"/>
    <x v="14"/>
  </r>
  <r>
    <n v="1261"/>
    <x v="987"/>
    <x v="209"/>
    <n v="110"/>
    <n v="80"/>
    <s v="350 ml"/>
    <x v="14"/>
  </r>
  <r>
    <n v="1262"/>
    <x v="985"/>
    <x v="208"/>
    <n v="145"/>
    <n v="120"/>
    <s v="350 ml"/>
    <x v="14"/>
  </r>
  <r>
    <n v="1263"/>
    <x v="988"/>
    <x v="207"/>
    <n v="118"/>
    <n v="97"/>
    <s v="450 gm"/>
    <x v="14"/>
  </r>
  <r>
    <n v="1264"/>
    <x v="988"/>
    <x v="207"/>
    <n v="198"/>
    <n v="174"/>
    <s v="1 kg"/>
    <x v="14"/>
  </r>
  <r>
    <n v="1265"/>
    <x v="989"/>
    <x v="195"/>
    <n v="75"/>
    <n v="37"/>
    <s v="250 ml"/>
    <x v="14"/>
  </r>
  <r>
    <n v="1266"/>
    <x v="990"/>
    <x v="210"/>
    <n v="60"/>
    <n v="50"/>
    <s v="250 gm"/>
    <x v="17"/>
  </r>
  <r>
    <n v="1267"/>
    <x v="991"/>
    <x v="211"/>
    <n v="90"/>
    <n v="55"/>
    <s v="250 ml"/>
    <x v="14"/>
  </r>
  <r>
    <n v="1268"/>
    <x v="992"/>
    <x v="212"/>
    <n v="33"/>
    <n v="19"/>
    <s v="200 ml"/>
    <x v="14"/>
  </r>
  <r>
    <n v="1269"/>
    <x v="993"/>
    <x v="212"/>
    <n v="33"/>
    <n v="20"/>
    <s v="200 ml"/>
    <x v="14"/>
  </r>
  <r>
    <n v="1270"/>
    <x v="994"/>
    <x v="208"/>
    <n v="115"/>
    <n v="103"/>
    <s v="250 ml"/>
    <x v="14"/>
  </r>
  <r>
    <n v="1271"/>
    <x v="995"/>
    <x v="213"/>
    <n v="160"/>
    <n v="140"/>
    <s v="750 ml"/>
    <x v="14"/>
  </r>
  <r>
    <n v="1272"/>
    <x v="996"/>
    <x v="214"/>
    <n v="252"/>
    <n v="192"/>
    <s v="1 L"/>
    <x v="14"/>
  </r>
  <r>
    <n v="1273"/>
    <x v="997"/>
    <x v="215"/>
    <n v="550"/>
    <n v="410"/>
    <s v="1 L"/>
    <x v="14"/>
  </r>
  <r>
    <n v="1274"/>
    <x v="998"/>
    <x v="11"/>
    <n v="170"/>
    <n v="85"/>
    <s v="1 L"/>
    <x v="14"/>
  </r>
  <r>
    <n v="1275"/>
    <x v="999"/>
    <x v="216"/>
    <n v="230"/>
    <n v="129"/>
    <s v="1 L"/>
    <x v="14"/>
  </r>
  <r>
    <n v="1276"/>
    <x v="1000"/>
    <x v="176"/>
    <n v="220"/>
    <n v="151"/>
    <s v="623 gm"/>
    <x v="14"/>
  </r>
  <r>
    <n v="1277"/>
    <x v="1000"/>
    <x v="176"/>
    <n v="95"/>
    <n v="80"/>
    <s v="200 gm"/>
    <x v="14"/>
  </r>
  <r>
    <n v="1278"/>
    <x v="1001"/>
    <x v="11"/>
    <n v="170"/>
    <n v="74"/>
    <s v="1 L"/>
    <x v="14"/>
  </r>
  <r>
    <n v="1279"/>
    <x v="1002"/>
    <x v="214"/>
    <n v="999"/>
    <n v="649"/>
    <s v="750 ml"/>
    <x v="14"/>
  </r>
  <r>
    <n v="1280"/>
    <x v="1003"/>
    <x v="217"/>
    <n v="190"/>
    <n v="130"/>
    <s v="750 ml"/>
    <x v="14"/>
  </r>
  <r>
    <n v="1281"/>
    <x v="1004"/>
    <x v="218"/>
    <n v="99"/>
    <n v="79"/>
    <s v="250 ml"/>
    <x v="14"/>
  </r>
  <r>
    <n v="1282"/>
    <x v="1005"/>
    <x v="218"/>
    <n v="99"/>
    <n v="79"/>
    <s v="250 ml"/>
    <x v="14"/>
  </r>
  <r>
    <n v="1283"/>
    <x v="1006"/>
    <x v="218"/>
    <n v="99"/>
    <n v="79"/>
    <s v="250 ml"/>
    <x v="14"/>
  </r>
  <r>
    <n v="1284"/>
    <x v="1007"/>
    <x v="218"/>
    <n v="99"/>
    <n v="79"/>
    <s v="250 ml"/>
    <x v="14"/>
  </r>
  <r>
    <n v="1285"/>
    <x v="1008"/>
    <x v="218"/>
    <n v="99"/>
    <n v="79"/>
    <s v="250 ml"/>
    <x v="14"/>
  </r>
  <r>
    <n v="1286"/>
    <x v="1009"/>
    <x v="217"/>
    <n v="190"/>
    <n v="130"/>
    <s v="750 ml"/>
    <x v="14"/>
  </r>
  <r>
    <n v="1287"/>
    <x v="1010"/>
    <x v="218"/>
    <n v="99"/>
    <n v="79"/>
    <s v="250 ml"/>
    <x v="14"/>
  </r>
  <r>
    <n v="1288"/>
    <x v="1011"/>
    <x v="217"/>
    <n v="190"/>
    <n v="130"/>
    <s v="750 ml"/>
    <x v="14"/>
  </r>
  <r>
    <n v="1289"/>
    <x v="1012"/>
    <x v="217"/>
    <n v="160"/>
    <n v="89"/>
    <s v="750 ml"/>
    <x v="14"/>
  </r>
  <r>
    <n v="1290"/>
    <x v="1013"/>
    <x v="219"/>
    <n v="395"/>
    <n v="349"/>
    <s v="250 ml"/>
    <x v="14"/>
  </r>
  <r>
    <n v="1291"/>
    <x v="1014"/>
    <x v="217"/>
    <n v="240"/>
    <n v="133"/>
    <s v="750 ml"/>
    <x v="14"/>
  </r>
  <r>
    <n v="1292"/>
    <x v="1015"/>
    <x v="215"/>
    <n v="260"/>
    <n v="210"/>
    <s v="1 L"/>
    <x v="14"/>
  </r>
  <r>
    <n v="1293"/>
    <x v="1016"/>
    <x v="219"/>
    <n v="395"/>
    <n v="325"/>
    <s v="250 ml"/>
    <x v="14"/>
  </r>
  <r>
    <n v="1294"/>
    <x v="1017"/>
    <x v="219"/>
    <n v="395"/>
    <n v="325"/>
    <s v="250 ml"/>
    <x v="14"/>
  </r>
  <r>
    <n v="1295"/>
    <x v="1018"/>
    <x v="219"/>
    <n v="395"/>
    <n v="349"/>
    <s v="250 ml"/>
    <x v="14"/>
  </r>
  <r>
    <n v="1296"/>
    <x v="1019"/>
    <x v="176"/>
    <n v="230"/>
    <n v="141"/>
    <s v="623 gm"/>
    <x v="14"/>
  </r>
  <r>
    <n v="1297"/>
    <x v="1020"/>
    <x v="148"/>
    <n v="50"/>
    <n v="37"/>
    <s v="200 gm"/>
    <x v="18"/>
  </r>
  <r>
    <n v="1298"/>
    <x v="1020"/>
    <x v="148"/>
    <n v="130"/>
    <n v="86"/>
    <s v="600 gm"/>
    <x v="18"/>
  </r>
  <r>
    <n v="1299"/>
    <x v="1021"/>
    <x v="220"/>
    <n v="140"/>
    <n v="90"/>
    <s v="350 gm"/>
    <x v="18"/>
  </r>
  <r>
    <n v="1300"/>
    <x v="1021"/>
    <x v="220"/>
    <n v="30"/>
    <n v="27"/>
    <s v="100 gm"/>
    <x v="18"/>
  </r>
  <r>
    <n v="1301"/>
    <x v="1022"/>
    <x v="221"/>
    <n v="170"/>
    <n v="130"/>
    <s v="400 gm"/>
    <x v="18"/>
  </r>
  <r>
    <n v="1302"/>
    <x v="1023"/>
    <x v="220"/>
    <n v="250"/>
    <n v="125"/>
    <s v="1 kg"/>
    <x v="18"/>
  </r>
  <r>
    <n v="1303"/>
    <x v="1024"/>
    <x v="222"/>
    <n v="150"/>
    <n v="75"/>
    <s v="253 gm"/>
    <x v="18"/>
  </r>
  <r>
    <n v="1304"/>
    <x v="1025"/>
    <x v="148"/>
    <n v="140"/>
    <n v="70"/>
    <s v="400 gm"/>
    <x v="18"/>
  </r>
  <r>
    <n v="1305"/>
    <x v="1026"/>
    <x v="223"/>
    <n v="40"/>
    <n v="24"/>
    <s v="100 gm"/>
    <x v="18"/>
  </r>
  <r>
    <n v="1306"/>
    <x v="1026"/>
    <x v="223"/>
    <n v="190"/>
    <n v="95"/>
    <s v="500 gm"/>
    <x v="18"/>
  </r>
  <r>
    <n v="1307"/>
    <x v="1027"/>
    <x v="148"/>
    <n v="25"/>
    <n v="23"/>
    <s v="143 gm"/>
    <x v="18"/>
  </r>
  <r>
    <n v="1308"/>
    <x v="1028"/>
    <x v="224"/>
    <n v="120"/>
    <n v="85"/>
    <s v="584 gm"/>
    <x v="18"/>
  </r>
  <r>
    <n v="1309"/>
    <x v="1029"/>
    <x v="220"/>
    <n v="140"/>
    <n v="70"/>
    <s v="600 gm"/>
    <x v="18"/>
  </r>
  <r>
    <n v="1310"/>
    <x v="1030"/>
    <x v="223"/>
    <n v="55"/>
    <n v="37"/>
    <s v="150 gm"/>
    <x v="18"/>
  </r>
  <r>
    <n v="1311"/>
    <x v="1030"/>
    <x v="223"/>
    <n v="190"/>
    <n v="95"/>
    <s v="500 gm"/>
    <x v="18"/>
  </r>
  <r>
    <n v="1312"/>
    <x v="1031"/>
    <x v="223"/>
    <n v="150"/>
    <n v="60"/>
    <s v="500 gm"/>
    <x v="18"/>
  </r>
  <r>
    <n v="1313"/>
    <x v="1032"/>
    <x v="148"/>
    <n v="30"/>
    <n v="25"/>
    <s v="75 gm"/>
    <x v="18"/>
  </r>
  <r>
    <n v="1314"/>
    <x v="1033"/>
    <x v="148"/>
    <n v="140"/>
    <n v="70"/>
    <s v="4X100 gm"/>
    <x v="18"/>
  </r>
  <r>
    <n v="1315"/>
    <x v="1034"/>
    <x v="58"/>
    <n v="40"/>
    <n v="37"/>
    <s v="300 gm"/>
    <x v="18"/>
  </r>
  <r>
    <n v="1316"/>
    <x v="1035"/>
    <x v="223"/>
    <n v="190"/>
    <n v="95"/>
    <s v="500 gm"/>
    <x v="18"/>
  </r>
  <r>
    <n v="1317"/>
    <x v="1036"/>
    <x v="223"/>
    <n v="50"/>
    <n v="25"/>
    <s v="75 gm"/>
    <x v="18"/>
  </r>
  <r>
    <n v="1318"/>
    <x v="1036"/>
    <x v="223"/>
    <n v="160"/>
    <n v="80"/>
    <s v="250 gm"/>
    <x v="18"/>
  </r>
  <r>
    <n v="1319"/>
    <x v="1037"/>
    <x v="225"/>
    <n v="50"/>
    <n v="35"/>
    <s v="138 gm"/>
    <x v="18"/>
  </r>
  <r>
    <n v="1320"/>
    <x v="1038"/>
    <x v="225"/>
    <n v="50"/>
    <n v="35"/>
    <s v="138 gm"/>
    <x v="18"/>
  </r>
  <r>
    <n v="1321"/>
    <x v="1039"/>
    <x v="226"/>
    <n v="25"/>
    <n v="23"/>
    <s v="150 gm"/>
    <x v="18"/>
  </r>
  <r>
    <n v="1322"/>
    <x v="1040"/>
    <x v="227"/>
    <n v="199"/>
    <n v="175"/>
    <s v="300 gm"/>
    <x v="18"/>
  </r>
  <r>
    <n v="1323"/>
    <x v="1041"/>
    <x v="227"/>
    <n v="199"/>
    <n v="165"/>
    <s v="300 gm"/>
    <x v="18"/>
  </r>
  <r>
    <n v="1324"/>
    <x v="1042"/>
    <x v="228"/>
    <n v="350"/>
    <n v="234"/>
    <s v="250 gm"/>
    <x v="18"/>
  </r>
  <r>
    <n v="1325"/>
    <x v="1043"/>
    <x v="228"/>
    <n v="370"/>
    <n v="227"/>
    <s v="300 gm"/>
    <x v="18"/>
  </r>
  <r>
    <n v="1326"/>
    <x v="1044"/>
    <x v="228"/>
    <n v="49"/>
    <n v="33"/>
    <s v="100 gm"/>
    <x v="18"/>
  </r>
  <r>
    <n v="1327"/>
    <x v="1045"/>
    <x v="222"/>
    <n v="35"/>
    <n v="30"/>
    <s v="200 gm"/>
    <x v="18"/>
  </r>
  <r>
    <n v="1328"/>
    <x v="1046"/>
    <x v="227"/>
    <n v="199"/>
    <n v="165"/>
    <s v="276 gm"/>
    <x v="18"/>
  </r>
  <r>
    <n v="1329"/>
    <x v="1047"/>
    <x v="227"/>
    <n v="199"/>
    <n v="165"/>
    <s v="300 gm"/>
    <x v="18"/>
  </r>
  <r>
    <n v="1330"/>
    <x v="1048"/>
    <x v="228"/>
    <n v="250"/>
    <n v="165"/>
    <s v="200 gm"/>
    <x v="18"/>
  </r>
  <r>
    <n v="1331"/>
    <x v="1049"/>
    <x v="229"/>
    <n v="299"/>
    <n v="240"/>
    <s v="250 gm"/>
    <x v="10"/>
  </r>
  <r>
    <n v="1332"/>
    <x v="1049"/>
    <x v="229"/>
    <n v="189"/>
    <n v="149"/>
    <s v="124 gm"/>
    <x v="10"/>
  </r>
  <r>
    <n v="1333"/>
    <x v="1050"/>
    <x v="225"/>
    <n v="50"/>
    <n v="35"/>
    <s v="135 gm"/>
    <x v="18"/>
  </r>
  <r>
    <n v="1334"/>
    <x v="1051"/>
    <x v="228"/>
    <n v="90"/>
    <n v="50"/>
    <s v="120 gm"/>
    <x v="18"/>
  </r>
  <r>
    <n v="1335"/>
    <x v="1052"/>
    <x v="228"/>
    <n v="49"/>
    <n v="33"/>
    <s v="100 gm"/>
    <x v="18"/>
  </r>
  <r>
    <n v="1336"/>
    <x v="1053"/>
    <x v="230"/>
    <n v="100"/>
    <n v="70"/>
    <s v="200 gm"/>
    <x v="18"/>
  </r>
  <r>
    <n v="1337"/>
    <x v="1054"/>
    <x v="230"/>
    <n v="170"/>
    <n v="119"/>
    <s v="200 gm"/>
    <x v="18"/>
  </r>
  <r>
    <n v="1338"/>
    <x v="1055"/>
    <x v="230"/>
    <n v="60"/>
    <n v="42"/>
    <s v="150 gm"/>
    <x v="18"/>
  </r>
  <r>
    <n v="1339"/>
    <x v="1056"/>
    <x v="223"/>
    <n v="150"/>
    <n v="75"/>
    <s v="300 gm"/>
    <x v="18"/>
  </r>
  <r>
    <n v="1340"/>
    <x v="1057"/>
    <x v="223"/>
    <n v="150"/>
    <n v="75"/>
    <s v="300 gm"/>
    <x v="18"/>
  </r>
  <r>
    <n v="1341"/>
    <x v="1058"/>
    <x v="223"/>
    <n v="50"/>
    <n v="25"/>
    <s v="75 gm"/>
    <x v="18"/>
  </r>
  <r>
    <n v="1342"/>
    <x v="1059"/>
    <x v="223"/>
    <n v="50"/>
    <n v="25"/>
    <s v="75 gm"/>
    <x v="18"/>
  </r>
  <r>
    <n v="1343"/>
    <x v="1060"/>
    <x v="231"/>
    <n v="140"/>
    <n v="112"/>
    <s v="14x10.8 gm"/>
    <x v="18"/>
  </r>
  <r>
    <n v="1344"/>
    <x v="1061"/>
    <x v="232"/>
    <n v="30"/>
    <n v="15"/>
    <s v="120 gm"/>
    <x v="18"/>
  </r>
  <r>
    <n v="1345"/>
    <x v="1062"/>
    <x v="220"/>
    <n v="5"/>
    <n v="5"/>
    <s v="50 gm"/>
    <x v="18"/>
  </r>
  <r>
    <n v="1346"/>
    <x v="1062"/>
    <x v="220"/>
    <n v="25"/>
    <n v="23"/>
    <s v="200 gm"/>
    <x v="18"/>
  </r>
  <r>
    <n v="1347"/>
    <x v="1062"/>
    <x v="220"/>
    <n v="85"/>
    <n v="76"/>
    <s v="800 gm"/>
    <x v="18"/>
  </r>
  <r>
    <n v="1348"/>
    <x v="1063"/>
    <x v="220"/>
    <n v="75"/>
    <n v="69"/>
    <s v="500 gm"/>
    <x v="18"/>
  </r>
  <r>
    <n v="1349"/>
    <x v="1063"/>
    <x v="220"/>
    <n v="140"/>
    <n v="114"/>
    <s v="1 kg"/>
    <x v="18"/>
  </r>
  <r>
    <n v="1350"/>
    <x v="1064"/>
    <x v="148"/>
    <n v="25"/>
    <n v="23"/>
    <s v="190.5 gm"/>
    <x v="18"/>
  </r>
  <r>
    <n v="1351"/>
    <x v="1064"/>
    <x v="148"/>
    <n v="90"/>
    <n v="65"/>
    <s v="500 gm"/>
    <x v="18"/>
  </r>
  <r>
    <n v="1352"/>
    <x v="1065"/>
    <x v="148"/>
    <n v="140"/>
    <n v="115"/>
    <s v="1 kg"/>
    <x v="18"/>
  </r>
  <r>
    <n v="1353"/>
    <x v="1065"/>
    <x v="148"/>
    <n v="40"/>
    <n v="35"/>
    <s v="250 gm"/>
    <x v="18"/>
  </r>
  <r>
    <n v="1354"/>
    <x v="1066"/>
    <x v="148"/>
    <n v="126"/>
    <n v="106"/>
    <s v="900 gm"/>
    <x v="18"/>
  </r>
  <r>
    <n v="1355"/>
    <x v="1066"/>
    <x v="148"/>
    <n v="45"/>
    <n v="40"/>
    <s v="248 gm"/>
    <x v="18"/>
  </r>
  <r>
    <n v="1356"/>
    <x v="1066"/>
    <x v="148"/>
    <n v="30"/>
    <n v="27"/>
    <s v="150 gm"/>
    <x v="18"/>
  </r>
  <r>
    <n v="1357"/>
    <x v="1067"/>
    <x v="222"/>
    <n v="140"/>
    <n v="93"/>
    <s v="1 kg"/>
    <x v="18"/>
  </r>
  <r>
    <n v="1358"/>
    <x v="1068"/>
    <x v="220"/>
    <n v="120"/>
    <n v="85"/>
    <s v="800 gm"/>
    <x v="18"/>
  </r>
  <r>
    <n v="1359"/>
    <x v="1069"/>
    <x v="233"/>
    <n v="40"/>
    <n v="32"/>
    <s v="200 gm"/>
    <x v="18"/>
  </r>
  <r>
    <n v="1360"/>
    <x v="1070"/>
    <x v="220"/>
    <n v="120"/>
    <n v="85"/>
    <s v="700 gm"/>
    <x v="18"/>
  </r>
  <r>
    <n v="1361"/>
    <x v="1070"/>
    <x v="220"/>
    <n v="70"/>
    <n v="65"/>
    <s v="400 gm"/>
    <x v="18"/>
  </r>
  <r>
    <n v="1362"/>
    <x v="1070"/>
    <x v="220"/>
    <n v="35"/>
    <n v="32"/>
    <s v="200 gm"/>
    <x v="18"/>
  </r>
  <r>
    <n v="1363"/>
    <x v="1071"/>
    <x v="220"/>
    <n v="120"/>
    <n v="90"/>
    <s v="700 gm"/>
    <x v="18"/>
  </r>
  <r>
    <n v="1364"/>
    <x v="1071"/>
    <x v="220"/>
    <n v="70"/>
    <n v="65"/>
    <s v="400 gm"/>
    <x v="18"/>
  </r>
  <r>
    <n v="1365"/>
    <x v="1071"/>
    <x v="220"/>
    <n v="35"/>
    <n v="32"/>
    <s v="200 gm"/>
    <x v="18"/>
  </r>
  <r>
    <n v="1366"/>
    <x v="1072"/>
    <x v="148"/>
    <n v="90"/>
    <n v="65"/>
    <s v="300 gm"/>
    <x v="18"/>
  </r>
  <r>
    <n v="1367"/>
    <x v="1072"/>
    <x v="148"/>
    <n v="30"/>
    <n v="27"/>
    <s v="105 gm"/>
    <x v="18"/>
  </r>
  <r>
    <n v="1368"/>
    <x v="1073"/>
    <x v="220"/>
    <n v="140"/>
    <n v="110"/>
    <s v="300 gm"/>
    <x v="18"/>
  </r>
  <r>
    <n v="1369"/>
    <x v="1074"/>
    <x v="234"/>
    <n v="210"/>
    <n v="151"/>
    <s v="300 gm"/>
    <x v="18"/>
  </r>
  <r>
    <n v="1370"/>
    <x v="1075"/>
    <x v="235"/>
    <n v="40"/>
    <n v="30"/>
    <s v="75 gm"/>
    <x v="18"/>
  </r>
  <r>
    <n v="1371"/>
    <x v="1075"/>
    <x v="235"/>
    <n v="170"/>
    <n v="110"/>
    <s v="300 gm"/>
    <x v="18"/>
  </r>
  <r>
    <n v="1372"/>
    <x v="1076"/>
    <x v="236"/>
    <n v="210"/>
    <n v="145"/>
    <s v="504 gm"/>
    <x v="18"/>
  </r>
  <r>
    <n v="1373"/>
    <x v="1076"/>
    <x v="236"/>
    <n v="150"/>
    <n v="99"/>
    <s v="300 gm"/>
    <x v="18"/>
  </r>
  <r>
    <n v="1374"/>
    <x v="1076"/>
    <x v="236"/>
    <n v="80"/>
    <n v="70"/>
    <s v="168 gm"/>
    <x v="18"/>
  </r>
  <r>
    <n v="1375"/>
    <x v="1077"/>
    <x v="237"/>
    <n v="85"/>
    <n v="56"/>
    <s v="300 gm"/>
    <x v="18"/>
  </r>
  <r>
    <n v="1376"/>
    <x v="1077"/>
    <x v="237"/>
    <n v="145"/>
    <n v="95"/>
    <s v="500 gm"/>
    <x v="18"/>
  </r>
  <r>
    <n v="1377"/>
    <x v="1077"/>
    <x v="237"/>
    <n v="30"/>
    <n v="27"/>
    <s v="120 gm"/>
    <x v="18"/>
  </r>
  <r>
    <n v="1378"/>
    <x v="1078"/>
    <x v="238"/>
    <n v="76"/>
    <n v="47"/>
    <s v="300 gm"/>
    <x v="18"/>
  </r>
  <r>
    <n v="1379"/>
    <x v="1079"/>
    <x v="148"/>
    <n v="35"/>
    <n v="23"/>
    <s v="150 gm"/>
    <x v="18"/>
  </r>
  <r>
    <n v="1380"/>
    <x v="1080"/>
    <x v="148"/>
    <n v="40"/>
    <n v="31"/>
    <s v="150 gm"/>
    <x v="18"/>
  </r>
  <r>
    <n v="1381"/>
    <x v="1080"/>
    <x v="148"/>
    <n v="10"/>
    <n v="9"/>
    <s v="50 gm"/>
    <x v="18"/>
  </r>
  <r>
    <n v="1382"/>
    <x v="1081"/>
    <x v="239"/>
    <n v="85"/>
    <n v="56"/>
    <s v="300 gm"/>
    <x v="18"/>
  </r>
  <r>
    <n v="1383"/>
    <x v="1081"/>
    <x v="239"/>
    <n v="30"/>
    <n v="27"/>
    <s v="120 gm"/>
    <x v="18"/>
  </r>
  <r>
    <n v="1384"/>
    <x v="1082"/>
    <x v="238"/>
    <n v="76"/>
    <n v="47"/>
    <s v="300 gm"/>
    <x v="18"/>
  </r>
  <r>
    <n v="1385"/>
    <x v="1083"/>
    <x v="238"/>
    <n v="34"/>
    <n v="22"/>
    <s v="150 gm"/>
    <x v="18"/>
  </r>
  <r>
    <n v="1386"/>
    <x v="1084"/>
    <x v="235"/>
    <n v="30"/>
    <n v="15"/>
    <s v="100 gm"/>
    <x v="18"/>
  </r>
  <r>
    <n v="1387"/>
    <x v="1085"/>
    <x v="235"/>
    <n v="30"/>
    <n v="15"/>
    <s v="100 gm"/>
    <x v="18"/>
  </r>
  <r>
    <n v="1388"/>
    <x v="1086"/>
    <x v="2"/>
    <n v="36"/>
    <n v="18"/>
    <s v="135 gm"/>
    <x v="18"/>
  </r>
  <r>
    <n v="1389"/>
    <x v="1087"/>
    <x v="237"/>
    <n v="70"/>
    <n v="50"/>
    <s v="150 gm"/>
    <x v="18"/>
  </r>
  <r>
    <n v="1390"/>
    <x v="1088"/>
    <x v="220"/>
    <n v="30"/>
    <n v="27"/>
    <s v="100 gm"/>
    <x v="18"/>
  </r>
  <r>
    <n v="1391"/>
    <x v="1089"/>
    <x v="240"/>
    <n v="99"/>
    <n v="69"/>
    <s v="400 gm"/>
    <x v="18"/>
  </r>
  <r>
    <n v="1392"/>
    <x v="1089"/>
    <x v="240"/>
    <n v="30"/>
    <n v="27"/>
    <s v="120 gm"/>
    <x v="18"/>
  </r>
  <r>
    <n v="1393"/>
    <x v="1090"/>
    <x v="234"/>
    <n v="210"/>
    <n v="175"/>
    <s v="190 gm"/>
    <x v="18"/>
  </r>
  <r>
    <n v="1394"/>
    <x v="1091"/>
    <x v="241"/>
    <n v="30"/>
    <n v="15"/>
    <s v="120 gm"/>
    <x v="18"/>
  </r>
  <r>
    <n v="1395"/>
    <x v="1092"/>
    <x v="239"/>
    <n v="145"/>
    <n v="89"/>
    <s v="500 gm"/>
    <x v="18"/>
  </r>
  <r>
    <n v="1396"/>
    <x v="1093"/>
    <x v="234"/>
    <n v="210"/>
    <n v="151"/>
    <s v="190 gm"/>
    <x v="18"/>
  </r>
  <r>
    <n v="1397"/>
    <x v="1094"/>
    <x v="237"/>
    <n v="40"/>
    <n v="30"/>
    <s v="120 gm"/>
    <x v="18"/>
  </r>
  <r>
    <n v="1398"/>
    <x v="1095"/>
    <x v="148"/>
    <n v="199"/>
    <n v="170"/>
    <s v="1 kg"/>
    <x v="18"/>
  </r>
  <r>
    <n v="1399"/>
    <x v="1095"/>
    <x v="148"/>
    <n v="50"/>
    <n v="45"/>
    <s v="150 gm"/>
    <x v="18"/>
  </r>
  <r>
    <n v="1400"/>
    <x v="1095"/>
    <x v="148"/>
    <n v="20"/>
    <n v="19"/>
    <s v="100 gm"/>
    <x v="18"/>
  </r>
  <r>
    <n v="1401"/>
    <x v="1096"/>
    <x v="222"/>
    <n v="200"/>
    <n v="100"/>
    <s v="800 gm"/>
    <x v="18"/>
  </r>
  <r>
    <n v="1402"/>
    <x v="1097"/>
    <x v="233"/>
    <n v="199"/>
    <n v="139"/>
    <s v="1 kg"/>
    <x v="18"/>
  </r>
  <r>
    <n v="1403"/>
    <x v="1097"/>
    <x v="233"/>
    <n v="50"/>
    <n v="35"/>
    <s v="200 gm"/>
    <x v="18"/>
  </r>
  <r>
    <n v="1404"/>
    <x v="1098"/>
    <x v="148"/>
    <n v="110"/>
    <n v="90"/>
    <s v="654 gm"/>
    <x v="19"/>
  </r>
  <r>
    <n v="1405"/>
    <x v="1098"/>
    <x v="148"/>
    <n v="70"/>
    <n v="55"/>
    <s v="400 gm"/>
    <x v="19"/>
  </r>
  <r>
    <n v="1406"/>
    <x v="1098"/>
    <x v="148"/>
    <n v="50"/>
    <n v="42"/>
    <s v="273 gm"/>
    <x v="19"/>
  </r>
  <r>
    <n v="1407"/>
    <x v="1099"/>
    <x v="220"/>
    <n v="55"/>
    <n v="44"/>
    <s v="273 gm"/>
    <x v="19"/>
  </r>
  <r>
    <n v="1408"/>
    <x v="1099"/>
    <x v="220"/>
    <n v="70"/>
    <n v="52"/>
    <s v="400 gm"/>
    <x v="19"/>
  </r>
  <r>
    <n v="1409"/>
    <x v="1100"/>
    <x v="2"/>
    <n v="59"/>
    <n v="46"/>
    <s v="400 gm"/>
    <x v="19"/>
  </r>
  <r>
    <n v="1410"/>
    <x v="1101"/>
    <x v="242"/>
    <n v="50"/>
    <n v="43"/>
    <s v="180 gm"/>
    <x v="19"/>
  </r>
  <r>
    <n v="1411"/>
    <x v="1102"/>
    <x v="243"/>
    <n v="59"/>
    <n v="45"/>
    <s v="200 gm"/>
    <x v="19"/>
  </r>
  <r>
    <n v="1412"/>
    <x v="1103"/>
    <x v="242"/>
    <n v="40"/>
    <n v="32"/>
    <s v="180 gm"/>
    <x v="19"/>
  </r>
  <r>
    <n v="1413"/>
    <x v="1104"/>
    <x v="230"/>
    <n v="90"/>
    <n v="59"/>
    <s v="200 gm"/>
    <x v="19"/>
  </r>
  <r>
    <n v="1414"/>
    <x v="1105"/>
    <x v="230"/>
    <n v="115"/>
    <n v="80"/>
    <s v="200 gm"/>
    <x v="19"/>
  </r>
  <r>
    <n v="1415"/>
    <x v="1106"/>
    <x v="230"/>
    <n v="80"/>
    <n v="56"/>
    <s v="200 gm"/>
    <x v="19"/>
  </r>
  <r>
    <n v="1416"/>
    <x v="1107"/>
    <x v="230"/>
    <n v="90"/>
    <n v="63"/>
    <s v="150 gm"/>
    <x v="19"/>
  </r>
  <r>
    <n v="1417"/>
    <x v="1108"/>
    <x v="230"/>
    <n v="115"/>
    <n v="80"/>
    <s v="200 gm"/>
    <x v="19"/>
  </r>
  <r>
    <n v="1418"/>
    <x v="1109"/>
    <x v="230"/>
    <n v="110"/>
    <n v="77"/>
    <s v="200 gm"/>
    <x v="19"/>
  </r>
  <r>
    <n v="1419"/>
    <x v="1110"/>
    <x v="230"/>
    <n v="110"/>
    <n v="77"/>
    <s v="200 gm"/>
    <x v="19"/>
  </r>
  <r>
    <n v="1420"/>
    <x v="1111"/>
    <x v="230"/>
    <n v="85"/>
    <n v="56"/>
    <s v="200 gm"/>
    <x v="19"/>
  </r>
  <r>
    <n v="1421"/>
    <x v="1112"/>
    <x v="230"/>
    <n v="85"/>
    <n v="63"/>
    <s v="200 gm"/>
    <x v="19"/>
  </r>
  <r>
    <n v="1422"/>
    <x v="1113"/>
    <x v="230"/>
    <n v="90"/>
    <n v="59"/>
    <s v="200 gm"/>
    <x v="19"/>
  </r>
  <r>
    <n v="1423"/>
    <x v="1114"/>
    <x v="230"/>
    <n v="85"/>
    <n v="59"/>
    <s v="150 gm"/>
    <x v="19"/>
  </r>
  <r>
    <n v="1424"/>
    <x v="1115"/>
    <x v="230"/>
    <n v="85"/>
    <n v="59"/>
    <s v="150 gm"/>
    <x v="19"/>
  </r>
  <r>
    <n v="1425"/>
    <x v="1116"/>
    <x v="230"/>
    <n v="85"/>
    <n v="59"/>
    <s v="150 gm"/>
    <x v="19"/>
  </r>
  <r>
    <n v="1426"/>
    <x v="1117"/>
    <x v="230"/>
    <n v="70"/>
    <n v="49"/>
    <s v="150 gm"/>
    <x v="19"/>
  </r>
  <r>
    <n v="1427"/>
    <x v="1118"/>
    <x v="244"/>
    <n v="180"/>
    <n v="90"/>
    <s v="250 gm"/>
    <x v="18"/>
  </r>
  <r>
    <n v="1428"/>
    <x v="1119"/>
    <x v="244"/>
    <n v="50"/>
    <n v="25"/>
    <s v="60 gm"/>
    <x v="18"/>
  </r>
  <r>
    <n v="1429"/>
    <x v="1120"/>
    <x v="245"/>
    <n v="60"/>
    <n v="27"/>
    <s v="75 gm"/>
    <x v="18"/>
  </r>
  <r>
    <n v="1430"/>
    <x v="1121"/>
    <x v="244"/>
    <n v="50"/>
    <n v="25"/>
    <s v="60 gm"/>
    <x v="18"/>
  </r>
  <r>
    <n v="1431"/>
    <x v="1122"/>
    <x v="244"/>
    <n v="50"/>
    <n v="25"/>
    <s v="60 gm"/>
    <x v="18"/>
  </r>
  <r>
    <n v="1432"/>
    <x v="1123"/>
    <x v="244"/>
    <n v="180"/>
    <n v="90"/>
    <s v="250 gm"/>
    <x v="18"/>
  </r>
  <r>
    <n v="1433"/>
    <x v="1124"/>
    <x v="245"/>
    <n v="60"/>
    <n v="30"/>
    <s v="75 gm"/>
    <x v="18"/>
  </r>
  <r>
    <n v="1434"/>
    <x v="1125"/>
    <x v="244"/>
    <n v="50"/>
    <n v="25"/>
    <s v="60 gm"/>
    <x v="18"/>
  </r>
  <r>
    <n v="1435"/>
    <x v="1126"/>
    <x v="245"/>
    <n v="60"/>
    <n v="30"/>
    <s v="75 gm"/>
    <x v="18"/>
  </r>
  <r>
    <n v="1436"/>
    <x v="1127"/>
    <x v="246"/>
    <n v="199"/>
    <n v="175"/>
    <s v="125 gm"/>
    <x v="10"/>
  </r>
  <r>
    <n v="1437"/>
    <x v="1128"/>
    <x v="246"/>
    <n v="199"/>
    <n v="175"/>
    <s v="125 gm"/>
    <x v="10"/>
  </r>
  <r>
    <n v="1438"/>
    <x v="1129"/>
    <x v="246"/>
    <n v="199"/>
    <n v="175"/>
    <s v="125 gm"/>
    <x v="10"/>
  </r>
  <r>
    <n v="1439"/>
    <x v="1130"/>
    <x v="246"/>
    <n v="199"/>
    <n v="175"/>
    <s v="125 gm"/>
    <x v="10"/>
  </r>
  <r>
    <n v="1440"/>
    <x v="1131"/>
    <x v="247"/>
    <n v="120"/>
    <n v="90"/>
    <s v="90 gm"/>
    <x v="18"/>
  </r>
  <r>
    <n v="1441"/>
    <x v="1132"/>
    <x v="247"/>
    <n v="120"/>
    <n v="90"/>
    <s v="90 gm"/>
    <x v="18"/>
  </r>
  <r>
    <n v="1442"/>
    <x v="1133"/>
    <x v="248"/>
    <n v="1675"/>
    <n v="1299"/>
    <s v="1 kg"/>
    <x v="20"/>
  </r>
  <r>
    <n v="1443"/>
    <x v="1134"/>
    <x v="248"/>
    <n v="465"/>
    <n v="385"/>
    <s v="275 gm"/>
    <x v="20"/>
  </r>
  <r>
    <n v="1444"/>
    <x v="1135"/>
    <x v="248"/>
    <n v="465"/>
    <n v="385"/>
    <s v="275 gm"/>
    <x v="18"/>
  </r>
  <r>
    <n v="1445"/>
    <x v="1136"/>
    <x v="117"/>
    <n v="80"/>
    <n v="64"/>
    <s v="150 gm"/>
    <x v="18"/>
  </r>
  <r>
    <n v="1446"/>
    <x v="1137"/>
    <x v="117"/>
    <n v="80"/>
    <n v="59"/>
    <s v="150 gm"/>
    <x v="18"/>
  </r>
  <r>
    <n v="1447"/>
    <x v="1138"/>
    <x v="249"/>
    <n v="55"/>
    <n v="49"/>
    <s v="150 gm"/>
    <x v="13"/>
  </r>
  <r>
    <n v="1448"/>
    <x v="1138"/>
    <x v="249"/>
    <n v="105"/>
    <n v="87"/>
    <s v="350 gm"/>
    <x v="13"/>
  </r>
  <r>
    <n v="1449"/>
    <x v="1138"/>
    <x v="249"/>
    <n v="260"/>
    <n v="209"/>
    <s v="1 kg"/>
    <x v="13"/>
  </r>
  <r>
    <n v="1450"/>
    <x v="1139"/>
    <x v="249"/>
    <n v="52"/>
    <n v="44"/>
    <s v="150 gm"/>
    <x v="13"/>
  </r>
  <r>
    <n v="1451"/>
    <x v="1139"/>
    <x v="249"/>
    <n v="90"/>
    <n v="78"/>
    <s v="350 gm"/>
    <x v="13"/>
  </r>
  <r>
    <n v="1452"/>
    <x v="1139"/>
    <x v="249"/>
    <n v="225"/>
    <n v="164"/>
    <s v="1 kg"/>
    <x v="13"/>
  </r>
  <r>
    <n v="1453"/>
    <x v="1140"/>
    <x v="250"/>
    <n v="180"/>
    <n v="99"/>
    <s v="500 gm"/>
    <x v="13"/>
  </r>
  <r>
    <n v="1454"/>
    <x v="1141"/>
    <x v="251"/>
    <n v="199"/>
    <n v="129"/>
    <s v="800 gm"/>
    <x v="13"/>
  </r>
  <r>
    <n v="1455"/>
    <x v="1142"/>
    <x v="249"/>
    <n v="75"/>
    <n v="65"/>
    <s v="350 gm"/>
    <x v="13"/>
  </r>
  <r>
    <n v="1456"/>
    <x v="1142"/>
    <x v="249"/>
    <n v="200"/>
    <n v="160"/>
    <s v="1 kg"/>
    <x v="13"/>
  </r>
  <r>
    <n v="1457"/>
    <x v="1143"/>
    <x v="252"/>
    <n v="320"/>
    <n v="219"/>
    <s v="1 kg"/>
    <x v="13"/>
  </r>
  <r>
    <n v="1458"/>
    <x v="1144"/>
    <x v="250"/>
    <n v="85"/>
    <n v="49"/>
    <s v="170 gm"/>
    <x v="13"/>
  </r>
  <r>
    <n v="1459"/>
    <x v="1145"/>
    <x v="249"/>
    <n v="55"/>
    <n v="49"/>
    <s v="150 gm"/>
    <x v="13"/>
  </r>
  <r>
    <n v="1460"/>
    <x v="1145"/>
    <x v="249"/>
    <n v="105"/>
    <n v="93"/>
    <s v="350 gm"/>
    <x v="13"/>
  </r>
  <r>
    <n v="1461"/>
    <x v="1145"/>
    <x v="249"/>
    <n v="260"/>
    <n v="234"/>
    <s v="1 kg"/>
    <x v="13"/>
  </r>
  <r>
    <n v="1462"/>
    <x v="1146"/>
    <x v="252"/>
    <n v="65"/>
    <n v="32"/>
    <s v="200 gm"/>
    <x v="13"/>
  </r>
  <r>
    <n v="1463"/>
    <x v="1147"/>
    <x v="249"/>
    <n v="74"/>
    <n v="59"/>
    <s v="350 gm"/>
    <x v="13"/>
  </r>
  <r>
    <n v="1464"/>
    <x v="1148"/>
    <x v="253"/>
    <n v="60"/>
    <n v="30"/>
    <s v="60 gm"/>
    <x v="13"/>
  </r>
  <r>
    <n v="1465"/>
    <x v="1149"/>
    <x v="253"/>
    <n v="60"/>
    <n v="30"/>
    <s v="60 gm"/>
    <x v="13"/>
  </r>
  <r>
    <n v="1466"/>
    <x v="1150"/>
    <x v="249"/>
    <n v="40"/>
    <n v="36"/>
    <s v="150 gm"/>
    <x v="13"/>
  </r>
  <r>
    <n v="1467"/>
    <x v="1151"/>
    <x v="254"/>
    <n v="340"/>
    <n v="165"/>
    <s v="1 kg"/>
    <x v="13"/>
  </r>
  <r>
    <n v="1468"/>
    <x v="1152"/>
    <x v="255"/>
    <n v="155"/>
    <n v="77"/>
    <s v="500 gm"/>
    <x v="13"/>
  </r>
  <r>
    <n v="1469"/>
    <x v="1153"/>
    <x v="250"/>
    <n v="180"/>
    <n v="99"/>
    <s v="500 gm"/>
    <x v="13"/>
  </r>
  <r>
    <n v="1470"/>
    <x v="1154"/>
    <x v="256"/>
    <n v="216"/>
    <n v="172"/>
    <s v="500 gm"/>
    <x v="13"/>
  </r>
  <r>
    <n v="1471"/>
    <x v="1155"/>
    <x v="251"/>
    <n v="107"/>
    <n v="79"/>
    <s v="300 gm"/>
    <x v="13"/>
  </r>
  <r>
    <n v="1472"/>
    <x v="1155"/>
    <x v="251"/>
    <n v="58"/>
    <n v="49"/>
    <s v="150 gm"/>
    <x v="13"/>
  </r>
  <r>
    <n v="1473"/>
    <x v="1156"/>
    <x v="250"/>
    <n v="65"/>
    <n v="32"/>
    <s v="170 gm"/>
    <x v="13"/>
  </r>
  <r>
    <n v="1474"/>
    <x v="1157"/>
    <x v="249"/>
    <n v="60"/>
    <n v="53"/>
    <s v="150 gm"/>
    <x v="13"/>
  </r>
  <r>
    <n v="1475"/>
    <x v="1158"/>
    <x v="257"/>
    <n v="143"/>
    <n v="71"/>
    <s v="400 gm"/>
    <x v="13"/>
  </r>
  <r>
    <n v="1476"/>
    <x v="1159"/>
    <x v="256"/>
    <n v="108"/>
    <n v="88"/>
    <s v="250 gm"/>
    <x v="13"/>
  </r>
  <r>
    <n v="1477"/>
    <x v="1160"/>
    <x v="250"/>
    <n v="55"/>
    <n v="39"/>
    <s v="170 gm"/>
    <x v="13"/>
  </r>
  <r>
    <n v="1478"/>
    <x v="1161"/>
    <x v="257"/>
    <n v="143"/>
    <n v="71"/>
    <s v="400 gm"/>
    <x v="13"/>
  </r>
  <r>
    <n v="1479"/>
    <x v="1162"/>
    <x v="258"/>
    <n v="55"/>
    <n v="35"/>
    <s v="140 gm"/>
    <x v="13"/>
  </r>
  <r>
    <n v="1480"/>
    <x v="1163"/>
    <x v="249"/>
    <n v="47"/>
    <n v="39"/>
    <s v="150 gm"/>
    <x v="13"/>
  </r>
  <r>
    <n v="1481"/>
    <x v="1164"/>
    <x v="258"/>
    <n v="60"/>
    <n v="45"/>
    <s v="140 gm"/>
    <x v="13"/>
  </r>
  <r>
    <n v="1482"/>
    <x v="1165"/>
    <x v="258"/>
    <n v="55"/>
    <n v="38"/>
    <s v="140 gm"/>
    <x v="13"/>
  </r>
  <r>
    <n v="1483"/>
    <x v="1166"/>
    <x v="259"/>
    <n v="20"/>
    <n v="18"/>
    <s v="77.2 gm"/>
    <x v="13"/>
  </r>
  <r>
    <n v="1484"/>
    <x v="1167"/>
    <x v="256"/>
    <n v="114"/>
    <n v="99"/>
    <s v="250 gm"/>
    <x v="13"/>
  </r>
  <r>
    <n v="1485"/>
    <x v="1168"/>
    <x v="260"/>
    <n v="250"/>
    <n v="125"/>
    <s v="900 gm"/>
    <x v="13"/>
  </r>
  <r>
    <n v="1486"/>
    <x v="1169"/>
    <x v="259"/>
    <n v="20"/>
    <n v="18"/>
    <s v="77.2 gm"/>
    <x v="13"/>
  </r>
  <r>
    <n v="1487"/>
    <x v="1170"/>
    <x v="261"/>
    <n v="74"/>
    <n v="37"/>
    <s v="100 gm"/>
    <x v="13"/>
  </r>
  <r>
    <n v="1488"/>
    <x v="1171"/>
    <x v="258"/>
    <n v="55"/>
    <n v="35"/>
    <s v="140 gm"/>
    <x v="13"/>
  </r>
  <r>
    <n v="1489"/>
    <x v="1172"/>
    <x v="259"/>
    <n v="20"/>
    <n v="18"/>
    <s v="81 gm"/>
    <x v="13"/>
  </r>
  <r>
    <n v="1490"/>
    <x v="1173"/>
    <x v="262"/>
    <n v="79"/>
    <n v="39"/>
    <s v="74 gm"/>
    <x v="13"/>
  </r>
  <r>
    <n v="1491"/>
    <x v="1174"/>
    <x v="262"/>
    <n v="79"/>
    <n v="39"/>
    <s v="74 gm"/>
    <x v="13"/>
  </r>
  <r>
    <n v="1492"/>
    <x v="1175"/>
    <x v="260"/>
    <n v="60"/>
    <n v="30"/>
    <s v="150 gm"/>
    <x v="13"/>
  </r>
  <r>
    <n v="1493"/>
    <x v="1176"/>
    <x v="263"/>
    <n v="62"/>
    <n v="31"/>
    <s v="100 gm"/>
    <x v="13"/>
  </r>
  <r>
    <n v="1494"/>
    <x v="1177"/>
    <x v="260"/>
    <n v="60"/>
    <n v="30"/>
    <s v="150 gm"/>
    <x v="13"/>
  </r>
  <r>
    <n v="1495"/>
    <x v="1178"/>
    <x v="251"/>
    <n v="167"/>
    <n v="83"/>
    <s v="400 gm"/>
    <x v="13"/>
  </r>
  <r>
    <n v="1496"/>
    <x v="1179"/>
    <x v="262"/>
    <n v="79"/>
    <n v="39"/>
    <s v="74 gm"/>
    <x v="13"/>
  </r>
  <r>
    <n v="1497"/>
    <x v="1180"/>
    <x v="262"/>
    <n v="79"/>
    <n v="39"/>
    <s v="74 gm"/>
    <x v="13"/>
  </r>
  <r>
    <n v="1498"/>
    <x v="1181"/>
    <x v="260"/>
    <n v="60"/>
    <n v="30"/>
    <s v="150 gm"/>
    <x v="13"/>
  </r>
  <r>
    <n v="1499"/>
    <x v="1182"/>
    <x v="263"/>
    <n v="60"/>
    <n v="30"/>
    <s v="150 gm"/>
    <x v="13"/>
  </r>
  <r>
    <n v="1500"/>
    <x v="1183"/>
    <x v="250"/>
    <n v="100"/>
    <n v="65"/>
    <s v="170 gm"/>
    <x v="13"/>
  </r>
  <r>
    <n v="1501"/>
    <x v="1184"/>
    <x v="250"/>
    <n v="85"/>
    <n v="49"/>
    <s v="170 gm"/>
    <x v="13"/>
  </r>
  <r>
    <n v="1502"/>
    <x v="1185"/>
    <x v="264"/>
    <n v="30"/>
    <n v="26"/>
    <s v="73 gm"/>
    <x v="13"/>
  </r>
  <r>
    <n v="1503"/>
    <x v="1185"/>
    <x v="264"/>
    <n v="50"/>
    <n v="33"/>
    <s v="104 gm"/>
    <x v="13"/>
  </r>
  <r>
    <n v="1504"/>
    <x v="1185"/>
    <x v="264"/>
    <n v="78"/>
    <n v="60"/>
    <s v="174 gm"/>
    <x v="13"/>
  </r>
  <r>
    <n v="1505"/>
    <x v="1186"/>
    <x v="264"/>
    <n v="50"/>
    <n v="29"/>
    <s v="104 gm"/>
    <x v="13"/>
  </r>
  <r>
    <n v="1506"/>
    <x v="1186"/>
    <x v="264"/>
    <n v="78"/>
    <n v="65"/>
    <s v="174 gm"/>
    <x v="13"/>
  </r>
  <r>
    <n v="1507"/>
    <x v="1186"/>
    <x v="264"/>
    <n v="30"/>
    <n v="26"/>
    <s v="73 gm"/>
    <x v="13"/>
  </r>
  <r>
    <n v="1508"/>
    <x v="1187"/>
    <x v="250"/>
    <n v="85"/>
    <n v="55"/>
    <s v="170 gm"/>
    <x v="13"/>
  </r>
  <r>
    <n v="1509"/>
    <x v="1188"/>
    <x v="250"/>
    <n v="75"/>
    <n v="49"/>
    <s v="170 gm"/>
    <x v="13"/>
  </r>
  <r>
    <n v="1510"/>
    <x v="1189"/>
    <x v="265"/>
    <n v="115"/>
    <n v="87"/>
    <s v="107 gm"/>
    <x v="13"/>
  </r>
  <r>
    <n v="1511"/>
    <x v="1190"/>
    <x v="265"/>
    <n v="115"/>
    <n v="89"/>
    <s v="107 gm"/>
    <x v="13"/>
  </r>
  <r>
    <n v="1512"/>
    <x v="1191"/>
    <x v="266"/>
    <n v="90"/>
    <n v="80"/>
    <s v="200 gm"/>
    <x v="13"/>
  </r>
  <r>
    <n v="1513"/>
    <x v="1192"/>
    <x v="264"/>
    <n v="50"/>
    <n v="40"/>
    <s v="104 gm"/>
    <x v="13"/>
  </r>
  <r>
    <n v="1514"/>
    <x v="1193"/>
    <x v="264"/>
    <n v="50"/>
    <n v="32"/>
    <s v="104 gm"/>
    <x v="13"/>
  </r>
  <r>
    <n v="1515"/>
    <x v="1194"/>
    <x v="250"/>
    <n v="75"/>
    <n v="50"/>
    <s v="170 gm"/>
    <x v="13"/>
  </r>
  <r>
    <n v="1516"/>
    <x v="1195"/>
    <x v="148"/>
    <n v="25"/>
    <n v="17"/>
    <s v="71.5 gm"/>
    <x v="13"/>
  </r>
  <r>
    <n v="1517"/>
    <x v="1196"/>
    <x v="267"/>
    <n v="85"/>
    <n v="70"/>
    <s v="153 gm"/>
    <x v="13"/>
  </r>
  <r>
    <n v="1518"/>
    <x v="1197"/>
    <x v="251"/>
    <n v="159"/>
    <n v="119"/>
    <s v="300 gm"/>
    <x v="13"/>
  </r>
  <r>
    <n v="1519"/>
    <x v="1198"/>
    <x v="265"/>
    <n v="115"/>
    <n v="94"/>
    <s v="107 gm"/>
    <x v="13"/>
  </r>
  <r>
    <n v="1520"/>
    <x v="1199"/>
    <x v="268"/>
    <n v="40"/>
    <n v="35"/>
    <s v="135 gm"/>
    <x v="13"/>
  </r>
  <r>
    <n v="1521"/>
    <x v="1200"/>
    <x v="268"/>
    <n v="40"/>
    <n v="36"/>
    <s v="150 gm"/>
    <x v="13"/>
  </r>
  <r>
    <n v="1522"/>
    <x v="1201"/>
    <x v="268"/>
    <n v="35"/>
    <n v="30"/>
    <s v="60 gm"/>
    <x v="13"/>
  </r>
  <r>
    <n v="1523"/>
    <x v="1202"/>
    <x v="264"/>
    <n v="30"/>
    <n v="26"/>
    <s v="78 gm"/>
    <x v="13"/>
  </r>
  <r>
    <n v="1524"/>
    <x v="1203"/>
    <x v="265"/>
    <n v="115"/>
    <n v="99"/>
    <s v="107 gm"/>
    <x v="13"/>
  </r>
  <r>
    <n v="1525"/>
    <x v="1204"/>
    <x v="269"/>
    <n v="90"/>
    <n v="60"/>
    <s v="150 gm"/>
    <x v="13"/>
  </r>
  <r>
    <n v="1526"/>
    <x v="1205"/>
    <x v="267"/>
    <n v="85"/>
    <n v="63"/>
    <s v="153 gm"/>
    <x v="13"/>
  </r>
  <r>
    <n v="1527"/>
    <x v="1206"/>
    <x v="258"/>
    <n v="75"/>
    <n v="50"/>
    <s v="170 gm"/>
    <x v="13"/>
  </r>
  <r>
    <n v="1528"/>
    <x v="1207"/>
    <x v="270"/>
    <n v="50"/>
    <n v="40"/>
    <s v="130 gm"/>
    <x v="13"/>
  </r>
  <r>
    <n v="1529"/>
    <x v="1208"/>
    <x v="268"/>
    <n v="35"/>
    <n v="30"/>
    <s v="60 gm"/>
    <x v="13"/>
  </r>
  <r>
    <n v="1530"/>
    <x v="1209"/>
    <x v="271"/>
    <n v="90"/>
    <n v="45"/>
    <s v="150 gm"/>
    <x v="13"/>
  </r>
  <r>
    <n v="1531"/>
    <x v="1210"/>
    <x v="272"/>
    <n v="90"/>
    <n v="45"/>
    <s v="150 gm"/>
    <x v="13"/>
  </r>
  <r>
    <n v="1532"/>
    <x v="1211"/>
    <x v="273"/>
    <n v="120"/>
    <n v="96"/>
    <s v="150 gm"/>
    <x v="13"/>
  </r>
  <r>
    <n v="1533"/>
    <x v="1212"/>
    <x v="2"/>
    <n v="50"/>
    <n v="35"/>
    <s v="100 gm"/>
    <x v="13"/>
  </r>
  <r>
    <n v="1534"/>
    <x v="1213"/>
    <x v="269"/>
    <n v="90"/>
    <n v="60"/>
    <s v="150 gm"/>
    <x v="13"/>
  </r>
  <r>
    <n v="1535"/>
    <x v="1214"/>
    <x v="274"/>
    <n v="20"/>
    <n v="16"/>
    <s v="50 gm"/>
    <x v="13"/>
  </r>
  <r>
    <n v="1536"/>
    <x v="1215"/>
    <x v="268"/>
    <n v="40"/>
    <n v="36"/>
    <s v="135 gm"/>
    <x v="13"/>
  </r>
  <r>
    <n v="1537"/>
    <x v="1216"/>
    <x v="275"/>
    <n v="30"/>
    <n v="27"/>
    <s v="57 gm"/>
    <x v="13"/>
  </r>
  <r>
    <n v="1538"/>
    <x v="1217"/>
    <x v="272"/>
    <n v="90"/>
    <n v="45"/>
    <s v="150 gm"/>
    <x v="13"/>
  </r>
  <r>
    <n v="1539"/>
    <x v="1218"/>
    <x v="271"/>
    <n v="90"/>
    <n v="45"/>
    <s v="150 gm"/>
    <x v="13"/>
  </r>
  <r>
    <n v="1540"/>
    <x v="1219"/>
    <x v="276"/>
    <n v="20"/>
    <n v="16"/>
    <s v="52 gm"/>
    <x v="13"/>
  </r>
  <r>
    <n v="1541"/>
    <x v="1220"/>
    <x v="277"/>
    <n v="50"/>
    <n v="35"/>
    <s v="130 gm"/>
    <x v="13"/>
  </r>
  <r>
    <n v="1542"/>
    <x v="1221"/>
    <x v="273"/>
    <n v="120"/>
    <n v="96"/>
    <s v="150 gm"/>
    <x v="13"/>
  </r>
  <r>
    <n v="1543"/>
    <x v="1222"/>
    <x v="273"/>
    <n v="120"/>
    <n v="96"/>
    <s v="150 gm"/>
    <x v="13"/>
  </r>
  <r>
    <n v="1544"/>
    <x v="1223"/>
    <x v="259"/>
    <n v="20"/>
    <n v="17"/>
    <s v="55 gm"/>
    <x v="13"/>
  </r>
  <r>
    <n v="1545"/>
    <x v="1224"/>
    <x v="273"/>
    <n v="120"/>
    <n v="65"/>
    <s v="150 gm"/>
    <x v="13"/>
  </r>
  <r>
    <n v="1546"/>
    <x v="1225"/>
    <x v="276"/>
    <n v="20"/>
    <n v="15"/>
    <s v="48 gm"/>
    <x v="13"/>
  </r>
  <r>
    <n v="1547"/>
    <x v="1226"/>
    <x v="272"/>
    <n v="40"/>
    <n v="20"/>
    <s v="60 gm"/>
    <x v="13"/>
  </r>
  <r>
    <n v="1548"/>
    <x v="1227"/>
    <x v="272"/>
    <n v="40"/>
    <n v="20"/>
    <s v="60 gm"/>
    <x v="13"/>
  </r>
  <r>
    <n v="1549"/>
    <x v="1228"/>
    <x v="271"/>
    <n v="90"/>
    <n v="45"/>
    <s v="150 gm"/>
    <x v="13"/>
  </r>
  <r>
    <n v="1550"/>
    <x v="1229"/>
    <x v="273"/>
    <n v="120"/>
    <n v="65"/>
    <s v="150 gm"/>
    <x v="13"/>
  </r>
  <r>
    <n v="1551"/>
    <x v="1230"/>
    <x v="278"/>
    <n v="40"/>
    <n v="20"/>
    <s v="60 gm"/>
    <x v="13"/>
  </r>
  <r>
    <n v="1552"/>
    <x v="1231"/>
    <x v="272"/>
    <n v="40"/>
    <n v="20"/>
    <s v="60 gm"/>
    <x v="13"/>
  </r>
  <r>
    <n v="1553"/>
    <x v="1232"/>
    <x v="269"/>
    <n v="90"/>
    <n v="60"/>
    <s v="150 gm"/>
    <x v="13"/>
  </r>
  <r>
    <n v="1554"/>
    <x v="1233"/>
    <x v="272"/>
    <n v="40"/>
    <n v="17"/>
    <s v="60 gm"/>
    <x v="13"/>
  </r>
  <r>
    <n v="1555"/>
    <x v="1234"/>
    <x v="271"/>
    <n v="35"/>
    <n v="19"/>
    <s v="60 gm"/>
    <x v="13"/>
  </r>
  <r>
    <n v="1556"/>
    <x v="1235"/>
    <x v="271"/>
    <n v="90"/>
    <n v="45"/>
    <s v="150 gm"/>
    <x v="13"/>
  </r>
  <r>
    <n v="1557"/>
    <x v="1236"/>
    <x v="273"/>
    <n v="120"/>
    <n v="70"/>
    <s v="150 gm"/>
    <x v="13"/>
  </r>
  <r>
    <n v="1558"/>
    <x v="1237"/>
    <x v="271"/>
    <n v="35"/>
    <n v="24"/>
    <s v="60 gm"/>
    <x v="13"/>
  </r>
  <r>
    <n v="1559"/>
    <x v="1238"/>
    <x v="271"/>
    <n v="35"/>
    <n v="24"/>
    <s v="60 gm"/>
    <x v="13"/>
  </r>
  <r>
    <n v="1560"/>
    <x v="1239"/>
    <x v="278"/>
    <n v="40"/>
    <n v="20"/>
    <s v="60 gm"/>
    <x v="13"/>
  </r>
  <r>
    <n v="1561"/>
    <x v="1240"/>
    <x v="271"/>
    <n v="90"/>
    <n v="45"/>
    <s v="150 gm"/>
    <x v="13"/>
  </r>
  <r>
    <n v="1562"/>
    <x v="1241"/>
    <x v="279"/>
    <n v="50"/>
    <n v="39"/>
    <s v="105 gm"/>
    <x v="13"/>
  </r>
  <r>
    <n v="1563"/>
    <x v="1242"/>
    <x v="279"/>
    <n v="50"/>
    <n v="25"/>
    <s v="105 gm"/>
    <x v="13"/>
  </r>
  <r>
    <n v="1564"/>
    <x v="1243"/>
    <x v="280"/>
    <n v="55"/>
    <n v="27"/>
    <s v="100 gm"/>
    <x v="13"/>
  </r>
  <r>
    <n v="1565"/>
    <x v="1244"/>
    <x v="267"/>
    <n v="50"/>
    <n v="32"/>
    <s v="91 gm"/>
    <x v="13"/>
  </r>
  <r>
    <n v="1566"/>
    <x v="1245"/>
    <x v="279"/>
    <n v="50"/>
    <n v="38"/>
    <s v="105 gm"/>
    <x v="13"/>
  </r>
  <r>
    <n v="1567"/>
    <x v="1246"/>
    <x v="270"/>
    <n v="50"/>
    <n v="25"/>
    <s v="110 gm"/>
    <x v="13"/>
  </r>
  <r>
    <n v="1568"/>
    <x v="1247"/>
    <x v="271"/>
    <n v="120"/>
    <n v="60"/>
    <s v="107 gm"/>
    <x v="13"/>
  </r>
  <r>
    <n v="1569"/>
    <x v="1248"/>
    <x v="271"/>
    <n v="120"/>
    <n v="60"/>
    <s v="107 gm"/>
    <x v="13"/>
  </r>
  <r>
    <n v="1570"/>
    <x v="1205"/>
    <x v="267"/>
    <n v="50"/>
    <n v="35"/>
    <s v="91 gm"/>
    <x v="13"/>
  </r>
  <r>
    <n v="1571"/>
    <x v="1249"/>
    <x v="281"/>
    <n v="110"/>
    <n v="99"/>
    <s v="250 gm"/>
    <x v="13"/>
  </r>
  <r>
    <n v="1572"/>
    <x v="1249"/>
    <x v="281"/>
    <n v="220"/>
    <n v="190"/>
    <s v="500 gm"/>
    <x v="13"/>
  </r>
  <r>
    <n v="1573"/>
    <x v="1250"/>
    <x v="250"/>
    <n v="150"/>
    <n v="75"/>
    <s v="500 gm"/>
    <x v="13"/>
  </r>
  <r>
    <n v="1574"/>
    <x v="1251"/>
    <x v="261"/>
    <n v="74"/>
    <n v="37"/>
    <s v="100 gm"/>
    <x v="13"/>
  </r>
  <r>
    <n v="1575"/>
    <x v="1252"/>
    <x v="258"/>
    <n v="55"/>
    <n v="39"/>
    <s v="140 gm"/>
    <x v="13"/>
  </r>
  <r>
    <n v="1576"/>
    <x v="1253"/>
    <x v="250"/>
    <n v="60"/>
    <n v="50"/>
    <s v="170 gm"/>
    <x v="13"/>
  </r>
  <r>
    <n v="1577"/>
    <x v="1254"/>
    <x v="259"/>
    <n v="30"/>
    <n v="24"/>
    <s v="117 gm"/>
    <x v="13"/>
  </r>
  <r>
    <n v="1578"/>
    <x v="1255"/>
    <x v="251"/>
    <n v="86"/>
    <n v="43"/>
    <s v="150 gm"/>
    <x v="13"/>
  </r>
  <r>
    <n v="1579"/>
    <x v="1256"/>
    <x v="282"/>
    <n v="70"/>
    <n v="55"/>
    <s v="200 gm"/>
    <x v="13"/>
  </r>
  <r>
    <n v="1580"/>
    <x v="1257"/>
    <x v="282"/>
    <n v="60"/>
    <n v="30"/>
    <s v="200 gm"/>
    <x v="13"/>
  </r>
  <r>
    <n v="1581"/>
    <x v="1258"/>
    <x v="251"/>
    <n v="86"/>
    <n v="43"/>
    <s v="150 gm"/>
    <x v="13"/>
  </r>
  <r>
    <n v="1582"/>
    <x v="1259"/>
    <x v="283"/>
    <n v="75"/>
    <n v="37"/>
    <s v="180 gm"/>
    <x v="13"/>
  </r>
  <r>
    <n v="1583"/>
    <x v="1260"/>
    <x v="282"/>
    <n v="65"/>
    <n v="52"/>
    <s v="200 gm"/>
    <x v="13"/>
  </r>
  <r>
    <n v="1584"/>
    <x v="1261"/>
    <x v="251"/>
    <n v="86"/>
    <n v="43"/>
    <s v="150 gm"/>
    <x v="13"/>
  </r>
  <r>
    <n v="1585"/>
    <x v="1262"/>
    <x v="258"/>
    <n v="60"/>
    <n v="38"/>
    <s v="145 gm"/>
    <x v="13"/>
  </r>
  <r>
    <n v="1586"/>
    <x v="1263"/>
    <x v="284"/>
    <n v="130"/>
    <n v="99"/>
    <s v="70 gm"/>
    <x v="13"/>
  </r>
  <r>
    <n v="1587"/>
    <x v="1264"/>
    <x v="260"/>
    <n v="60"/>
    <n v="30"/>
    <s v="150 gm"/>
    <x v="13"/>
  </r>
  <r>
    <n v="1588"/>
    <x v="1265"/>
    <x v="2"/>
    <n v="65"/>
    <n v="32"/>
    <s v="170 gm"/>
    <x v="13"/>
  </r>
  <r>
    <n v="1589"/>
    <x v="1266"/>
    <x v="282"/>
    <n v="65"/>
    <n v="51"/>
    <s v="200 gm"/>
    <x v="13"/>
  </r>
  <r>
    <n v="1590"/>
    <x v="1267"/>
    <x v="284"/>
    <n v="130"/>
    <n v="99"/>
    <s v="70 gm"/>
    <x v="13"/>
  </r>
  <r>
    <n v="1591"/>
    <x v="1268"/>
    <x v="284"/>
    <n v="130"/>
    <n v="111"/>
    <s v="70 gm"/>
    <x v="13"/>
  </r>
  <r>
    <n v="1592"/>
    <x v="1269"/>
    <x v="284"/>
    <n v="130"/>
    <n v="99"/>
    <s v="70 gm"/>
    <x v="13"/>
  </r>
  <r>
    <n v="1593"/>
    <x v="1270"/>
    <x v="284"/>
    <n v="130"/>
    <n v="99"/>
    <s v="70 gm"/>
    <x v="13"/>
  </r>
  <r>
    <n v="1594"/>
    <x v="1271"/>
    <x v="261"/>
    <n v="96"/>
    <n v="48"/>
    <s v="185 gm"/>
    <x v="13"/>
  </r>
  <r>
    <n v="1595"/>
    <x v="1272"/>
    <x v="283"/>
    <n v="75"/>
    <n v="37"/>
    <s v="180 gm"/>
    <x v="13"/>
  </r>
  <r>
    <n v="1596"/>
    <x v="1273"/>
    <x v="261"/>
    <n v="76"/>
    <n v="38"/>
    <s v="180 gm"/>
    <x v="13"/>
  </r>
  <r>
    <n v="1597"/>
    <x v="1274"/>
    <x v="283"/>
    <n v="75"/>
    <n v="37"/>
    <s v="180 gm"/>
    <x v="13"/>
  </r>
  <r>
    <n v="1598"/>
    <x v="1275"/>
    <x v="285"/>
    <n v="350"/>
    <n v="280"/>
    <s v="500 gm"/>
    <x v="13"/>
  </r>
  <r>
    <n v="1599"/>
    <x v="1276"/>
    <x v="261"/>
    <n v="96"/>
    <n v="48"/>
    <s v="185 gm"/>
    <x v="13"/>
  </r>
  <r>
    <n v="1600"/>
    <x v="1277"/>
    <x v="286"/>
    <n v="80"/>
    <n v="64"/>
    <s v="180 gm"/>
    <x v="13"/>
  </r>
  <r>
    <n v="1601"/>
    <x v="1278"/>
    <x v="284"/>
    <n v="130"/>
    <n v="99"/>
    <s v="70 gm"/>
    <x v="13"/>
  </r>
  <r>
    <n v="1602"/>
    <x v="1279"/>
    <x v="283"/>
    <n v="75"/>
    <n v="37"/>
    <s v="180 gm"/>
    <x v="13"/>
  </r>
  <r>
    <n v="1603"/>
    <x v="1280"/>
    <x v="287"/>
    <n v="90"/>
    <n v="45"/>
    <s v="200 gm"/>
    <x v="13"/>
  </r>
  <r>
    <n v="1604"/>
    <x v="1281"/>
    <x v="288"/>
    <n v="85"/>
    <n v="42"/>
    <s v="200 gm"/>
    <x v="13"/>
  </r>
  <r>
    <n v="1605"/>
    <x v="1282"/>
    <x v="260"/>
    <n v="60"/>
    <n v="30"/>
    <s v="150 gm"/>
    <x v="13"/>
  </r>
  <r>
    <n v="1606"/>
    <x v="1283"/>
    <x v="286"/>
    <n v="80"/>
    <n v="64"/>
    <s v="180 gm"/>
    <x v="13"/>
  </r>
  <r>
    <n v="1607"/>
    <x v="1284"/>
    <x v="286"/>
    <n v="80"/>
    <n v="64"/>
    <s v="180 gm"/>
    <x v="13"/>
  </r>
  <r>
    <n v="1608"/>
    <x v="1285"/>
    <x v="285"/>
    <n v="30"/>
    <n v="25"/>
    <s v="30 gm"/>
    <x v="13"/>
  </r>
  <r>
    <n v="1609"/>
    <x v="1286"/>
    <x v="285"/>
    <n v="325"/>
    <n v="255"/>
    <s v="200 gm"/>
    <x v="13"/>
  </r>
  <r>
    <n v="1610"/>
    <x v="1287"/>
    <x v="287"/>
    <n v="90"/>
    <n v="45"/>
    <s v="200 gm"/>
    <x v="13"/>
  </r>
  <r>
    <n v="1611"/>
    <x v="1288"/>
    <x v="286"/>
    <n v="80"/>
    <n v="64"/>
    <s v="180 gm"/>
    <x v="13"/>
  </r>
  <r>
    <n v="1612"/>
    <x v="1289"/>
    <x v="286"/>
    <n v="80"/>
    <n v="64"/>
    <s v="180 gm"/>
    <x v="13"/>
  </r>
  <r>
    <n v="1613"/>
    <x v="1290"/>
    <x v="287"/>
    <n v="90"/>
    <n v="45"/>
    <s v="200 gm"/>
    <x v="13"/>
  </r>
  <r>
    <n v="1614"/>
    <x v="1291"/>
    <x v="285"/>
    <n v="50"/>
    <n v="40"/>
    <s v="30 gm"/>
    <x v="13"/>
  </r>
  <r>
    <n v="1615"/>
    <x v="1292"/>
    <x v="279"/>
    <n v="20"/>
    <n v="15"/>
    <s v="75 gm"/>
    <x v="13"/>
  </r>
  <r>
    <n v="1616"/>
    <x v="1293"/>
    <x v="279"/>
    <n v="20"/>
    <n v="15"/>
    <s v="75 gm"/>
    <x v="13"/>
  </r>
  <r>
    <n v="1617"/>
    <x v="1294"/>
    <x v="285"/>
    <n v="175"/>
    <n v="140"/>
    <s v="200 gm"/>
    <x v="13"/>
  </r>
  <r>
    <n v="1618"/>
    <x v="1295"/>
    <x v="258"/>
    <n v="90"/>
    <n v="60"/>
    <s v="80 gm"/>
    <x v="13"/>
  </r>
  <r>
    <n v="1619"/>
    <x v="1296"/>
    <x v="285"/>
    <n v="30"/>
    <n v="25"/>
    <s v="30 gm"/>
    <x v="13"/>
  </r>
  <r>
    <n v="1620"/>
    <x v="1297"/>
    <x v="285"/>
    <n v="150"/>
    <n v="120"/>
    <s v="160 gm"/>
    <x v="13"/>
  </r>
  <r>
    <n v="1621"/>
    <x v="1298"/>
    <x v="285"/>
    <n v="50"/>
    <n v="38"/>
    <s v="30 gm"/>
    <x v="13"/>
  </r>
  <r>
    <n v="1622"/>
    <x v="1299"/>
    <x v="285"/>
    <n v="300"/>
    <n v="240"/>
    <s v="500 gm"/>
    <x v="13"/>
  </r>
  <r>
    <n v="1623"/>
    <x v="1300"/>
    <x v="285"/>
    <n v="840"/>
    <n v="599"/>
    <s v="400 gm"/>
    <x v="13"/>
  </r>
  <r>
    <n v="1624"/>
    <x v="1301"/>
    <x v="249"/>
    <n v="60"/>
    <n v="30"/>
    <s v="150 gm"/>
    <x v="13"/>
  </r>
  <r>
    <n v="1625"/>
    <x v="1302"/>
    <x v="289"/>
    <n v="68"/>
    <n v="60"/>
    <s v="200 gm"/>
    <x v="13"/>
  </r>
  <r>
    <n v="1626"/>
    <x v="1302"/>
    <x v="289"/>
    <n v="318"/>
    <n v="285"/>
    <s v="1 kg"/>
    <x v="13"/>
  </r>
  <r>
    <n v="1627"/>
    <x v="1303"/>
    <x v="289"/>
    <n v="68"/>
    <n v="58"/>
    <s v="200 gm"/>
    <x v="13"/>
  </r>
  <r>
    <n v="1628"/>
    <x v="1304"/>
    <x v="289"/>
    <n v="80"/>
    <n v="68"/>
    <s v="200 gm"/>
    <x v="13"/>
  </r>
  <r>
    <n v="1629"/>
    <x v="1305"/>
    <x v="250"/>
    <n v="150"/>
    <n v="85"/>
    <s v="500 gm"/>
    <x v="13"/>
  </r>
  <r>
    <n v="1630"/>
    <x v="1306"/>
    <x v="290"/>
    <n v="70"/>
    <n v="35"/>
    <s v="150 gm"/>
    <x v="13"/>
  </r>
  <r>
    <n v="1631"/>
    <x v="1307"/>
    <x v="289"/>
    <n v="68"/>
    <n v="58"/>
    <s v="200 gm"/>
    <x v="13"/>
  </r>
  <r>
    <n v="1632"/>
    <x v="1308"/>
    <x v="249"/>
    <n v="95"/>
    <n v="80"/>
    <s v="350 gm"/>
    <x v="13"/>
  </r>
  <r>
    <n v="1633"/>
    <x v="1309"/>
    <x v="249"/>
    <n v="65"/>
    <n v="52"/>
    <s v="200 gm"/>
    <x v="13"/>
  </r>
  <r>
    <n v="1634"/>
    <x v="1310"/>
    <x v="291"/>
    <n v="34"/>
    <n v="19"/>
    <s v="96 gm"/>
    <x v="13"/>
  </r>
  <r>
    <n v="1635"/>
    <x v="1311"/>
    <x v="289"/>
    <n v="68"/>
    <n v="60"/>
    <s v="200 gm"/>
    <x v="13"/>
  </r>
  <r>
    <n v="1636"/>
    <x v="1311"/>
    <x v="289"/>
    <n v="163"/>
    <n v="147"/>
    <s v="500 gm"/>
    <x v="13"/>
  </r>
  <r>
    <n v="1637"/>
    <x v="1311"/>
    <x v="289"/>
    <n v="318"/>
    <n v="288"/>
    <s v="1 kg"/>
    <x v="13"/>
  </r>
  <r>
    <n v="1638"/>
    <x v="1312"/>
    <x v="291"/>
    <n v="68"/>
    <n v="34"/>
    <s v="200 gm"/>
    <x v="13"/>
  </r>
  <r>
    <n v="1639"/>
    <x v="1313"/>
    <x v="263"/>
    <n v="60"/>
    <n v="30"/>
    <s v="200 gm"/>
    <x v="13"/>
  </r>
  <r>
    <n v="1640"/>
    <x v="1314"/>
    <x v="257"/>
    <n v="150"/>
    <n v="75"/>
    <s v="400 gm"/>
    <x v="13"/>
  </r>
  <r>
    <n v="1641"/>
    <x v="1154"/>
    <x v="256"/>
    <n v="108"/>
    <n v="95"/>
    <s v="250 gm"/>
    <x v="13"/>
  </r>
  <r>
    <n v="1642"/>
    <x v="1315"/>
    <x v="292"/>
    <n v="10"/>
    <n v="9"/>
    <s v="30 gm"/>
    <x v="13"/>
  </r>
  <r>
    <n v="1643"/>
    <x v="1316"/>
    <x v="293"/>
    <n v="60"/>
    <n v="30"/>
    <s v="60 gm"/>
    <x v="13"/>
  </r>
  <r>
    <n v="1644"/>
    <x v="1317"/>
    <x v="292"/>
    <n v="75"/>
    <n v="67"/>
    <s v="99 gm"/>
    <x v="13"/>
  </r>
  <r>
    <n v="1645"/>
    <x v="1318"/>
    <x v="251"/>
    <n v="167"/>
    <n v="83"/>
    <s v="400 gm"/>
    <x v="13"/>
  </r>
  <r>
    <n v="1646"/>
    <x v="1319"/>
    <x v="283"/>
    <n v="50"/>
    <n v="40"/>
    <s v="200 gm"/>
    <x v="13"/>
  </r>
  <r>
    <n v="1647"/>
    <x v="1320"/>
    <x v="261"/>
    <n v="94"/>
    <n v="47"/>
    <s v="180 gm"/>
    <x v="13"/>
  </r>
  <r>
    <n v="1648"/>
    <x v="1321"/>
    <x v="292"/>
    <n v="10"/>
    <n v="9"/>
    <s v="30 gm"/>
    <x v="13"/>
  </r>
  <r>
    <n v="1649"/>
    <x v="1322"/>
    <x v="256"/>
    <n v="150"/>
    <n v="90"/>
    <s v="500 gm"/>
    <x v="13"/>
  </r>
  <r>
    <n v="1650"/>
    <x v="1323"/>
    <x v="292"/>
    <n v="35"/>
    <n v="32"/>
    <s v="70 gm"/>
    <x v="13"/>
  </r>
  <r>
    <n v="1651"/>
    <x v="1324"/>
    <x v="251"/>
    <n v="53"/>
    <n v="43"/>
    <s v="150 gm"/>
    <x v="13"/>
  </r>
  <r>
    <n v="1652"/>
    <x v="1325"/>
    <x v="284"/>
    <n v="55"/>
    <n v="27"/>
    <s v="28 gm"/>
    <x v="13"/>
  </r>
  <r>
    <n v="1653"/>
    <x v="1326"/>
    <x v="286"/>
    <n v="70"/>
    <n v="55"/>
    <s v="160 gm"/>
    <x v="13"/>
  </r>
  <r>
    <n v="1654"/>
    <x v="1327"/>
    <x v="288"/>
    <n v="55"/>
    <n v="27"/>
    <s v="100 gm"/>
    <x v="13"/>
  </r>
  <r>
    <n v="1655"/>
    <x v="1328"/>
    <x v="284"/>
    <n v="55"/>
    <n v="27"/>
    <s v="28 gm"/>
    <x v="13"/>
  </r>
  <r>
    <n v="1656"/>
    <x v="1329"/>
    <x v="286"/>
    <n v="70"/>
    <n v="56"/>
    <s v="140 gm"/>
    <x v="13"/>
  </r>
  <r>
    <n v="1657"/>
    <x v="1330"/>
    <x v="261"/>
    <n v="46"/>
    <n v="23"/>
    <s v="75 gm"/>
    <x v="13"/>
  </r>
  <r>
    <n v="1658"/>
    <x v="1331"/>
    <x v="284"/>
    <n v="55"/>
    <n v="27"/>
    <s v="28 gm"/>
    <x v="13"/>
  </r>
  <r>
    <n v="1659"/>
    <x v="1332"/>
    <x v="263"/>
    <n v="75"/>
    <n v="37"/>
    <s v="200 gm"/>
    <x v="13"/>
  </r>
  <r>
    <n v="1660"/>
    <x v="1333"/>
    <x v="280"/>
    <n v="150"/>
    <n v="119"/>
    <s v="100 gm"/>
    <x v="13"/>
  </r>
  <r>
    <n v="1661"/>
    <x v="1334"/>
    <x v="284"/>
    <n v="130"/>
    <n v="111"/>
    <s v="70 gm"/>
    <x v="13"/>
  </r>
  <r>
    <n v="1662"/>
    <x v="1335"/>
    <x v="284"/>
    <n v="55"/>
    <n v="27"/>
    <s v="28 gm"/>
    <x v="13"/>
  </r>
  <r>
    <n v="1663"/>
    <x v="1336"/>
    <x v="286"/>
    <n v="70"/>
    <n v="56"/>
    <s v="140 gm"/>
    <x v="13"/>
  </r>
  <r>
    <n v="1664"/>
    <x v="1337"/>
    <x v="292"/>
    <n v="35"/>
    <n v="31"/>
    <s v="70 gm"/>
    <x v="13"/>
  </r>
  <r>
    <n v="1665"/>
    <x v="1338"/>
    <x v="283"/>
    <n v="65"/>
    <n v="32"/>
    <s v="200 gm"/>
    <x v="13"/>
  </r>
  <r>
    <n v="1666"/>
    <x v="1339"/>
    <x v="286"/>
    <n v="70"/>
    <n v="56"/>
    <s v="140 gm"/>
    <x v="13"/>
  </r>
  <r>
    <n v="1667"/>
    <x v="1340"/>
    <x v="286"/>
    <n v="70"/>
    <n v="56"/>
    <s v="140 gm"/>
    <x v="13"/>
  </r>
  <r>
    <n v="1668"/>
    <x v="1341"/>
    <x v="256"/>
    <n v="72"/>
    <n v="64"/>
    <s v="250 gm"/>
    <x v="13"/>
  </r>
  <r>
    <n v="1669"/>
    <x v="1342"/>
    <x v="261"/>
    <n v="92"/>
    <n v="46"/>
    <s v="150 gm"/>
    <x v="13"/>
  </r>
  <r>
    <n v="1670"/>
    <x v="1343"/>
    <x v="256"/>
    <n v="78"/>
    <n v="62"/>
    <s v="250 gm"/>
    <x v="13"/>
  </r>
  <r>
    <n v="1671"/>
    <x v="1344"/>
    <x v="294"/>
    <n v="31"/>
    <n v="19"/>
    <s v="70 gm"/>
    <x v="13"/>
  </r>
  <r>
    <n v="1672"/>
    <x v="1345"/>
    <x v="292"/>
    <n v="135"/>
    <n v="120"/>
    <s v="450 gm"/>
    <x v="13"/>
  </r>
  <r>
    <n v="1673"/>
    <x v="1346"/>
    <x v="280"/>
    <n v="80"/>
    <n v="64"/>
    <s v="200 gm"/>
    <x v="13"/>
  </r>
  <r>
    <n v="1674"/>
    <x v="1347"/>
    <x v="292"/>
    <n v="35"/>
    <n v="32"/>
    <s v="70 gm"/>
    <x v="13"/>
  </r>
  <r>
    <n v="1675"/>
    <x v="1348"/>
    <x v="292"/>
    <n v="33"/>
    <n v="30"/>
    <s v="59 gm"/>
    <x v="13"/>
  </r>
  <r>
    <n v="1676"/>
    <x v="1349"/>
    <x v="292"/>
    <n v="72"/>
    <n v="65"/>
    <s v="99 gm"/>
    <x v="13"/>
  </r>
  <r>
    <n v="1677"/>
    <x v="1350"/>
    <x v="256"/>
    <n v="72"/>
    <n v="64"/>
    <s v="250 gm"/>
    <x v="13"/>
  </r>
  <r>
    <n v="1678"/>
    <x v="1351"/>
    <x v="261"/>
    <n v="92"/>
    <n v="46"/>
    <s v="150 gm"/>
    <x v="13"/>
  </r>
  <r>
    <n v="1679"/>
    <x v="1352"/>
    <x v="280"/>
    <n v="62"/>
    <n v="31"/>
    <s v="200 gm"/>
    <x v="13"/>
  </r>
  <r>
    <n v="1680"/>
    <x v="1353"/>
    <x v="279"/>
    <n v="35"/>
    <n v="30"/>
    <s v="65 gm"/>
    <x v="13"/>
  </r>
  <r>
    <n v="1681"/>
    <x v="1354"/>
    <x v="292"/>
    <n v="110"/>
    <n v="95"/>
    <s v="210 gm"/>
    <x v="13"/>
  </r>
  <r>
    <n v="1682"/>
    <x v="1355"/>
    <x v="263"/>
    <n v="32"/>
    <n v="16"/>
    <s v="200 gm"/>
    <x v="13"/>
  </r>
  <r>
    <n v="1683"/>
    <x v="1356"/>
    <x v="261"/>
    <n v="92"/>
    <n v="46"/>
    <s v="150 gm"/>
    <x v="13"/>
  </r>
  <r>
    <n v="1684"/>
    <x v="1357"/>
    <x v="261"/>
    <n v="46"/>
    <n v="23"/>
    <s v="75 gm"/>
    <x v="13"/>
  </r>
  <r>
    <n v="1685"/>
    <x v="1358"/>
    <x v="261"/>
    <n v="92"/>
    <n v="46"/>
    <s v="150 gm"/>
    <x v="13"/>
  </r>
  <r>
    <n v="1686"/>
    <x v="1359"/>
    <x v="251"/>
    <n v="167"/>
    <n v="83"/>
    <s v="400 gm"/>
    <x v="13"/>
  </r>
  <r>
    <n v="1687"/>
    <x v="1360"/>
    <x v="295"/>
    <n v="195"/>
    <n v="149"/>
    <s v="750 gm"/>
    <x v="13"/>
  </r>
  <r>
    <n v="1688"/>
    <x v="1360"/>
    <x v="295"/>
    <n v="315"/>
    <n v="195"/>
    <s v="1.25 Kg"/>
    <x v="13"/>
  </r>
  <r>
    <n v="1689"/>
    <x v="1360"/>
    <x v="295"/>
    <n v="110"/>
    <n v="92"/>
    <s v="420 gm"/>
    <x v="13"/>
  </r>
  <r>
    <n v="1690"/>
    <x v="1361"/>
    <x v="296"/>
    <n v="135"/>
    <n v="115"/>
    <s v="500 gm"/>
    <x v="13"/>
  </r>
  <r>
    <n v="1691"/>
    <x v="1361"/>
    <x v="296"/>
    <n v="240"/>
    <n v="190"/>
    <s v="1 kg"/>
    <x v="13"/>
  </r>
  <r>
    <n v="1692"/>
    <x v="1362"/>
    <x v="297"/>
    <n v="260"/>
    <n v="130"/>
    <s v="1 kg"/>
    <x v="13"/>
  </r>
  <r>
    <n v="1693"/>
    <x v="1362"/>
    <x v="297"/>
    <n v="130"/>
    <n v="65"/>
    <s v="500 gm"/>
    <x v="13"/>
  </r>
  <r>
    <n v="1694"/>
    <x v="1363"/>
    <x v="42"/>
    <n v="260"/>
    <n v="130"/>
    <s v="1 kg"/>
    <x v="13"/>
  </r>
  <r>
    <n v="1695"/>
    <x v="1364"/>
    <x v="295"/>
    <n v="145"/>
    <n v="125"/>
    <s v="250 gm"/>
    <x v="13"/>
  </r>
  <r>
    <n v="1696"/>
    <x v="1364"/>
    <x v="295"/>
    <n v="225"/>
    <n v="205"/>
    <s v="400 gm"/>
    <x v="13"/>
  </r>
  <r>
    <n v="1697"/>
    <x v="1365"/>
    <x v="295"/>
    <n v="230"/>
    <n v="154"/>
    <s v="700 gm"/>
    <x v="13"/>
  </r>
  <r>
    <n v="1698"/>
    <x v="1366"/>
    <x v="42"/>
    <n v="110"/>
    <n v="55"/>
    <s v="425 gm"/>
    <x v="13"/>
  </r>
  <r>
    <n v="1699"/>
    <x v="1367"/>
    <x v="295"/>
    <n v="145"/>
    <n v="130"/>
    <s v="400 gm"/>
    <x v="13"/>
  </r>
  <r>
    <n v="1700"/>
    <x v="1368"/>
    <x v="295"/>
    <n v="215"/>
    <n v="140"/>
    <s v="760 gm"/>
    <x v="13"/>
  </r>
  <r>
    <n v="1701"/>
    <x v="1369"/>
    <x v="295"/>
    <n v="345"/>
    <n v="315"/>
    <s v="1.25 Kg"/>
    <x v="13"/>
  </r>
  <r>
    <n v="1702"/>
    <x v="1369"/>
    <x v="295"/>
    <n v="130"/>
    <n v="115"/>
    <s v="415 gm"/>
    <x v="13"/>
  </r>
  <r>
    <n v="1703"/>
    <x v="1369"/>
    <x v="295"/>
    <n v="215"/>
    <n v="180"/>
    <s v="750 gm"/>
    <x v="13"/>
  </r>
  <r>
    <n v="1704"/>
    <x v="1370"/>
    <x v="295"/>
    <n v="225"/>
    <n v="170"/>
    <s v="400 gm"/>
    <x v="13"/>
  </r>
  <r>
    <n v="1705"/>
    <x v="1371"/>
    <x v="295"/>
    <n v="135"/>
    <n v="99"/>
    <s v="360 gm"/>
    <x v="13"/>
  </r>
  <r>
    <n v="1706"/>
    <x v="1372"/>
    <x v="298"/>
    <n v="210"/>
    <n v="145"/>
    <s v="15 Pcs"/>
    <x v="13"/>
  </r>
  <r>
    <n v="1707"/>
    <x v="1373"/>
    <x v="42"/>
    <n v="150"/>
    <n v="75"/>
    <s v="500 gm"/>
    <x v="13"/>
  </r>
  <r>
    <n v="1708"/>
    <x v="1374"/>
    <x v="299"/>
    <n v="245"/>
    <n v="122"/>
    <s v="800 gm"/>
    <x v="13"/>
  </r>
  <r>
    <n v="1709"/>
    <x v="1375"/>
    <x v="295"/>
    <n v="145"/>
    <n v="130"/>
    <s v="550 gm"/>
    <x v="13"/>
  </r>
  <r>
    <n v="1710"/>
    <x v="1376"/>
    <x v="298"/>
    <n v="325"/>
    <n v="255"/>
    <s v="24 Pcs"/>
    <x v="13"/>
  </r>
  <r>
    <n v="1711"/>
    <x v="1377"/>
    <x v="300"/>
    <n v="170"/>
    <n v="150"/>
    <s v="340 gm"/>
    <x v="13"/>
  </r>
  <r>
    <n v="1712"/>
    <x v="1378"/>
    <x v="295"/>
    <n v="250"/>
    <n v="199"/>
    <s v="750 gm"/>
    <x v="13"/>
  </r>
  <r>
    <n v="1713"/>
    <x v="1379"/>
    <x v="42"/>
    <n v="225"/>
    <n v="112"/>
    <s v="400 gm"/>
    <x v="13"/>
  </r>
  <r>
    <n v="1714"/>
    <x v="1368"/>
    <x v="295"/>
    <n v="115"/>
    <n v="105"/>
    <s v="400 gm"/>
    <x v="13"/>
  </r>
  <r>
    <n v="1715"/>
    <x v="1380"/>
    <x v="301"/>
    <n v="175"/>
    <n v="87"/>
    <s v="540 gm"/>
    <x v="13"/>
  </r>
  <r>
    <n v="1716"/>
    <x v="1381"/>
    <x v="42"/>
    <n v="130"/>
    <n v="65"/>
    <s v="320 gm"/>
    <x v="13"/>
  </r>
  <r>
    <n v="1717"/>
    <x v="1365"/>
    <x v="295"/>
    <n v="140"/>
    <n v="112"/>
    <s v="420 gm"/>
    <x v="13"/>
  </r>
  <r>
    <n v="1718"/>
    <x v="1382"/>
    <x v="301"/>
    <n v="145"/>
    <n v="72"/>
    <s v="500 gm"/>
    <x v="13"/>
  </r>
  <r>
    <n v="1719"/>
    <x v="1383"/>
    <x v="298"/>
    <n v="295"/>
    <n v="220"/>
    <s v="24 Pcs"/>
    <x v="13"/>
  </r>
  <r>
    <n v="1720"/>
    <x v="1384"/>
    <x v="42"/>
    <n v="175"/>
    <n v="87"/>
    <s v="400 gm"/>
    <x v="13"/>
  </r>
  <r>
    <n v="1721"/>
    <x v="1385"/>
    <x v="299"/>
    <n v="135"/>
    <n v="67"/>
    <s v="200 gm"/>
    <x v="13"/>
  </r>
  <r>
    <n v="1722"/>
    <x v="1368"/>
    <x v="295"/>
    <n v="315"/>
    <n v="260"/>
    <s v="1.24 kg"/>
    <x v="13"/>
  </r>
  <r>
    <n v="1723"/>
    <x v="1386"/>
    <x v="302"/>
    <n v="99"/>
    <n v="84"/>
    <s v="500 gm"/>
    <x v="13"/>
  </r>
  <r>
    <n v="1724"/>
    <x v="1387"/>
    <x v="296"/>
    <n v="80"/>
    <n v="63"/>
    <s v="500 gm"/>
    <x v="13"/>
  </r>
  <r>
    <n v="1725"/>
    <x v="1388"/>
    <x v="302"/>
    <n v="99"/>
    <n v="81"/>
    <s v="275 gm"/>
    <x v="13"/>
  </r>
  <r>
    <n v="1726"/>
    <x v="1389"/>
    <x v="162"/>
    <n v="95"/>
    <n v="82"/>
    <s v="5 pcs"/>
    <x v="21"/>
  </r>
  <r>
    <n v="1727"/>
    <x v="1390"/>
    <x v="42"/>
    <n v="125"/>
    <n v="62"/>
    <s v="340 gm"/>
    <x v="13"/>
  </r>
  <r>
    <n v="1728"/>
    <x v="1391"/>
    <x v="301"/>
    <n v="185"/>
    <n v="125"/>
    <s v="320 gm"/>
    <x v="13"/>
  </r>
  <r>
    <n v="1729"/>
    <x v="1392"/>
    <x v="301"/>
    <n v="140"/>
    <n v="99"/>
    <s v="230 gm"/>
    <x v="13"/>
  </r>
  <r>
    <n v="1730"/>
    <x v="1393"/>
    <x v="296"/>
    <n v="80"/>
    <n v="65"/>
    <s v="200 gm"/>
    <x v="13"/>
  </r>
  <r>
    <n v="1731"/>
    <x v="1386"/>
    <x v="302"/>
    <n v="60"/>
    <n v="45"/>
    <s v="250 gm"/>
    <x v="13"/>
  </r>
  <r>
    <n v="1732"/>
    <x v="1394"/>
    <x v="299"/>
    <n v="115"/>
    <n v="57"/>
    <s v="300 gm"/>
    <x v="13"/>
  </r>
  <r>
    <n v="1733"/>
    <x v="1395"/>
    <x v="296"/>
    <n v="100"/>
    <n v="80"/>
    <s v="400 gm"/>
    <x v="13"/>
  </r>
  <r>
    <n v="1734"/>
    <x v="1396"/>
    <x v="295"/>
    <n v="145"/>
    <n v="125"/>
    <s v="415 gm"/>
    <x v="13"/>
  </r>
  <r>
    <n v="1735"/>
    <x v="1397"/>
    <x v="300"/>
    <n v="130"/>
    <n v="105"/>
    <s v="210 gm"/>
    <x v="13"/>
  </r>
  <r>
    <n v="1736"/>
    <x v="1398"/>
    <x v="299"/>
    <n v="135"/>
    <n v="67"/>
    <s v="400 gm"/>
    <x v="13"/>
  </r>
  <r>
    <n v="1737"/>
    <x v="1399"/>
    <x v="301"/>
    <n v="145"/>
    <n v="115"/>
    <s v="450 gm"/>
    <x v="13"/>
  </r>
  <r>
    <n v="1738"/>
    <x v="1400"/>
    <x v="303"/>
    <n v="80"/>
    <n v="55"/>
    <s v="94 gm"/>
    <x v="13"/>
  </r>
  <r>
    <n v="1739"/>
    <x v="1401"/>
    <x v="303"/>
    <n v="75"/>
    <n v="55"/>
    <s v="85 gm"/>
    <x v="13"/>
  </r>
  <r>
    <n v="1740"/>
    <x v="1402"/>
    <x v="304"/>
    <n v="175"/>
    <n v="125"/>
    <s v="110 gm"/>
    <x v="13"/>
  </r>
  <r>
    <n v="1741"/>
    <x v="1403"/>
    <x v="292"/>
    <n v="135"/>
    <n v="120"/>
    <s v="450 gm"/>
    <x v="13"/>
  </r>
  <r>
    <n v="1742"/>
    <x v="1404"/>
    <x v="304"/>
    <n v="200"/>
    <n v="125"/>
    <s v="125 gm"/>
    <x v="13"/>
  </r>
  <r>
    <n v="1743"/>
    <x v="1405"/>
    <x v="303"/>
    <n v="80"/>
    <n v="55"/>
    <s v="92 gm"/>
    <x v="13"/>
  </r>
  <r>
    <n v="1744"/>
    <x v="1406"/>
    <x v="303"/>
    <n v="75"/>
    <n v="50"/>
    <s v="85 gm"/>
    <x v="13"/>
  </r>
  <r>
    <n v="1745"/>
    <x v="1407"/>
    <x v="304"/>
    <n v="10"/>
    <n v="8"/>
    <s v="30 gm"/>
    <x v="13"/>
  </r>
  <r>
    <n v="1746"/>
    <x v="1408"/>
    <x v="304"/>
    <n v="10"/>
    <n v="8"/>
    <s v="30 gm"/>
    <x v="13"/>
  </r>
  <r>
    <n v="1747"/>
    <x v="1409"/>
    <x v="304"/>
    <n v="10"/>
    <n v="8"/>
    <s v="30 gm"/>
    <x v="13"/>
  </r>
  <r>
    <n v="1748"/>
    <x v="1410"/>
    <x v="304"/>
    <n v="10"/>
    <n v="8"/>
    <s v="30 gm"/>
    <x v="13"/>
  </r>
  <r>
    <n v="1749"/>
    <x v="1411"/>
    <x v="305"/>
    <n v="330"/>
    <n v="239"/>
    <s v="875 gm"/>
    <x v="22"/>
  </r>
  <r>
    <n v="1750"/>
    <x v="1411"/>
    <x v="305"/>
    <n v="190"/>
    <n v="170"/>
    <s v="475 gm"/>
    <x v="22"/>
  </r>
  <r>
    <n v="1751"/>
    <x v="1412"/>
    <x v="305"/>
    <n v="330"/>
    <n v="299"/>
    <s v="700 gm"/>
    <x v="22"/>
  </r>
  <r>
    <n v="1752"/>
    <x v="1412"/>
    <x v="305"/>
    <n v="499"/>
    <n v="415"/>
    <s v="1.2 kg"/>
    <x v="22"/>
  </r>
  <r>
    <n v="1753"/>
    <x v="1413"/>
    <x v="306"/>
    <n v="349"/>
    <n v="249"/>
    <s v="1200 gm"/>
    <x v="22"/>
  </r>
  <r>
    <n v="1754"/>
    <x v="1413"/>
    <x v="306"/>
    <n v="10"/>
    <n v="5"/>
    <s v="22 gm"/>
    <x v="22"/>
  </r>
  <r>
    <n v="1755"/>
    <x v="1414"/>
    <x v="305"/>
    <n v="70"/>
    <n v="59"/>
    <s v="156 gm"/>
    <x v="22"/>
  </r>
  <r>
    <n v="1756"/>
    <x v="1415"/>
    <x v="307"/>
    <n v="378"/>
    <n v="175"/>
    <s v="800 gm"/>
    <x v="22"/>
  </r>
  <r>
    <n v="1757"/>
    <x v="1416"/>
    <x v="305"/>
    <n v="350"/>
    <n v="315"/>
    <s v="460 gm"/>
    <x v="22"/>
  </r>
  <r>
    <n v="1758"/>
    <x v="1417"/>
    <x v="305"/>
    <n v="190"/>
    <n v="150"/>
    <s v="250 gm"/>
    <x v="22"/>
  </r>
  <r>
    <n v="1759"/>
    <x v="1418"/>
    <x v="305"/>
    <n v="190"/>
    <n v="175"/>
    <s v="375 gm"/>
    <x v="22"/>
  </r>
  <r>
    <n v="1760"/>
    <x v="1419"/>
    <x v="305"/>
    <n v="230"/>
    <n v="200"/>
    <s v="425 gm"/>
    <x v="22"/>
  </r>
  <r>
    <n v="1761"/>
    <x v="1420"/>
    <x v="305"/>
    <n v="185"/>
    <n v="145"/>
    <s v="285 gm"/>
    <x v="22"/>
  </r>
  <r>
    <n v="1762"/>
    <x v="1421"/>
    <x v="242"/>
    <n v="240"/>
    <n v="120"/>
    <s v="500 gm"/>
    <x v="22"/>
  </r>
  <r>
    <n v="1763"/>
    <x v="1422"/>
    <x v="308"/>
    <n v="199"/>
    <n v="99"/>
    <s v="250 gm"/>
    <x v="22"/>
  </r>
  <r>
    <n v="1764"/>
    <x v="1423"/>
    <x v="242"/>
    <n v="60"/>
    <n v="30"/>
    <s v="120 gm"/>
    <x v="22"/>
  </r>
  <r>
    <n v="1765"/>
    <x v="1424"/>
    <x v="308"/>
    <n v="199"/>
    <n v="99"/>
    <s v="250 gm"/>
    <x v="22"/>
  </r>
  <r>
    <n v="1766"/>
    <x v="1425"/>
    <x v="306"/>
    <n v="60"/>
    <n v="30"/>
    <s v="150 gm"/>
    <x v="22"/>
  </r>
  <r>
    <n v="1767"/>
    <x v="1426"/>
    <x v="309"/>
    <n v="79"/>
    <n v="66"/>
    <s v="400 gm"/>
    <x v="22"/>
  </r>
  <r>
    <n v="1768"/>
    <x v="1426"/>
    <x v="309"/>
    <n v="292"/>
    <n v="192"/>
    <s v="1.5 kg"/>
    <x v="22"/>
  </r>
  <r>
    <n v="1769"/>
    <x v="1427"/>
    <x v="17"/>
    <n v="202"/>
    <n v="159"/>
    <s v="500 gm"/>
    <x v="22"/>
  </r>
  <r>
    <n v="1770"/>
    <x v="1428"/>
    <x v="307"/>
    <n v="205"/>
    <n v="135"/>
    <s v="1 kg"/>
    <x v="22"/>
  </r>
  <r>
    <n v="1771"/>
    <x v="1429"/>
    <x v="305"/>
    <n v="175"/>
    <n v="135"/>
    <s v="900 gm"/>
    <x v="22"/>
  </r>
  <r>
    <n v="1772"/>
    <x v="1430"/>
    <x v="306"/>
    <n v="190"/>
    <n v="109"/>
    <s v="1 kg"/>
    <x v="22"/>
  </r>
  <r>
    <n v="1773"/>
    <x v="1431"/>
    <x v="17"/>
    <n v="202"/>
    <n v="175"/>
    <s v="500 gm"/>
    <x v="22"/>
  </r>
  <r>
    <n v="1774"/>
    <x v="1432"/>
    <x v="17"/>
    <n v="16"/>
    <n v="14"/>
    <s v="38 gm"/>
    <x v="22"/>
  </r>
  <r>
    <n v="1775"/>
    <x v="1427"/>
    <x v="17"/>
    <n v="16"/>
    <n v="14"/>
    <s v="38 gm"/>
    <x v="22"/>
  </r>
  <r>
    <n v="1776"/>
    <x v="1431"/>
    <x v="17"/>
    <n v="16"/>
    <n v="14"/>
    <s v="38 gm"/>
    <x v="22"/>
  </r>
  <r>
    <n v="1777"/>
    <x v="1433"/>
    <x v="310"/>
    <n v="225"/>
    <n v="112"/>
    <s v="400 gm"/>
    <x v="22"/>
  </r>
  <r>
    <n v="1778"/>
    <x v="1434"/>
    <x v="310"/>
    <n v="199"/>
    <n v="99"/>
    <s v="400 gm"/>
    <x v="22"/>
  </r>
  <r>
    <n v="1779"/>
    <x v="1435"/>
    <x v="305"/>
    <n v="345"/>
    <n v="299"/>
    <s v="500 gm"/>
    <x v="22"/>
  </r>
  <r>
    <n v="1780"/>
    <x v="1435"/>
    <x v="305"/>
    <n v="460"/>
    <n v="359"/>
    <s v="750 gm"/>
    <x v="22"/>
  </r>
  <r>
    <n v="1781"/>
    <x v="1436"/>
    <x v="177"/>
    <n v="575"/>
    <n v="287"/>
    <s v="1 kg"/>
    <x v="22"/>
  </r>
  <r>
    <n v="1782"/>
    <x v="1437"/>
    <x v="305"/>
    <n v="440"/>
    <n v="329"/>
    <s v="750 gm"/>
    <x v="22"/>
  </r>
  <r>
    <n v="1783"/>
    <x v="1438"/>
    <x v="177"/>
    <n v="575"/>
    <n v="287"/>
    <s v="1 kg"/>
    <x v="22"/>
  </r>
  <r>
    <n v="1784"/>
    <x v="1439"/>
    <x v="307"/>
    <n v="599"/>
    <n v="399"/>
    <s v="1 kg"/>
    <x v="22"/>
  </r>
  <r>
    <n v="1785"/>
    <x v="1440"/>
    <x v="311"/>
    <n v="325"/>
    <n v="162"/>
    <s v="400 gm"/>
    <x v="22"/>
  </r>
  <r>
    <n v="1786"/>
    <x v="1440"/>
    <x v="311"/>
    <n v="499"/>
    <n v="249"/>
    <s v="700 gm"/>
    <x v="22"/>
  </r>
  <r>
    <n v="1787"/>
    <x v="1441"/>
    <x v="311"/>
    <n v="325"/>
    <n v="162"/>
    <s v="400 gm"/>
    <x v="22"/>
  </r>
  <r>
    <n v="1788"/>
    <x v="1441"/>
    <x v="311"/>
    <n v="499"/>
    <n v="249"/>
    <s v="700 gm"/>
    <x v="22"/>
  </r>
  <r>
    <n v="1789"/>
    <x v="1442"/>
    <x v="305"/>
    <n v="350"/>
    <n v="270"/>
    <s v="450 gm"/>
    <x v="22"/>
  </r>
  <r>
    <n v="1790"/>
    <x v="1443"/>
    <x v="311"/>
    <n v="325"/>
    <n v="162"/>
    <s v="400 gm"/>
    <x v="22"/>
  </r>
  <r>
    <n v="1791"/>
    <x v="1444"/>
    <x v="312"/>
    <n v="500"/>
    <n v="250"/>
    <s v="500 gm"/>
    <x v="22"/>
  </r>
  <r>
    <n v="1792"/>
    <x v="1445"/>
    <x v="312"/>
    <n v="650"/>
    <n v="325"/>
    <s v="500 gm"/>
    <x v="22"/>
  </r>
  <r>
    <n v="1793"/>
    <x v="1446"/>
    <x v="312"/>
    <n v="650"/>
    <n v="325"/>
    <s v="500 gm"/>
    <x v="22"/>
  </r>
  <r>
    <n v="1794"/>
    <x v="1447"/>
    <x v="313"/>
    <n v="619"/>
    <n v="309"/>
    <s v="1 kg"/>
    <x v="22"/>
  </r>
  <r>
    <n v="1795"/>
    <x v="1448"/>
    <x v="313"/>
    <n v="669"/>
    <n v="334"/>
    <s v="1 kg"/>
    <x v="22"/>
  </r>
  <r>
    <n v="1796"/>
    <x v="1449"/>
    <x v="314"/>
    <n v="149"/>
    <n v="94"/>
    <s v="126 gm"/>
    <x v="23"/>
  </r>
  <r>
    <n v="1797"/>
    <x v="1450"/>
    <x v="315"/>
    <n v="200"/>
    <n v="133"/>
    <s v="605 gm"/>
    <x v="24"/>
  </r>
  <r>
    <n v="1798"/>
    <x v="1451"/>
    <x v="64"/>
    <n v="140"/>
    <n v="119"/>
    <s v="250 gm"/>
    <x v="24"/>
  </r>
  <r>
    <n v="1799"/>
    <x v="1452"/>
    <x v="142"/>
    <n v="100"/>
    <n v="80"/>
    <s v="119 gm"/>
    <x v="23"/>
  </r>
  <r>
    <n v="1800"/>
    <x v="1453"/>
    <x v="64"/>
    <n v="110"/>
    <n v="95"/>
    <s v="150 gm"/>
    <x v="23"/>
  </r>
  <r>
    <n v="1801"/>
    <x v="1454"/>
    <x v="316"/>
    <n v="175"/>
    <n v="148"/>
    <s v="137 gm"/>
    <x v="23"/>
  </r>
  <r>
    <n v="1802"/>
    <x v="1455"/>
    <x v="317"/>
    <n v="149"/>
    <n v="95"/>
    <s v="200 gm"/>
    <x v="23"/>
  </r>
  <r>
    <n v="1803"/>
    <x v="1456"/>
    <x v="142"/>
    <n v="100"/>
    <n v="80"/>
    <s v="187.2 gm"/>
    <x v="23"/>
  </r>
  <r>
    <n v="1804"/>
    <x v="1457"/>
    <x v="316"/>
    <n v="75"/>
    <n v="63"/>
    <s v="60 gm"/>
    <x v="23"/>
  </r>
  <r>
    <n v="1805"/>
    <x v="1457"/>
    <x v="316"/>
    <n v="170"/>
    <n v="140"/>
    <s v="150 gm"/>
    <x v="23"/>
  </r>
  <r>
    <n v="1806"/>
    <x v="1458"/>
    <x v="318"/>
    <n v="529"/>
    <n v="423"/>
    <s v="200 gm"/>
    <x v="23"/>
  </r>
  <r>
    <n v="1807"/>
    <x v="1459"/>
    <x v="237"/>
    <n v="200"/>
    <n v="140"/>
    <s v="162 gm"/>
    <x v="23"/>
  </r>
  <r>
    <n v="1808"/>
    <x v="1460"/>
    <x v="64"/>
    <n v="110"/>
    <n v="94"/>
    <s v="150 gm"/>
    <x v="23"/>
  </r>
  <r>
    <n v="1809"/>
    <x v="1461"/>
    <x v="237"/>
    <n v="100"/>
    <n v="85"/>
    <s v="126 gm"/>
    <x v="23"/>
  </r>
  <r>
    <n v="1810"/>
    <x v="1462"/>
    <x v="237"/>
    <n v="100"/>
    <n v="70"/>
    <s v="142.2 gm"/>
    <x v="23"/>
  </r>
  <r>
    <n v="1811"/>
    <x v="1463"/>
    <x v="318"/>
    <n v="895"/>
    <n v="716"/>
    <s v="300 gm"/>
    <x v="23"/>
  </r>
  <r>
    <n v="1812"/>
    <x v="1464"/>
    <x v="314"/>
    <n v="20"/>
    <n v="18"/>
    <s v="24 gm"/>
    <x v="23"/>
  </r>
  <r>
    <n v="1813"/>
    <x v="1464"/>
    <x v="314"/>
    <n v="50"/>
    <n v="44"/>
    <s v="50 gm"/>
    <x v="23"/>
  </r>
  <r>
    <n v="1814"/>
    <x v="1465"/>
    <x v="316"/>
    <n v="80"/>
    <n v="73"/>
    <s v="50 gm"/>
    <x v="23"/>
  </r>
  <r>
    <n v="1815"/>
    <x v="1465"/>
    <x v="316"/>
    <n v="175"/>
    <n v="145"/>
    <s v="120 gm"/>
    <x v="23"/>
  </r>
  <r>
    <n v="1816"/>
    <x v="1466"/>
    <x v="319"/>
    <n v="175"/>
    <n v="160"/>
    <s v="400 gm"/>
    <x v="23"/>
  </r>
  <r>
    <n v="1817"/>
    <x v="1467"/>
    <x v="220"/>
    <n v="100"/>
    <n v="90"/>
    <s v="391 gm"/>
    <x v="24"/>
  </r>
  <r>
    <n v="1818"/>
    <x v="1467"/>
    <x v="220"/>
    <n v="50"/>
    <n v="45"/>
    <s v="195.5 gm"/>
    <x v="24"/>
  </r>
  <r>
    <n v="1819"/>
    <x v="1468"/>
    <x v="320"/>
    <n v="149"/>
    <n v="125"/>
    <s v="130 gm"/>
    <x v="23"/>
  </r>
  <r>
    <n v="1820"/>
    <x v="1469"/>
    <x v="64"/>
    <n v="160"/>
    <n v="80"/>
    <s v="125 gm"/>
    <x v="23"/>
  </r>
  <r>
    <n v="1821"/>
    <x v="1470"/>
    <x v="321"/>
    <n v="45"/>
    <n v="35"/>
    <s v="45 gm"/>
    <x v="23"/>
  </r>
  <r>
    <n v="1822"/>
    <x v="1471"/>
    <x v="322"/>
    <n v="45"/>
    <n v="40"/>
    <s v="20 gm"/>
    <x v="23"/>
  </r>
  <r>
    <n v="1823"/>
    <x v="1472"/>
    <x v="237"/>
    <n v="120"/>
    <n v="60"/>
    <s v="108.5 gm"/>
    <x v="23"/>
  </r>
  <r>
    <n v="1824"/>
    <x v="1473"/>
    <x v="323"/>
    <n v="100"/>
    <n v="50"/>
    <s v="273 gm"/>
    <x v="24"/>
  </r>
  <r>
    <n v="1825"/>
    <x v="1474"/>
    <x v="237"/>
    <n v="45"/>
    <n v="39"/>
    <s v="15.8 gm"/>
    <x v="23"/>
  </r>
  <r>
    <n v="1826"/>
    <x v="1475"/>
    <x v="316"/>
    <n v="80"/>
    <n v="73"/>
    <s v="60 gm"/>
    <x v="23"/>
  </r>
  <r>
    <n v="1827"/>
    <x v="1475"/>
    <x v="316"/>
    <n v="175"/>
    <n v="155"/>
    <s v="130 gm"/>
    <x v="23"/>
  </r>
  <r>
    <n v="1828"/>
    <x v="1476"/>
    <x v="322"/>
    <n v="45"/>
    <n v="40"/>
    <s v="20 gm"/>
    <x v="23"/>
  </r>
  <r>
    <n v="1829"/>
    <x v="1477"/>
    <x v="311"/>
    <n v="125"/>
    <n v="62"/>
    <s v="60 gm"/>
    <x v="20"/>
  </r>
  <r>
    <n v="1830"/>
    <x v="1478"/>
    <x v="321"/>
    <n v="175"/>
    <n v="120"/>
    <s v="156 gm"/>
    <x v="23"/>
  </r>
  <r>
    <n v="1831"/>
    <x v="1479"/>
    <x v="311"/>
    <n v="50"/>
    <n v="25"/>
    <s v="50 gm"/>
    <x v="20"/>
  </r>
  <r>
    <n v="1832"/>
    <x v="1480"/>
    <x v="324"/>
    <n v="299"/>
    <n v="149"/>
    <s v="100 gm"/>
    <x v="10"/>
  </r>
  <r>
    <n v="1833"/>
    <x v="1481"/>
    <x v="314"/>
    <n v="45"/>
    <n v="39"/>
    <s v="36 gm"/>
    <x v="23"/>
  </r>
  <r>
    <n v="1834"/>
    <x v="1482"/>
    <x v="319"/>
    <n v="210"/>
    <n v="195"/>
    <s v="400 gm"/>
    <x v="23"/>
  </r>
  <r>
    <n v="1835"/>
    <x v="1483"/>
    <x v="64"/>
    <n v="210"/>
    <n v="185"/>
    <s v="200 gm"/>
    <x v="23"/>
  </r>
  <r>
    <n v="1836"/>
    <x v="1484"/>
    <x v="142"/>
    <n v="30"/>
    <n v="27"/>
    <s v="36.5 gm"/>
    <x v="23"/>
  </r>
  <r>
    <n v="1837"/>
    <x v="1485"/>
    <x v="311"/>
    <n v="50"/>
    <n v="25"/>
    <s v="50 gm"/>
    <x v="20"/>
  </r>
  <r>
    <n v="1838"/>
    <x v="1486"/>
    <x v="319"/>
    <n v="210"/>
    <n v="196"/>
    <s v="400 gm"/>
    <x v="23"/>
  </r>
  <r>
    <n v="1839"/>
    <x v="1487"/>
    <x v="324"/>
    <n v="299"/>
    <n v="149"/>
    <s v="100 gm"/>
    <x v="10"/>
  </r>
  <r>
    <n v="1840"/>
    <x v="1488"/>
    <x v="314"/>
    <n v="90"/>
    <n v="81"/>
    <s v="80 gm"/>
    <x v="23"/>
  </r>
  <r>
    <n v="1841"/>
    <x v="1489"/>
    <x v="325"/>
    <n v="140"/>
    <n v="119"/>
    <s v="100.8 gm"/>
    <x v="23"/>
  </r>
  <r>
    <n v="1842"/>
    <x v="1490"/>
    <x v="324"/>
    <n v="299"/>
    <n v="149"/>
    <s v="100 gm"/>
    <x v="10"/>
  </r>
  <r>
    <n v="1843"/>
    <x v="1491"/>
    <x v="325"/>
    <n v="140"/>
    <n v="119"/>
    <s v="108 gm"/>
    <x v="23"/>
  </r>
  <r>
    <n v="1844"/>
    <x v="1492"/>
    <x v="311"/>
    <n v="40"/>
    <n v="20"/>
    <s v="38 gm"/>
    <x v="20"/>
  </r>
  <r>
    <n v="1845"/>
    <x v="1493"/>
    <x v="318"/>
    <n v="149"/>
    <n v="134"/>
    <s v="50 gm"/>
    <x v="23"/>
  </r>
  <r>
    <n v="1846"/>
    <x v="1494"/>
    <x v="324"/>
    <n v="299"/>
    <n v="149"/>
    <s v="100 gm"/>
    <x v="10"/>
  </r>
  <r>
    <n v="1847"/>
    <x v="1495"/>
    <x v="311"/>
    <n v="40"/>
    <n v="20"/>
    <s v="38 gm"/>
    <x v="20"/>
  </r>
  <r>
    <n v="1848"/>
    <x v="1496"/>
    <x v="64"/>
    <n v="110"/>
    <n v="93"/>
    <s v="150 gm"/>
    <x v="23"/>
  </r>
  <r>
    <n v="1849"/>
    <x v="1497"/>
    <x v="319"/>
    <n v="235"/>
    <n v="199"/>
    <s v="400 gm"/>
    <x v="23"/>
  </r>
  <r>
    <n v="1850"/>
    <x v="1452"/>
    <x v="142"/>
    <n v="20"/>
    <n v="18"/>
    <s v="27.5 gm"/>
    <x v="23"/>
  </r>
  <r>
    <n v="1851"/>
    <x v="1498"/>
    <x v="326"/>
    <n v="140"/>
    <n v="70"/>
    <s v="170 gm"/>
    <x v="23"/>
  </r>
  <r>
    <n v="1852"/>
    <x v="1499"/>
    <x v="324"/>
    <n v="299"/>
    <n v="149"/>
    <s v="100 gm"/>
    <x v="10"/>
  </r>
  <r>
    <n v="1853"/>
    <x v="1500"/>
    <x v="317"/>
    <n v="20"/>
    <n v="18"/>
    <s v="40 gm"/>
    <x v="23"/>
  </r>
  <r>
    <n v="1854"/>
    <x v="1501"/>
    <x v="121"/>
    <n v="50"/>
    <n v="38"/>
    <s v="20 ml"/>
    <x v="23"/>
  </r>
  <r>
    <n v="1855"/>
    <x v="1502"/>
    <x v="320"/>
    <n v="60"/>
    <n v="52"/>
    <s v="57 gm"/>
    <x v="23"/>
  </r>
  <r>
    <n v="1856"/>
    <x v="1503"/>
    <x v="237"/>
    <n v="175"/>
    <n v="150"/>
    <s v="120 gm"/>
    <x v="23"/>
  </r>
  <r>
    <n v="1857"/>
    <x v="1504"/>
    <x v="322"/>
    <n v="20"/>
    <n v="18"/>
    <s v="19 gm"/>
    <x v="23"/>
  </r>
  <r>
    <n v="1858"/>
    <x v="1505"/>
    <x v="326"/>
    <n v="165"/>
    <n v="82"/>
    <s v="20x10 gm"/>
    <x v="23"/>
  </r>
  <r>
    <n v="1859"/>
    <x v="1503"/>
    <x v="237"/>
    <n v="80"/>
    <n v="70"/>
    <s v="50 gm"/>
    <x v="23"/>
  </r>
  <r>
    <n v="1860"/>
    <x v="1506"/>
    <x v="237"/>
    <n v="20"/>
    <n v="17"/>
    <s v="25.28 gm"/>
    <x v="23"/>
  </r>
  <r>
    <n v="1861"/>
    <x v="1507"/>
    <x v="142"/>
    <n v="100"/>
    <n v="89"/>
    <s v="180 gm"/>
    <x v="23"/>
  </r>
  <r>
    <n v="1862"/>
    <x v="1508"/>
    <x v="325"/>
    <n v="140"/>
    <n v="119"/>
    <s v="100.8 gm"/>
    <x v="23"/>
  </r>
  <r>
    <n v="1863"/>
    <x v="1509"/>
    <x v="176"/>
    <n v="150"/>
    <n v="125"/>
    <s v="100 gm"/>
    <x v="23"/>
  </r>
  <r>
    <n v="1864"/>
    <x v="1510"/>
    <x v="142"/>
    <n v="10"/>
    <n v="9"/>
    <s v="20.1 gm"/>
    <x v="23"/>
  </r>
  <r>
    <n v="1865"/>
    <x v="1511"/>
    <x v="114"/>
    <n v="249"/>
    <n v="124"/>
    <s v="250 gm"/>
    <x v="23"/>
  </r>
  <r>
    <n v="1866"/>
    <x v="1512"/>
    <x v="237"/>
    <n v="10"/>
    <n v="9"/>
    <s v="26 gm"/>
    <x v="23"/>
  </r>
  <r>
    <n v="1867"/>
    <x v="1513"/>
    <x v="326"/>
    <n v="140"/>
    <n v="112"/>
    <s v="170 gm"/>
    <x v="23"/>
  </r>
  <r>
    <n v="1868"/>
    <x v="1514"/>
    <x v="327"/>
    <n v="185"/>
    <n v="149"/>
    <s v="100 gm"/>
    <x v="23"/>
  </r>
  <r>
    <n v="1869"/>
    <x v="1515"/>
    <x v="324"/>
    <n v="279"/>
    <n v="139"/>
    <s v="100 gm"/>
    <x v="23"/>
  </r>
  <r>
    <n v="1870"/>
    <x v="1516"/>
    <x v="327"/>
    <n v="185"/>
    <n v="149"/>
    <s v="100 gm"/>
    <x v="23"/>
  </r>
  <r>
    <n v="1871"/>
    <x v="1517"/>
    <x v="324"/>
    <n v="249"/>
    <n v="124"/>
    <s v="100 gm"/>
    <x v="23"/>
  </r>
  <r>
    <n v="1872"/>
    <x v="1518"/>
    <x v="328"/>
    <n v="140"/>
    <n v="99"/>
    <s v="100 gm"/>
    <x v="23"/>
  </r>
  <r>
    <n v="1873"/>
    <x v="1518"/>
    <x v="328"/>
    <n v="75"/>
    <n v="50"/>
    <s v="50 gm"/>
    <x v="23"/>
  </r>
  <r>
    <n v="1874"/>
    <x v="1519"/>
    <x v="324"/>
    <n v="279"/>
    <n v="139"/>
    <s v="100 gm"/>
    <x v="23"/>
  </r>
  <r>
    <n v="1875"/>
    <x v="1520"/>
    <x v="324"/>
    <n v="399"/>
    <n v="199"/>
    <s v="200 gm"/>
    <x v="23"/>
  </r>
  <r>
    <n v="1876"/>
    <x v="1521"/>
    <x v="176"/>
    <n v="150"/>
    <n v="120"/>
    <s v="100 gm"/>
    <x v="23"/>
  </r>
  <r>
    <n v="1877"/>
    <x v="1522"/>
    <x v="176"/>
    <n v="160"/>
    <n v="135"/>
    <s v="90 gm"/>
    <x v="23"/>
  </r>
  <r>
    <n v="1878"/>
    <x v="1523"/>
    <x v="176"/>
    <n v="160"/>
    <n v="135"/>
    <s v="90 gm"/>
    <x v="23"/>
  </r>
  <r>
    <n v="1879"/>
    <x v="1524"/>
    <x v="327"/>
    <n v="185"/>
    <n v="149"/>
    <s v="100 gm"/>
    <x v="23"/>
  </r>
  <r>
    <n v="1880"/>
    <x v="1525"/>
    <x v="328"/>
    <n v="140"/>
    <n v="109"/>
    <s v="96 gm"/>
    <x v="23"/>
  </r>
  <r>
    <n v="1881"/>
    <x v="1525"/>
    <x v="328"/>
    <n v="75"/>
    <n v="50"/>
    <s v="50 gm"/>
    <x v="23"/>
  </r>
  <r>
    <n v="1882"/>
    <x v="1526"/>
    <x v="329"/>
    <n v="349"/>
    <n v="260"/>
    <s v="139.2 gm"/>
    <x v="23"/>
  </r>
  <r>
    <n v="1883"/>
    <x v="1526"/>
    <x v="329"/>
    <n v="175"/>
    <n v="131"/>
    <s v="69.6 gm"/>
    <x v="23"/>
  </r>
  <r>
    <n v="1884"/>
    <x v="1527"/>
    <x v="330"/>
    <n v="425"/>
    <n v="287"/>
    <s v="170 gm"/>
    <x v="23"/>
  </r>
  <r>
    <n v="1885"/>
    <x v="1528"/>
    <x v="114"/>
    <n v="249"/>
    <n v="124"/>
    <s v="200 gm"/>
    <x v="23"/>
  </r>
  <r>
    <n v="1886"/>
    <x v="1529"/>
    <x v="176"/>
    <n v="60"/>
    <n v="42"/>
    <s v="40 gm"/>
    <x v="23"/>
  </r>
  <r>
    <n v="1887"/>
    <x v="1530"/>
    <x v="325"/>
    <n v="60"/>
    <n v="45"/>
    <s v="40 gm"/>
    <x v="23"/>
  </r>
  <r>
    <n v="1888"/>
    <x v="1531"/>
    <x v="327"/>
    <n v="185"/>
    <n v="149"/>
    <s v="100 gm"/>
    <x v="23"/>
  </r>
  <r>
    <n v="1889"/>
    <x v="1532"/>
    <x v="176"/>
    <n v="55"/>
    <n v="42"/>
    <s v="40 gm"/>
    <x v="23"/>
  </r>
  <r>
    <n v="1890"/>
    <x v="1533"/>
    <x v="327"/>
    <n v="999"/>
    <n v="750"/>
    <s v="272 gm"/>
    <x v="23"/>
  </r>
  <r>
    <n v="1891"/>
    <x v="1534"/>
    <x v="327"/>
    <n v="999"/>
    <n v="770"/>
    <s v="272 gm"/>
    <x v="23"/>
  </r>
  <r>
    <n v="1892"/>
    <x v="1535"/>
    <x v="331"/>
    <n v="650"/>
    <n v="513"/>
    <s v="240 gm"/>
    <x v="23"/>
  </r>
  <r>
    <n v="1893"/>
    <x v="1536"/>
    <x v="331"/>
    <n v="475"/>
    <n v="375"/>
    <s v="160 gm"/>
    <x v="23"/>
  </r>
  <r>
    <n v="1894"/>
    <x v="1537"/>
    <x v="237"/>
    <n v="530"/>
    <n v="418"/>
    <s v="240 gm"/>
    <x v="23"/>
  </r>
  <r>
    <n v="1895"/>
    <x v="1538"/>
    <x v="331"/>
    <n v="135"/>
    <n v="101"/>
    <s v="130.9 gm"/>
    <x v="23"/>
  </r>
  <r>
    <n v="1896"/>
    <x v="1538"/>
    <x v="237"/>
    <n v="50"/>
    <n v="44"/>
    <s v="59.8 gm"/>
    <x v="23"/>
  </r>
  <r>
    <n v="1897"/>
    <x v="1539"/>
    <x v="328"/>
    <n v="225"/>
    <n v="168"/>
    <s v="148 gm"/>
    <x v="23"/>
  </r>
  <r>
    <n v="1898"/>
    <x v="1540"/>
    <x v="332"/>
    <n v="70"/>
    <n v="35"/>
    <s v="42 gm"/>
    <x v="23"/>
  </r>
  <r>
    <n v="1899"/>
    <x v="1541"/>
    <x v="332"/>
    <n v="70"/>
    <n v="35"/>
    <s v="42 gm"/>
    <x v="23"/>
  </r>
  <r>
    <n v="1900"/>
    <x v="1542"/>
    <x v="237"/>
    <n v="500"/>
    <n v="375"/>
    <s v="177 gm"/>
    <x v="23"/>
  </r>
  <r>
    <n v="1901"/>
    <x v="1543"/>
    <x v="333"/>
    <n v="200"/>
    <n v="150"/>
    <s v="119 gm"/>
    <x v="23"/>
  </r>
  <r>
    <n v="1902"/>
    <x v="1544"/>
    <x v="334"/>
    <n v="800"/>
    <n v="680"/>
    <s v="200 gm"/>
    <x v="10"/>
  </r>
  <r>
    <n v="1903"/>
    <x v="1545"/>
    <x v="334"/>
    <n v="400"/>
    <n v="340"/>
    <s v="100 gm"/>
    <x v="10"/>
  </r>
  <r>
    <n v="1904"/>
    <x v="1546"/>
    <x v="334"/>
    <n v="400"/>
    <n v="340"/>
    <s v="100 gm"/>
    <x v="10"/>
  </r>
  <r>
    <n v="1905"/>
    <x v="1547"/>
    <x v="334"/>
    <n v="400"/>
    <n v="340"/>
    <s v="100 gm"/>
    <x v="10"/>
  </r>
  <r>
    <n v="1906"/>
    <x v="1548"/>
    <x v="334"/>
    <n v="450"/>
    <n v="382"/>
    <s v="100 gm"/>
    <x v="10"/>
  </r>
  <r>
    <n v="1907"/>
    <x v="1549"/>
    <x v="335"/>
    <n v="45"/>
    <n v="40"/>
    <s v="20 gm"/>
    <x v="23"/>
  </r>
  <r>
    <n v="1908"/>
    <x v="1550"/>
    <x v="322"/>
    <n v="90"/>
    <n v="70"/>
    <s v="40 gm"/>
    <x v="23"/>
  </r>
  <r>
    <n v="1909"/>
    <x v="1550"/>
    <x v="322"/>
    <n v="130"/>
    <n v="115"/>
    <s v="60 gm"/>
    <x v="23"/>
  </r>
  <r>
    <n v="1910"/>
    <x v="1551"/>
    <x v="336"/>
    <n v="185"/>
    <n v="160"/>
    <s v="87 gm"/>
    <x v="23"/>
  </r>
  <r>
    <n v="1911"/>
    <x v="1552"/>
    <x v="237"/>
    <n v="75"/>
    <n v="55"/>
    <s v="40 gm"/>
    <x v="23"/>
  </r>
  <r>
    <n v="1912"/>
    <x v="1553"/>
    <x v="237"/>
    <n v="75"/>
    <n v="55"/>
    <s v="40 gm"/>
    <x v="23"/>
  </r>
  <r>
    <n v="1913"/>
    <x v="1554"/>
    <x v="337"/>
    <n v="160"/>
    <n v="99"/>
    <s v="1.2 kg"/>
    <x v="25"/>
  </r>
  <r>
    <n v="1914"/>
    <x v="1554"/>
    <x v="337"/>
    <n v="100"/>
    <n v="85"/>
    <s v="900 gm"/>
    <x v="25"/>
  </r>
  <r>
    <n v="1915"/>
    <x v="1555"/>
    <x v="338"/>
    <n v="125"/>
    <n v="62"/>
    <s v="1 kg"/>
    <x v="25"/>
  </r>
  <r>
    <n v="1916"/>
    <x v="1556"/>
    <x v="53"/>
    <n v="130"/>
    <n v="75"/>
    <s v="950 gm"/>
    <x v="25"/>
  </r>
  <r>
    <n v="1917"/>
    <x v="1557"/>
    <x v="339"/>
    <n v="135"/>
    <n v="67"/>
    <s v="900 gm"/>
    <x v="25"/>
  </r>
  <r>
    <n v="1918"/>
    <x v="1558"/>
    <x v="95"/>
    <n v="108"/>
    <n v="97"/>
    <s v="500 gm"/>
    <x v="25"/>
  </r>
  <r>
    <n v="1919"/>
    <x v="1558"/>
    <x v="95"/>
    <n v="155"/>
    <n v="117"/>
    <s v="1 kg"/>
    <x v="25"/>
  </r>
  <r>
    <n v="1920"/>
    <x v="1559"/>
    <x v="340"/>
    <n v="120"/>
    <n v="79"/>
    <s v="950 gm"/>
    <x v="25"/>
  </r>
  <r>
    <n v="1921"/>
    <x v="1560"/>
    <x v="95"/>
    <n v="15"/>
    <n v="14"/>
    <s v="90 gm"/>
    <x v="25"/>
  </r>
  <r>
    <n v="1922"/>
    <x v="1561"/>
    <x v="340"/>
    <n v="120"/>
    <n v="105"/>
    <s v="950 gm"/>
    <x v="25"/>
  </r>
  <r>
    <n v="1923"/>
    <x v="1562"/>
    <x v="337"/>
    <n v="15"/>
    <n v="13"/>
    <s v="130 gm"/>
    <x v="25"/>
  </r>
  <r>
    <n v="1924"/>
    <x v="1563"/>
    <x v="340"/>
    <n v="149"/>
    <n v="99"/>
    <s v="1 kg"/>
    <x v="25"/>
  </r>
  <r>
    <n v="1925"/>
    <x v="1564"/>
    <x v="95"/>
    <n v="120"/>
    <n v="110"/>
    <s v="500 gm"/>
    <x v="25"/>
  </r>
  <r>
    <n v="1926"/>
    <x v="1564"/>
    <x v="95"/>
    <n v="175"/>
    <n v="142"/>
    <s v="1 kg"/>
    <x v="25"/>
  </r>
  <r>
    <n v="1927"/>
    <x v="1565"/>
    <x v="337"/>
    <n v="80"/>
    <n v="74"/>
    <s v="450 gm"/>
    <x v="25"/>
  </r>
  <r>
    <n v="1928"/>
    <x v="1565"/>
    <x v="337"/>
    <n v="130"/>
    <n v="115"/>
    <s v="950 gm"/>
    <x v="25"/>
  </r>
  <r>
    <n v="1929"/>
    <x v="1566"/>
    <x v="107"/>
    <n v="60"/>
    <n v="50"/>
    <s v="200 gm"/>
    <x v="25"/>
  </r>
  <r>
    <n v="1930"/>
    <x v="1566"/>
    <x v="107"/>
    <n v="85"/>
    <n v="70"/>
    <s v="680 gm"/>
    <x v="25"/>
  </r>
  <r>
    <n v="1931"/>
    <x v="1567"/>
    <x v="107"/>
    <n v="60"/>
    <n v="45"/>
    <s v="200 gm"/>
    <x v="25"/>
  </r>
  <r>
    <n v="1932"/>
    <x v="1567"/>
    <x v="107"/>
    <n v="85"/>
    <n v="73"/>
    <s v="700 gm"/>
    <x v="25"/>
  </r>
  <r>
    <n v="1933"/>
    <x v="1568"/>
    <x v="341"/>
    <n v="89"/>
    <n v="82"/>
    <s v="325 gm"/>
    <x v="25"/>
  </r>
  <r>
    <n v="1934"/>
    <x v="1568"/>
    <x v="341"/>
    <n v="175"/>
    <n v="149"/>
    <s v="800 gm"/>
    <x v="25"/>
  </r>
  <r>
    <n v="1935"/>
    <x v="1569"/>
    <x v="95"/>
    <n v="170"/>
    <n v="149"/>
    <s v="1 kg"/>
    <x v="25"/>
  </r>
  <r>
    <n v="1936"/>
    <x v="1570"/>
    <x v="278"/>
    <n v="149"/>
    <n v="74"/>
    <s v="450 gm"/>
    <x v="25"/>
  </r>
  <r>
    <n v="1937"/>
    <x v="1571"/>
    <x v="278"/>
    <n v="199"/>
    <n v="99"/>
    <s v="450 gm"/>
    <x v="25"/>
  </r>
  <r>
    <n v="1938"/>
    <x v="1572"/>
    <x v="107"/>
    <n v="60"/>
    <n v="46"/>
    <s v="190 gm"/>
    <x v="25"/>
  </r>
  <r>
    <n v="1939"/>
    <x v="1572"/>
    <x v="107"/>
    <n v="85"/>
    <n v="70"/>
    <s v="680 gm"/>
    <x v="25"/>
  </r>
  <r>
    <n v="1940"/>
    <x v="1573"/>
    <x v="340"/>
    <n v="89"/>
    <n v="64"/>
    <s v="280 gm"/>
    <x v="25"/>
  </r>
  <r>
    <n v="1941"/>
    <x v="1573"/>
    <x v="340"/>
    <n v="159"/>
    <n v="99"/>
    <s v="525 gm"/>
    <x v="25"/>
  </r>
  <r>
    <n v="1942"/>
    <x v="1574"/>
    <x v="342"/>
    <n v="65"/>
    <n v="50"/>
    <s v="200 gm"/>
    <x v="25"/>
  </r>
  <r>
    <n v="1943"/>
    <x v="1575"/>
    <x v="342"/>
    <n v="60"/>
    <n v="50"/>
    <s v="200 gm"/>
    <x v="25"/>
  </r>
  <r>
    <n v="1944"/>
    <x v="1576"/>
    <x v="343"/>
    <n v="370"/>
    <n v="260"/>
    <s v="255 gm"/>
    <x v="10"/>
  </r>
  <r>
    <n v="1945"/>
    <x v="1577"/>
    <x v="340"/>
    <n v="89"/>
    <n v="64"/>
    <s v="250 gm"/>
    <x v="25"/>
  </r>
  <r>
    <n v="1946"/>
    <x v="1578"/>
    <x v="344"/>
    <n v="249"/>
    <n v="195"/>
    <s v="60 ml"/>
    <x v="10"/>
  </r>
  <r>
    <n v="1947"/>
    <x v="1579"/>
    <x v="64"/>
    <n v="84"/>
    <n v="75"/>
    <s v="200 gm"/>
    <x v="25"/>
  </r>
  <r>
    <n v="1948"/>
    <x v="1580"/>
    <x v="345"/>
    <n v="335"/>
    <n v="255"/>
    <s v="510 gm"/>
    <x v="25"/>
  </r>
  <r>
    <n v="1949"/>
    <x v="1581"/>
    <x v="64"/>
    <n v="84"/>
    <n v="76"/>
    <s v="200 gm"/>
    <x v="25"/>
  </r>
  <r>
    <n v="1950"/>
    <x v="1576"/>
    <x v="346"/>
    <n v="580"/>
    <n v="435"/>
    <s v="481 gm"/>
    <x v="10"/>
  </r>
  <r>
    <n v="1951"/>
    <x v="1582"/>
    <x v="64"/>
    <n v="84"/>
    <n v="79"/>
    <s v="200 gm"/>
    <x v="25"/>
  </r>
  <r>
    <n v="1952"/>
    <x v="1583"/>
    <x v="344"/>
    <n v="319"/>
    <n v="255"/>
    <s v="60 ml"/>
    <x v="10"/>
  </r>
  <r>
    <n v="1953"/>
    <x v="1584"/>
    <x v="347"/>
    <n v="280"/>
    <n v="220"/>
    <s v="396 gm"/>
    <x v="25"/>
  </r>
  <r>
    <n v="1954"/>
    <x v="1585"/>
    <x v="345"/>
    <n v="245"/>
    <n v="199"/>
    <s v="397 gm"/>
    <x v="25"/>
  </r>
  <r>
    <n v="1955"/>
    <x v="1586"/>
    <x v="346"/>
    <n v="395"/>
    <n v="315"/>
    <s v="226 gm"/>
    <x v="10"/>
  </r>
  <r>
    <n v="1956"/>
    <x v="1587"/>
    <x v="348"/>
    <n v="399"/>
    <n v="320"/>
    <s v="400 gm"/>
    <x v="10"/>
  </r>
  <r>
    <n v="1957"/>
    <x v="1584"/>
    <x v="347"/>
    <n v="450"/>
    <n v="385"/>
    <s v="680 gm"/>
    <x v="25"/>
  </r>
  <r>
    <n v="1958"/>
    <x v="1588"/>
    <x v="347"/>
    <n v="260"/>
    <n v="208"/>
    <s v="360 gm"/>
    <x v="25"/>
  </r>
  <r>
    <n v="1959"/>
    <x v="1589"/>
    <x v="347"/>
    <n v="450"/>
    <n v="325"/>
    <s v="680 gm"/>
    <x v="25"/>
  </r>
  <r>
    <n v="1960"/>
    <x v="1590"/>
    <x v="347"/>
    <n v="450"/>
    <n v="360"/>
    <s v="680 gm"/>
    <x v="25"/>
  </r>
  <r>
    <n v="1961"/>
    <x v="1591"/>
    <x v="347"/>
    <n v="450"/>
    <n v="310"/>
    <s v="680 gm"/>
    <x v="25"/>
  </r>
  <r>
    <n v="1962"/>
    <x v="1592"/>
    <x v="278"/>
    <n v="99"/>
    <n v="75"/>
    <s v="180 gm"/>
    <x v="25"/>
  </r>
  <r>
    <n v="1963"/>
    <x v="1593"/>
    <x v="278"/>
    <n v="119"/>
    <n v="75"/>
    <s v="180 gm"/>
    <x v="25"/>
  </r>
  <r>
    <n v="1964"/>
    <x v="1594"/>
    <x v="278"/>
    <n v="119"/>
    <n v="75"/>
    <s v="180 gm"/>
    <x v="25"/>
  </r>
  <r>
    <n v="1965"/>
    <x v="1595"/>
    <x v="278"/>
    <n v="119"/>
    <n v="75"/>
    <s v="180 gm"/>
    <x v="25"/>
  </r>
  <r>
    <n v="1966"/>
    <x v="1596"/>
    <x v="278"/>
    <n v="60"/>
    <n v="40"/>
    <s v="70 gm"/>
    <x v="25"/>
  </r>
  <r>
    <n v="1967"/>
    <x v="1597"/>
    <x v="278"/>
    <n v="60"/>
    <n v="40"/>
    <s v="70 gm"/>
    <x v="25"/>
  </r>
  <r>
    <n v="1968"/>
    <x v="1598"/>
    <x v="278"/>
    <n v="60"/>
    <n v="48"/>
    <s v="70 gm"/>
    <x v="25"/>
  </r>
  <r>
    <n v="1969"/>
    <x v="1599"/>
    <x v="349"/>
    <n v="225"/>
    <n v="168"/>
    <s v="230 gm"/>
    <x v="25"/>
  </r>
  <r>
    <n v="1970"/>
    <x v="1600"/>
    <x v="349"/>
    <n v="250"/>
    <n v="185"/>
    <s v="230 gm"/>
    <x v="25"/>
  </r>
  <r>
    <n v="1971"/>
    <x v="1601"/>
    <x v="349"/>
    <n v="250"/>
    <n v="184"/>
    <s v="230 gm"/>
    <x v="25"/>
  </r>
  <r>
    <n v="1972"/>
    <x v="1602"/>
    <x v="107"/>
    <n v="85"/>
    <n v="64"/>
    <s v="250 gm"/>
    <x v="12"/>
  </r>
  <r>
    <n v="1973"/>
    <x v="1602"/>
    <x v="107"/>
    <n v="180"/>
    <n v="115"/>
    <s v="600 gm"/>
    <x v="12"/>
  </r>
  <r>
    <n v="1974"/>
    <x v="1603"/>
    <x v="350"/>
    <n v="35"/>
    <n v="30"/>
    <s v="200 gm"/>
    <x v="12"/>
  </r>
  <r>
    <n v="1975"/>
    <x v="1604"/>
    <x v="350"/>
    <n v="42"/>
    <n v="37"/>
    <s v="200 gm"/>
    <x v="12"/>
  </r>
  <r>
    <n v="1976"/>
    <x v="1605"/>
    <x v="351"/>
    <n v="30"/>
    <n v="27"/>
    <s v="100 gm"/>
    <x v="25"/>
  </r>
  <r>
    <n v="1977"/>
    <x v="1606"/>
    <x v="340"/>
    <n v="89"/>
    <n v="79"/>
    <s v="250 gm"/>
    <x v="25"/>
  </r>
  <r>
    <n v="1978"/>
    <x v="1607"/>
    <x v="107"/>
    <n v="50"/>
    <n v="45"/>
    <s v="170 ml"/>
    <x v="25"/>
  </r>
  <r>
    <n v="1979"/>
    <x v="1608"/>
    <x v="352"/>
    <n v="50"/>
    <n v="38"/>
    <s v="750 ml"/>
    <x v="25"/>
  </r>
  <r>
    <n v="1980"/>
    <x v="1609"/>
    <x v="54"/>
    <n v="400"/>
    <n v="200"/>
    <s v="355 ml"/>
    <x v="25"/>
  </r>
  <r>
    <n v="1981"/>
    <x v="1610"/>
    <x v="345"/>
    <n v="185"/>
    <n v="145"/>
    <s v="473 ml"/>
    <x v="25"/>
  </r>
  <r>
    <n v="1982"/>
    <x v="1611"/>
    <x v="352"/>
    <n v="50"/>
    <n v="39"/>
    <s v="750 ml"/>
    <x v="25"/>
  </r>
  <r>
    <n v="1983"/>
    <x v="1612"/>
    <x v="337"/>
    <n v="72"/>
    <n v="63"/>
    <s v="200 gm"/>
    <x v="26"/>
  </r>
  <r>
    <n v="1984"/>
    <x v="1612"/>
    <x v="337"/>
    <n v="165"/>
    <n v="153"/>
    <s v="500 gm"/>
    <x v="26"/>
  </r>
  <r>
    <n v="1985"/>
    <x v="1612"/>
    <x v="337"/>
    <n v="235"/>
    <n v="190"/>
    <s v="700 gm"/>
    <x v="26"/>
  </r>
  <r>
    <n v="1986"/>
    <x v="1613"/>
    <x v="216"/>
    <n v="185"/>
    <n v="92"/>
    <s v="1 kg"/>
    <x v="26"/>
  </r>
  <r>
    <n v="1987"/>
    <x v="1614"/>
    <x v="353"/>
    <n v="185"/>
    <n v="92"/>
    <s v="1 kg"/>
    <x v="26"/>
  </r>
  <r>
    <n v="1988"/>
    <x v="1615"/>
    <x v="354"/>
    <n v="349"/>
    <n v="280"/>
    <s v="470 gm"/>
    <x v="26"/>
  </r>
  <r>
    <n v="1989"/>
    <x v="1616"/>
    <x v="354"/>
    <n v="349"/>
    <n v="279"/>
    <s v="470 gm"/>
    <x v="26"/>
  </r>
  <r>
    <n v="1990"/>
    <x v="1617"/>
    <x v="354"/>
    <n v="349"/>
    <n v="239"/>
    <s v="470 gm"/>
    <x v="26"/>
  </r>
  <r>
    <n v="1991"/>
    <x v="1618"/>
    <x v="354"/>
    <n v="349"/>
    <n v="260"/>
    <s v="470 gm"/>
    <x v="26"/>
  </r>
  <r>
    <n v="1992"/>
    <x v="1619"/>
    <x v="355"/>
    <n v="325"/>
    <n v="254"/>
    <s v="340 gm"/>
    <x v="26"/>
  </r>
  <r>
    <n v="1993"/>
    <x v="1620"/>
    <x v="356"/>
    <n v="380"/>
    <n v="311"/>
    <s v="350 gm"/>
    <x v="26"/>
  </r>
  <r>
    <n v="1994"/>
    <x v="1621"/>
    <x v="176"/>
    <n v="310"/>
    <n v="210"/>
    <s v="350 gm"/>
    <x v="26"/>
  </r>
  <r>
    <n v="1995"/>
    <x v="1622"/>
    <x v="340"/>
    <n v="299"/>
    <n v="245"/>
    <s v="925 gm"/>
    <x v="26"/>
  </r>
  <r>
    <n v="1996"/>
    <x v="1622"/>
    <x v="340"/>
    <n v="169"/>
    <n v="124"/>
    <s v="340 gm"/>
    <x v="26"/>
  </r>
  <r>
    <n v="1997"/>
    <x v="1623"/>
    <x v="340"/>
    <n v="169"/>
    <n v="123"/>
    <s v="340 gm"/>
    <x v="26"/>
  </r>
  <r>
    <n v="1998"/>
    <x v="1623"/>
    <x v="340"/>
    <n v="299"/>
    <n v="245"/>
    <s v="925 gm"/>
    <x v="26"/>
  </r>
  <r>
    <n v="1999"/>
    <x v="1624"/>
    <x v="176"/>
    <n v="310"/>
    <n v="220"/>
    <s v="300 gm"/>
    <x v="26"/>
  </r>
  <r>
    <n v="2000"/>
    <x v="1625"/>
    <x v="341"/>
    <n v="169"/>
    <n v="155"/>
    <s v="340 gm"/>
    <x v="26"/>
  </r>
  <r>
    <n v="2001"/>
    <x v="1625"/>
    <x v="341"/>
    <n v="399"/>
    <n v="329"/>
    <s v="1.25 kg"/>
    <x v="26"/>
  </r>
  <r>
    <n v="2002"/>
    <x v="1626"/>
    <x v="341"/>
    <n v="169"/>
    <n v="149"/>
    <s v="340 gm"/>
    <x v="26"/>
  </r>
  <r>
    <n v="2003"/>
    <x v="1626"/>
    <x v="341"/>
    <n v="399"/>
    <n v="329"/>
    <s v="1.25 kg"/>
    <x v="26"/>
  </r>
  <r>
    <n v="2004"/>
    <x v="1627"/>
    <x v="357"/>
    <n v="175"/>
    <n v="140"/>
    <s v="350 gm"/>
    <x v="26"/>
  </r>
  <r>
    <n v="2005"/>
    <x v="1627"/>
    <x v="357"/>
    <n v="449"/>
    <n v="361"/>
    <s v="1 kg"/>
    <x v="26"/>
  </r>
  <r>
    <n v="2006"/>
    <x v="1628"/>
    <x v="357"/>
    <n v="175"/>
    <n v="140"/>
    <s v="350 gm"/>
    <x v="26"/>
  </r>
  <r>
    <n v="2007"/>
    <x v="1628"/>
    <x v="357"/>
    <n v="449"/>
    <n v="325"/>
    <s v="1 kg"/>
    <x v="26"/>
  </r>
  <r>
    <n v="2008"/>
    <x v="1629"/>
    <x v="341"/>
    <n v="199"/>
    <n v="172"/>
    <s v="350 gm"/>
    <x v="26"/>
  </r>
  <r>
    <n v="2009"/>
    <x v="1630"/>
    <x v="340"/>
    <n v="99"/>
    <n v="84"/>
    <s v="250 gm"/>
    <x v="26"/>
  </r>
  <r>
    <n v="2010"/>
    <x v="1631"/>
    <x v="340"/>
    <n v="179"/>
    <n v="164"/>
    <s v="450 gm"/>
    <x v="26"/>
  </r>
  <r>
    <n v="2011"/>
    <x v="1632"/>
    <x v="176"/>
    <n v="335"/>
    <n v="230"/>
    <s v="350 gm"/>
    <x v="26"/>
  </r>
  <r>
    <n v="2012"/>
    <x v="1633"/>
    <x v="77"/>
    <n v="310"/>
    <n v="155"/>
    <s v="290 gm"/>
    <x v="26"/>
  </r>
  <r>
    <n v="2013"/>
    <x v="1634"/>
    <x v="358"/>
    <n v="599"/>
    <n v="489"/>
    <s v="400 gm"/>
    <x v="26"/>
  </r>
  <r>
    <n v="2014"/>
    <x v="1635"/>
    <x v="358"/>
    <n v="649"/>
    <n v="499"/>
    <s v="380 gm"/>
    <x v="26"/>
  </r>
  <r>
    <n v="2015"/>
    <x v="1636"/>
    <x v="359"/>
    <n v="120"/>
    <n v="111"/>
    <s v="250 gm"/>
    <x v="23"/>
  </r>
  <r>
    <n v="2016"/>
    <x v="1636"/>
    <x v="359"/>
    <n v="240"/>
    <n v="205"/>
    <s v="500 gm"/>
    <x v="23"/>
  </r>
  <r>
    <n v="2017"/>
    <x v="1637"/>
    <x v="359"/>
    <n v="365"/>
    <n v="295"/>
    <s v="400 gm"/>
    <x v="26"/>
  </r>
  <r>
    <n v="2018"/>
    <x v="1638"/>
    <x v="58"/>
    <n v="95"/>
    <n v="80"/>
    <s v="250 gm"/>
    <x v="20"/>
  </r>
  <r>
    <n v="2019"/>
    <x v="1639"/>
    <x v="21"/>
    <n v="275"/>
    <n v="137"/>
    <s v="500 gm"/>
    <x v="26"/>
  </r>
  <r>
    <n v="2020"/>
    <x v="1639"/>
    <x v="21"/>
    <n v="499"/>
    <n v="249"/>
    <s v="1 kg"/>
    <x v="26"/>
  </r>
  <r>
    <n v="2021"/>
    <x v="1640"/>
    <x v="17"/>
    <n v="240"/>
    <n v="120"/>
    <s v="500 gm"/>
    <x v="26"/>
  </r>
  <r>
    <n v="2022"/>
    <x v="1640"/>
    <x v="17"/>
    <n v="475"/>
    <n v="399"/>
    <s v="1 kg"/>
    <x v="26"/>
  </r>
  <r>
    <n v="2023"/>
    <x v="1641"/>
    <x v="360"/>
    <n v="630"/>
    <n v="469"/>
    <s v="1.5 kg"/>
    <x v="20"/>
  </r>
  <r>
    <n v="2024"/>
    <x v="1642"/>
    <x v="12"/>
    <n v="150"/>
    <n v="125"/>
    <s v="250 gm"/>
    <x v="26"/>
  </r>
  <r>
    <n v="2025"/>
    <x v="1643"/>
    <x v="205"/>
    <n v="410"/>
    <n v="310"/>
    <s v="1 kg"/>
    <x v="26"/>
  </r>
  <r>
    <n v="2026"/>
    <x v="1644"/>
    <x v="76"/>
    <n v="195"/>
    <n v="175"/>
    <s v="250 gm"/>
    <x v="26"/>
  </r>
  <r>
    <n v="2027"/>
    <x v="1645"/>
    <x v="340"/>
    <n v="265"/>
    <n v="179"/>
    <s v="1.2 kg"/>
    <x v="26"/>
  </r>
  <r>
    <n v="2028"/>
    <x v="1645"/>
    <x v="340"/>
    <n v="45"/>
    <n v="39"/>
    <s v="100 gm"/>
    <x v="26"/>
  </r>
  <r>
    <n v="2029"/>
    <x v="1646"/>
    <x v="341"/>
    <n v="265"/>
    <n v="169"/>
    <s v="1.2 Kg"/>
    <x v="26"/>
  </r>
  <r>
    <n v="2030"/>
    <x v="1646"/>
    <x v="341"/>
    <n v="89"/>
    <n v="82"/>
    <s v="250 gm"/>
    <x v="26"/>
  </r>
  <r>
    <n v="2031"/>
    <x v="1646"/>
    <x v="341"/>
    <n v="149"/>
    <n v="137"/>
    <s v="500 gm"/>
    <x v="26"/>
  </r>
  <r>
    <n v="2032"/>
    <x v="1647"/>
    <x v="278"/>
    <n v="199"/>
    <n v="99"/>
    <s v="800 gm"/>
    <x v="26"/>
  </r>
  <r>
    <n v="2033"/>
    <x v="1648"/>
    <x v="361"/>
    <n v="185"/>
    <n v="160"/>
    <s v="800 gm"/>
    <x v="26"/>
  </r>
  <r>
    <n v="2034"/>
    <x v="1649"/>
    <x v="53"/>
    <n v="219"/>
    <n v="149"/>
    <s v="900 gm"/>
    <x v="26"/>
  </r>
  <r>
    <n v="2035"/>
    <x v="1646"/>
    <x v="341"/>
    <n v="50"/>
    <n v="42"/>
    <s v="120 gm"/>
    <x v="26"/>
  </r>
  <r>
    <n v="2036"/>
    <x v="1650"/>
    <x v="341"/>
    <n v="89"/>
    <n v="73"/>
    <s v="250 gm"/>
    <x v="26"/>
  </r>
  <r>
    <n v="2037"/>
    <x v="1648"/>
    <x v="361"/>
    <n v="90"/>
    <n v="79"/>
    <s v="275 gm"/>
    <x v="26"/>
  </r>
  <r>
    <n v="2038"/>
    <x v="1651"/>
    <x v="341"/>
    <n v="89"/>
    <n v="80"/>
    <s v="250 gm"/>
    <x v="26"/>
  </r>
  <r>
    <n v="2039"/>
    <x v="1652"/>
    <x v="278"/>
    <n v="199"/>
    <n v="134"/>
    <s v="450 gm"/>
    <x v="26"/>
  </r>
  <r>
    <n v="2040"/>
    <x v="1653"/>
    <x v="340"/>
    <n v="175"/>
    <n v="139"/>
    <s v="300 gm"/>
    <x v="26"/>
  </r>
  <r>
    <n v="2041"/>
    <x v="1654"/>
    <x v="340"/>
    <n v="89"/>
    <n v="65"/>
    <s v="250 gm"/>
    <x v="26"/>
  </r>
  <r>
    <n v="2042"/>
    <x v="1655"/>
    <x v="340"/>
    <n v="175"/>
    <n v="148"/>
    <s v="300 gm"/>
    <x v="26"/>
  </r>
  <r>
    <n v="2043"/>
    <x v="1656"/>
    <x v="340"/>
    <n v="155"/>
    <n v="142"/>
    <s v="300 gm"/>
    <x v="26"/>
  </r>
  <r>
    <n v="2044"/>
    <x v="1657"/>
    <x v="340"/>
    <n v="175"/>
    <n v="160"/>
    <s v="300 gm"/>
    <x v="26"/>
  </r>
  <r>
    <n v="2045"/>
    <x v="1658"/>
    <x v="341"/>
    <n v="89"/>
    <n v="75"/>
    <s v="325 gm"/>
    <x v="26"/>
  </r>
  <r>
    <n v="2046"/>
    <x v="1659"/>
    <x v="340"/>
    <n v="141"/>
    <n v="111"/>
    <s v="300 gm"/>
    <x v="26"/>
  </r>
  <r>
    <n v="2047"/>
    <x v="1660"/>
    <x v="340"/>
    <n v="135"/>
    <n v="105"/>
    <s v="350 gm"/>
    <x v="26"/>
  </r>
  <r>
    <n v="2048"/>
    <x v="1661"/>
    <x v="340"/>
    <n v="99"/>
    <n v="82"/>
    <s v="250 gm"/>
    <x v="26"/>
  </r>
  <r>
    <n v="2049"/>
    <x v="1662"/>
    <x v="345"/>
    <n v="165"/>
    <n v="130"/>
    <s v="227 gm"/>
    <x v="26"/>
  </r>
  <r>
    <n v="2050"/>
    <x v="1663"/>
    <x v="278"/>
    <n v="99"/>
    <n v="75"/>
    <s v="180 gm"/>
    <x v="26"/>
  </r>
  <r>
    <n v="2051"/>
    <x v="1664"/>
    <x v="362"/>
    <n v="350"/>
    <n v="299"/>
    <s v="284 gm"/>
    <x v="26"/>
  </r>
  <r>
    <n v="2052"/>
    <x v="1665"/>
    <x v="362"/>
    <n v="350"/>
    <n v="299"/>
    <s v="284 gm"/>
    <x v="26"/>
  </r>
  <r>
    <n v="2053"/>
    <x v="1666"/>
    <x v="362"/>
    <n v="350"/>
    <n v="299"/>
    <s v="284 gm"/>
    <x v="26"/>
  </r>
  <r>
    <n v="2054"/>
    <x v="1667"/>
    <x v="355"/>
    <n v="325"/>
    <n v="269"/>
    <s v="340 gm"/>
    <x v="26"/>
  </r>
  <r>
    <n v="2055"/>
    <x v="1668"/>
    <x v="95"/>
    <n v="140"/>
    <n v="120"/>
    <s v="435 gm"/>
    <x v="27"/>
  </r>
  <r>
    <n v="2056"/>
    <x v="1668"/>
    <x v="95"/>
    <n v="94"/>
    <n v="73"/>
    <s v="290 gm"/>
    <x v="27"/>
  </r>
  <r>
    <n v="2057"/>
    <x v="1669"/>
    <x v="222"/>
    <n v="105"/>
    <n v="79"/>
    <s v="520 gm"/>
    <x v="27"/>
  </r>
  <r>
    <n v="2058"/>
    <x v="1670"/>
    <x v="363"/>
    <n v="105"/>
    <n v="70"/>
    <s v="480 gm"/>
    <x v="27"/>
  </r>
  <r>
    <n v="2059"/>
    <x v="1671"/>
    <x v="95"/>
    <n v="110"/>
    <n v="98"/>
    <s v="290 gm"/>
    <x v="27"/>
  </r>
  <r>
    <n v="2060"/>
    <x v="1672"/>
    <x v="364"/>
    <n v="100"/>
    <n v="70"/>
    <s v="280 gm"/>
    <x v="27"/>
  </r>
  <r>
    <n v="2061"/>
    <x v="1673"/>
    <x v="95"/>
    <n v="20"/>
    <n v="18"/>
    <s v="70 gm"/>
    <x v="27"/>
  </r>
  <r>
    <n v="2062"/>
    <x v="1674"/>
    <x v="95"/>
    <n v="18"/>
    <n v="16"/>
    <s v="70 gm"/>
    <x v="27"/>
  </r>
  <r>
    <n v="2063"/>
    <x v="1675"/>
    <x v="365"/>
    <n v="12"/>
    <n v="11"/>
    <s v="60 gm"/>
    <x v="27"/>
  </r>
  <r>
    <n v="2064"/>
    <x v="1675"/>
    <x v="365"/>
    <n v="53"/>
    <n v="49"/>
    <s v="240 gm"/>
    <x v="27"/>
  </r>
  <r>
    <n v="2065"/>
    <x v="1675"/>
    <x v="365"/>
    <n v="78"/>
    <n v="52"/>
    <s v="360 gm"/>
    <x v="27"/>
  </r>
  <r>
    <n v="2066"/>
    <x v="1676"/>
    <x v="107"/>
    <n v="60"/>
    <n v="39"/>
    <s v="240 gm"/>
    <x v="27"/>
  </r>
  <r>
    <n v="2067"/>
    <x v="1677"/>
    <x v="107"/>
    <n v="60"/>
    <n v="39"/>
    <s v="240 gm"/>
    <x v="27"/>
  </r>
  <r>
    <n v="2068"/>
    <x v="1678"/>
    <x v="17"/>
    <n v="80"/>
    <n v="40"/>
    <s v="184 gm"/>
    <x v="27"/>
  </r>
  <r>
    <n v="2069"/>
    <x v="1679"/>
    <x v="107"/>
    <n v="60"/>
    <n v="39"/>
    <s v="240 gm"/>
    <x v="27"/>
  </r>
  <r>
    <n v="2070"/>
    <x v="1680"/>
    <x v="366"/>
    <n v="40"/>
    <n v="20"/>
    <s v="150 gm"/>
    <x v="27"/>
  </r>
  <r>
    <n v="2071"/>
    <x v="1678"/>
    <x v="17"/>
    <n v="20"/>
    <n v="12"/>
    <s v="46 gm"/>
    <x v="27"/>
  </r>
  <r>
    <n v="2072"/>
    <x v="1681"/>
    <x v="367"/>
    <n v="109"/>
    <n v="89"/>
    <s v="120 gm"/>
    <x v="27"/>
  </r>
  <r>
    <n v="2073"/>
    <x v="1682"/>
    <x v="367"/>
    <n v="109"/>
    <n v="89"/>
    <s v="120 gm"/>
    <x v="27"/>
  </r>
  <r>
    <n v="2074"/>
    <x v="1683"/>
    <x v="367"/>
    <n v="109"/>
    <n v="89"/>
    <s v="120 gm"/>
    <x v="27"/>
  </r>
  <r>
    <n v="2075"/>
    <x v="1684"/>
    <x v="368"/>
    <n v="129"/>
    <n v="64"/>
    <s v="192 gm"/>
    <x v="27"/>
  </r>
  <r>
    <n v="2076"/>
    <x v="1685"/>
    <x v="368"/>
    <n v="129"/>
    <n v="64"/>
    <s v="192 gm"/>
    <x v="27"/>
  </r>
  <r>
    <n v="2077"/>
    <x v="1686"/>
    <x v="95"/>
    <n v="14"/>
    <n v="13"/>
    <s v="70 gm"/>
    <x v="27"/>
  </r>
  <r>
    <n v="2078"/>
    <x v="1686"/>
    <x v="95"/>
    <n v="55"/>
    <n v="49"/>
    <s v="280 gm"/>
    <x v="27"/>
  </r>
  <r>
    <n v="2079"/>
    <x v="1686"/>
    <x v="95"/>
    <n v="82"/>
    <n v="72"/>
    <s v="420 gm"/>
    <x v="27"/>
  </r>
  <r>
    <n v="2080"/>
    <x v="1686"/>
    <x v="95"/>
    <n v="109"/>
    <n v="92"/>
    <s v="560 gm"/>
    <x v="27"/>
  </r>
  <r>
    <n v="2081"/>
    <x v="1687"/>
    <x v="107"/>
    <n v="30"/>
    <n v="25"/>
    <s v="140 gm"/>
    <x v="27"/>
  </r>
  <r>
    <n v="2082"/>
    <x v="1688"/>
    <x v="366"/>
    <n v="220"/>
    <n v="110"/>
    <s v="900 gm"/>
    <x v="27"/>
  </r>
  <r>
    <n v="2083"/>
    <x v="1689"/>
    <x v="54"/>
    <n v="299"/>
    <n v="125"/>
    <s v="500 gm"/>
    <x v="27"/>
  </r>
  <r>
    <n v="2084"/>
    <x v="1690"/>
    <x v="54"/>
    <n v="299"/>
    <n v="149"/>
    <s v="500 gm"/>
    <x v="27"/>
  </r>
  <r>
    <n v="2085"/>
    <x v="1691"/>
    <x v="95"/>
    <n v="28"/>
    <n v="25"/>
    <s v="70 gm"/>
    <x v="27"/>
  </r>
  <r>
    <n v="2086"/>
    <x v="1692"/>
    <x v="54"/>
    <n v="299"/>
    <n v="149"/>
    <s v="500 gm"/>
    <x v="27"/>
  </r>
  <r>
    <n v="2087"/>
    <x v="1693"/>
    <x v="81"/>
    <n v="135"/>
    <n v="67"/>
    <s v="500 gm"/>
    <x v="27"/>
  </r>
  <r>
    <n v="2088"/>
    <x v="1694"/>
    <x v="95"/>
    <n v="28"/>
    <n v="26"/>
    <s v="65 gm"/>
    <x v="27"/>
  </r>
  <r>
    <n v="2089"/>
    <x v="1695"/>
    <x v="81"/>
    <n v="135"/>
    <n v="67"/>
    <s v="500 gm"/>
    <x v="27"/>
  </r>
  <r>
    <n v="2090"/>
    <x v="1696"/>
    <x v="369"/>
    <n v="75"/>
    <n v="55"/>
    <s v="875 gm"/>
    <x v="27"/>
  </r>
  <r>
    <n v="2091"/>
    <x v="1697"/>
    <x v="54"/>
    <n v="250"/>
    <n v="125"/>
    <s v="500 gm"/>
    <x v="27"/>
  </r>
  <r>
    <n v="2092"/>
    <x v="1698"/>
    <x v="81"/>
    <n v="135"/>
    <n v="67"/>
    <s v="500 gm"/>
    <x v="27"/>
  </r>
  <r>
    <n v="2093"/>
    <x v="1699"/>
    <x v="222"/>
    <n v="28"/>
    <n v="24"/>
    <s v="65 gm"/>
    <x v="27"/>
  </r>
  <r>
    <n v="2094"/>
    <x v="1700"/>
    <x v="370"/>
    <n v="28"/>
    <n v="25"/>
    <s v="65 gm"/>
    <x v="27"/>
  </r>
  <r>
    <n v="2095"/>
    <x v="1701"/>
    <x v="365"/>
    <n v="28"/>
    <n v="24"/>
    <s v="65 gm"/>
    <x v="27"/>
  </r>
  <r>
    <n v="2096"/>
    <x v="1702"/>
    <x v="348"/>
    <n v="299"/>
    <n v="249"/>
    <s v="500 gm"/>
    <x v="10"/>
  </r>
  <r>
    <n v="2097"/>
    <x v="1703"/>
    <x v="348"/>
    <n v="299"/>
    <n v="235"/>
    <s v="500 gm"/>
    <x v="10"/>
  </r>
  <r>
    <n v="2098"/>
    <x v="1704"/>
    <x v="338"/>
    <n v="40"/>
    <n v="34"/>
    <s v="400 gm"/>
    <x v="27"/>
  </r>
  <r>
    <n v="2099"/>
    <x v="1705"/>
    <x v="348"/>
    <n v="249"/>
    <n v="199"/>
    <s v="500 gm"/>
    <x v="10"/>
  </r>
  <r>
    <n v="2100"/>
    <x v="1706"/>
    <x v="54"/>
    <n v="160"/>
    <n v="80"/>
    <s v="350 gm"/>
    <x v="27"/>
  </r>
  <r>
    <n v="2101"/>
    <x v="1707"/>
    <x v="348"/>
    <n v="299"/>
    <n v="235"/>
    <s v="500 gm"/>
    <x v="10"/>
  </r>
  <r>
    <n v="2102"/>
    <x v="1708"/>
    <x v="54"/>
    <n v="160"/>
    <n v="99"/>
    <s v="350 gm"/>
    <x v="27"/>
  </r>
  <r>
    <n v="2103"/>
    <x v="1709"/>
    <x v="92"/>
    <n v="295"/>
    <n v="147"/>
    <s v="200 gm"/>
    <x v="27"/>
  </r>
  <r>
    <n v="2104"/>
    <x v="1710"/>
    <x v="92"/>
    <n v="295"/>
    <n v="147"/>
    <s v="200 gm"/>
    <x v="27"/>
  </r>
  <r>
    <n v="2105"/>
    <x v="1711"/>
    <x v="98"/>
    <n v="87"/>
    <n v="59"/>
    <s v="850 gm"/>
    <x v="27"/>
  </r>
  <r>
    <n v="2106"/>
    <x v="1712"/>
    <x v="2"/>
    <n v="65"/>
    <n v="58"/>
    <s v="400 gm"/>
    <x v="27"/>
  </r>
  <r>
    <n v="2107"/>
    <x v="1713"/>
    <x v="338"/>
    <n v="90"/>
    <n v="59"/>
    <s v="850 gm"/>
    <x v="27"/>
  </r>
  <r>
    <n v="2108"/>
    <x v="1714"/>
    <x v="371"/>
    <n v="100"/>
    <n v="50"/>
    <s v="450 gm"/>
    <x v="27"/>
  </r>
  <r>
    <n v="2109"/>
    <x v="1715"/>
    <x v="2"/>
    <n v="42"/>
    <n v="37"/>
    <s v="400 gm"/>
    <x v="27"/>
  </r>
  <r>
    <n v="2110"/>
    <x v="1716"/>
    <x v="338"/>
    <n v="75"/>
    <n v="49"/>
    <s v="850 gm"/>
    <x v="27"/>
  </r>
  <r>
    <n v="2111"/>
    <x v="1717"/>
    <x v="372"/>
    <n v="110"/>
    <n v="80"/>
    <s v="475 gm"/>
    <x v="27"/>
  </r>
  <r>
    <n v="2112"/>
    <x v="1718"/>
    <x v="98"/>
    <n v="58"/>
    <n v="42"/>
    <s v="400 gm"/>
    <x v="27"/>
  </r>
  <r>
    <n v="2113"/>
    <x v="1719"/>
    <x v="291"/>
    <n v="68"/>
    <n v="34"/>
    <s v="200 gm"/>
    <x v="21"/>
  </r>
  <r>
    <n v="2114"/>
    <x v="1720"/>
    <x v="291"/>
    <n v="80"/>
    <n v="40"/>
    <s v="200 gm"/>
    <x v="21"/>
  </r>
  <r>
    <n v="2115"/>
    <x v="1721"/>
    <x v="373"/>
    <n v="165"/>
    <n v="140"/>
    <s v="400 gm"/>
    <x v="21"/>
  </r>
  <r>
    <n v="2116"/>
    <x v="1722"/>
    <x v="373"/>
    <n v="130"/>
    <n v="75"/>
    <s v="250 gm"/>
    <x v="21"/>
  </r>
  <r>
    <n v="2117"/>
    <x v="1723"/>
    <x v="111"/>
    <n v="31"/>
    <n v="19"/>
    <s v="70 gm"/>
    <x v="21"/>
  </r>
  <r>
    <n v="2118"/>
    <x v="1724"/>
    <x v="374"/>
    <n v="390"/>
    <n v="195"/>
    <s v="800 gm"/>
    <x v="21"/>
  </r>
  <r>
    <n v="2119"/>
    <x v="1725"/>
    <x v="375"/>
    <n v="84"/>
    <n v="42"/>
    <s v="180 gm"/>
    <x v="21"/>
  </r>
  <r>
    <n v="2120"/>
    <x v="1726"/>
    <x v="373"/>
    <n v="130"/>
    <n v="99"/>
    <s v="250 gm"/>
    <x v="21"/>
  </r>
  <r>
    <n v="2121"/>
    <x v="1727"/>
    <x v="375"/>
    <n v="35"/>
    <n v="30"/>
    <s v="150 gm"/>
    <x v="21"/>
  </r>
  <r>
    <n v="2122"/>
    <x v="1728"/>
    <x v="258"/>
    <n v="300"/>
    <n v="199"/>
    <s v="1 kg"/>
    <x v="21"/>
  </r>
  <r>
    <n v="2123"/>
    <x v="1729"/>
    <x v="373"/>
    <n v="84"/>
    <n v="42"/>
    <s v="180 gm"/>
    <x v="21"/>
  </r>
  <r>
    <n v="2124"/>
    <x v="1730"/>
    <x v="376"/>
    <n v="190"/>
    <n v="145"/>
    <s v="500 gm"/>
    <x v="21"/>
  </r>
  <r>
    <n v="2125"/>
    <x v="1731"/>
    <x v="373"/>
    <n v="73"/>
    <n v="58"/>
    <s v="180 gm"/>
    <x v="21"/>
  </r>
  <r>
    <n v="2126"/>
    <x v="1732"/>
    <x v="373"/>
    <n v="73"/>
    <n v="55"/>
    <s v="180 gm"/>
    <x v="21"/>
  </r>
  <r>
    <n v="2127"/>
    <x v="1733"/>
    <x v="376"/>
    <n v="180"/>
    <n v="90"/>
    <s v="400 gm"/>
    <x v="21"/>
  </r>
  <r>
    <n v="2128"/>
    <x v="1734"/>
    <x v="375"/>
    <n v="35"/>
    <n v="30"/>
    <s v="150 gm"/>
    <x v="21"/>
  </r>
  <r>
    <n v="2129"/>
    <x v="1735"/>
    <x v="375"/>
    <n v="35"/>
    <n v="30"/>
    <s v="150 gm"/>
    <x v="21"/>
  </r>
  <r>
    <n v="2130"/>
    <x v="1736"/>
    <x v="263"/>
    <n v="32"/>
    <n v="16"/>
    <s v="200 gm"/>
    <x v="21"/>
  </r>
  <r>
    <n v="2131"/>
    <x v="1737"/>
    <x v="375"/>
    <n v="35"/>
    <n v="30"/>
    <s v="150 gm"/>
    <x v="21"/>
  </r>
  <r>
    <n v="2132"/>
    <x v="1738"/>
    <x v="280"/>
    <n v="38"/>
    <n v="19"/>
    <s v="100 gm"/>
    <x v="21"/>
  </r>
  <r>
    <n v="2133"/>
    <x v="1739"/>
    <x v="280"/>
    <n v="34"/>
    <n v="17"/>
    <s v="200 gm"/>
    <x v="21"/>
  </r>
  <r>
    <n v="2134"/>
    <x v="1740"/>
    <x v="280"/>
    <n v="38"/>
    <n v="19"/>
    <s v="100 gm"/>
    <x v="21"/>
  </r>
  <r>
    <n v="2135"/>
    <x v="1741"/>
    <x v="377"/>
    <n v="140"/>
    <n v="120"/>
    <s v="500 gm"/>
    <x v="21"/>
  </r>
  <r>
    <n v="2136"/>
    <x v="1742"/>
    <x v="378"/>
    <n v="105"/>
    <n v="85"/>
    <s v="200 gm"/>
    <x v="21"/>
  </r>
  <r>
    <n v="2137"/>
    <x v="1742"/>
    <x v="378"/>
    <n v="225"/>
    <n v="170"/>
    <s v="500 gm"/>
    <x v="21"/>
  </r>
  <r>
    <n v="2138"/>
    <x v="1743"/>
    <x v="98"/>
    <n v="250"/>
    <n v="184"/>
    <s v="1 kg"/>
    <x v="21"/>
  </r>
  <r>
    <n v="2139"/>
    <x v="1744"/>
    <x v="162"/>
    <n v="85"/>
    <n v="72"/>
    <s v="1 kg"/>
    <x v="21"/>
  </r>
  <r>
    <n v="2140"/>
    <x v="1745"/>
    <x v="379"/>
    <n v="90"/>
    <n v="83"/>
    <s v="200 gm"/>
    <x v="21"/>
  </r>
  <r>
    <n v="2141"/>
    <x v="1746"/>
    <x v="379"/>
    <n v="90"/>
    <n v="81"/>
    <s v="400 gm"/>
    <x v="21"/>
  </r>
  <r>
    <n v="2142"/>
    <x v="1747"/>
    <x v="380"/>
    <n v="130"/>
    <n v="105"/>
    <s v="250 gm"/>
    <x v="21"/>
  </r>
  <r>
    <n v="2143"/>
    <x v="1747"/>
    <x v="380"/>
    <n v="415"/>
    <n v="325"/>
    <s v="1 kg"/>
    <x v="21"/>
  </r>
  <r>
    <n v="2144"/>
    <x v="1747"/>
    <x v="380"/>
    <n v="240"/>
    <n v="140"/>
    <s v="500 gm"/>
    <x v="21"/>
  </r>
  <r>
    <n v="2145"/>
    <x v="1748"/>
    <x v="381"/>
    <n v="115"/>
    <n v="103"/>
    <s v="500 gm"/>
    <x v="21"/>
  </r>
  <r>
    <n v="2146"/>
    <x v="1749"/>
    <x v="115"/>
    <n v="75"/>
    <n v="37"/>
    <s v="200 gm"/>
    <x v="21"/>
  </r>
  <r>
    <n v="2147"/>
    <x v="1750"/>
    <x v="378"/>
    <n v="70"/>
    <n v="55"/>
    <s v="180 gm"/>
    <x v="21"/>
  </r>
  <r>
    <n v="2148"/>
    <x v="1750"/>
    <x v="378"/>
    <n v="120"/>
    <n v="89"/>
    <s v="500 gm"/>
    <x v="21"/>
  </r>
  <r>
    <n v="2149"/>
    <x v="1751"/>
    <x v="260"/>
    <n v="140"/>
    <n v="70"/>
    <s v="300 gm"/>
    <x v="21"/>
  </r>
  <r>
    <n v="2150"/>
    <x v="1748"/>
    <x v="377"/>
    <n v="56"/>
    <n v="50"/>
    <s v="200 gm"/>
    <x v="21"/>
  </r>
  <r>
    <n v="2151"/>
    <x v="1752"/>
    <x v="381"/>
    <n v="105"/>
    <n v="94"/>
    <s v="500 gm"/>
    <x v="21"/>
  </r>
  <r>
    <n v="2152"/>
    <x v="1753"/>
    <x v="382"/>
    <n v="80"/>
    <n v="40"/>
    <s v="160 gm"/>
    <x v="21"/>
  </r>
  <r>
    <n v="2153"/>
    <x v="1754"/>
    <x v="98"/>
    <n v="170"/>
    <n v="154"/>
    <s v="500 gm"/>
    <x v="21"/>
  </r>
  <r>
    <n v="2154"/>
    <x v="1755"/>
    <x v="383"/>
    <n v="48"/>
    <n v="41"/>
    <s v="90 gm"/>
    <x v="21"/>
  </r>
  <r>
    <n v="2155"/>
    <x v="1756"/>
    <x v="98"/>
    <n v="27"/>
    <n v="13"/>
    <s v="60 gm"/>
    <x v="21"/>
  </r>
  <r>
    <n v="2156"/>
    <x v="1757"/>
    <x v="98"/>
    <n v="135"/>
    <n v="99"/>
    <s v="500 gm"/>
    <x v="21"/>
  </r>
  <r>
    <n v="2157"/>
    <x v="1758"/>
    <x v="98"/>
    <n v="27"/>
    <n v="13"/>
    <s v="60 gm"/>
    <x v="21"/>
  </r>
  <r>
    <n v="2158"/>
    <x v="1759"/>
    <x v="379"/>
    <n v="165"/>
    <n v="150"/>
    <s v="400 gm"/>
    <x v="21"/>
  </r>
  <r>
    <n v="2159"/>
    <x v="1760"/>
    <x v="379"/>
    <n v="47"/>
    <n v="42"/>
    <s v="200 gm"/>
    <x v="21"/>
  </r>
  <r>
    <n v="2160"/>
    <x v="1761"/>
    <x v="384"/>
    <n v="250"/>
    <n v="125"/>
    <s v="500 gm"/>
    <x v="21"/>
  </r>
  <r>
    <n v="2161"/>
    <x v="1762"/>
    <x v="77"/>
    <n v="40"/>
    <n v="30"/>
    <s v="100 gm"/>
    <x v="21"/>
  </r>
  <r>
    <n v="2162"/>
    <x v="1763"/>
    <x v="115"/>
    <n v="70"/>
    <n v="35"/>
    <s v="100 gm"/>
    <x v="21"/>
  </r>
  <r>
    <n v="2163"/>
    <x v="1764"/>
    <x v="378"/>
    <n v="90"/>
    <n v="65"/>
    <s v="125 gm"/>
    <x v="21"/>
  </r>
  <r>
    <n v="2164"/>
    <x v="1765"/>
    <x v="81"/>
    <n v="40"/>
    <n v="35"/>
    <s v="100 gm"/>
    <x v="21"/>
  </r>
  <r>
    <n v="2165"/>
    <x v="1766"/>
    <x v="162"/>
    <n v="90"/>
    <n v="75"/>
    <s v="5 pcs"/>
    <x v="21"/>
  </r>
  <r>
    <n v="2166"/>
    <x v="1767"/>
    <x v="82"/>
    <n v="40"/>
    <n v="34"/>
    <s v="100 gm"/>
    <x v="21"/>
  </r>
  <r>
    <n v="2167"/>
    <x v="1768"/>
    <x v="147"/>
    <n v="140"/>
    <n v="130"/>
    <s v="500 gm"/>
    <x v="21"/>
  </r>
  <r>
    <n v="2168"/>
    <x v="1769"/>
    <x v="115"/>
    <n v="90"/>
    <n v="45"/>
    <s v="200 gm"/>
    <x v="21"/>
  </r>
  <r>
    <n v="2169"/>
    <x v="1770"/>
    <x v="98"/>
    <n v="55"/>
    <n v="45"/>
    <s v="160 gm"/>
    <x v="21"/>
  </r>
  <r>
    <n v="2170"/>
    <x v="1771"/>
    <x v="162"/>
    <n v="75"/>
    <n v="65"/>
    <s v="6 Pcs"/>
    <x v="21"/>
  </r>
  <r>
    <n v="2171"/>
    <x v="1772"/>
    <x v="98"/>
    <n v="70"/>
    <n v="35"/>
    <s v="100 gm"/>
    <x v="21"/>
  </r>
  <r>
    <n v="2172"/>
    <x v="1773"/>
    <x v="115"/>
    <n v="90"/>
    <n v="45"/>
    <s v="200 gm"/>
    <x v="21"/>
  </r>
  <r>
    <n v="2173"/>
    <x v="1774"/>
    <x v="77"/>
    <n v="115"/>
    <n v="75"/>
    <s v="159 gm"/>
    <x v="21"/>
  </r>
  <r>
    <n v="2174"/>
    <x v="1775"/>
    <x v="77"/>
    <n v="190"/>
    <n v="139"/>
    <s v="270 gm"/>
    <x v="21"/>
  </r>
  <r>
    <n v="2175"/>
    <x v="1776"/>
    <x v="98"/>
    <n v="200"/>
    <n v="178"/>
    <s v="500 gm"/>
    <x v="21"/>
  </r>
  <r>
    <n v="2176"/>
    <x v="1777"/>
    <x v="385"/>
    <n v="259"/>
    <n v="129"/>
    <s v="250 gm"/>
    <x v="21"/>
  </r>
  <r>
    <n v="2177"/>
    <x v="1778"/>
    <x v="81"/>
    <n v="50"/>
    <n v="40"/>
    <s v="100 gm"/>
    <x v="21"/>
  </r>
  <r>
    <n v="2178"/>
    <x v="1779"/>
    <x v="81"/>
    <n v="30"/>
    <n v="27"/>
    <s v="25 gm"/>
    <x v="21"/>
  </r>
  <r>
    <n v="2179"/>
    <x v="1780"/>
    <x v="386"/>
    <n v="355"/>
    <n v="255"/>
    <s v="425 gm"/>
    <x v="21"/>
  </r>
  <r>
    <n v="2180"/>
    <x v="1781"/>
    <x v="385"/>
    <n v="279"/>
    <n v="139"/>
    <s v="250 gm"/>
    <x v="21"/>
  </r>
  <r>
    <n v="2181"/>
    <x v="1782"/>
    <x v="378"/>
    <n v="99"/>
    <n v="69"/>
    <s v="100 gm"/>
    <x v="21"/>
  </r>
  <r>
    <n v="2182"/>
    <x v="1783"/>
    <x v="114"/>
    <n v="249"/>
    <n v="124"/>
    <s v="100 gm"/>
    <x v="21"/>
  </r>
  <r>
    <n v="2183"/>
    <x v="1784"/>
    <x v="381"/>
    <n v="108"/>
    <n v="85"/>
    <s v="500 gm"/>
    <x v="21"/>
  </r>
  <r>
    <n v="2184"/>
    <x v="1785"/>
    <x v="387"/>
    <n v="37"/>
    <n v="34"/>
    <s v="100 gm"/>
    <x v="21"/>
  </r>
  <r>
    <n v="2185"/>
    <x v="1786"/>
    <x v="385"/>
    <n v="179"/>
    <n v="89"/>
    <s v="200 gm"/>
    <x v="21"/>
  </r>
  <r>
    <n v="2186"/>
    <x v="1787"/>
    <x v="385"/>
    <n v="179"/>
    <n v="89"/>
    <s v="200 gm"/>
    <x v="21"/>
  </r>
  <r>
    <n v="2187"/>
    <x v="1788"/>
    <x v="385"/>
    <n v="149"/>
    <n v="99"/>
    <s v="100 gm"/>
    <x v="21"/>
  </r>
  <r>
    <n v="2188"/>
    <x v="1789"/>
    <x v="4"/>
    <n v="38"/>
    <n v="35"/>
    <s v="100 gm"/>
    <x v="21"/>
  </r>
  <r>
    <n v="2189"/>
    <x v="1790"/>
    <x v="120"/>
    <n v="70"/>
    <n v="52"/>
    <s v="50 gm"/>
    <x v="21"/>
  </r>
  <r>
    <n v="2190"/>
    <x v="1791"/>
    <x v="120"/>
    <n v="70"/>
    <n v="52"/>
    <s v="50 gm"/>
    <x v="21"/>
  </r>
  <r>
    <n v="2191"/>
    <x v="1792"/>
    <x v="340"/>
    <n v="141"/>
    <n v="109"/>
    <s v="360 gm"/>
    <x v="10"/>
  </r>
  <r>
    <n v="2192"/>
    <x v="1599"/>
    <x v="349"/>
    <n v="50"/>
    <n v="1"/>
    <s v="40 gm"/>
    <x v="10"/>
  </r>
  <r>
    <n v="2193"/>
    <x v="1600"/>
    <x v="349"/>
    <n v="50"/>
    <n v="1"/>
    <s v="40 gm"/>
    <x v="10"/>
  </r>
  <r>
    <n v="2194"/>
    <x v="1601"/>
    <x v="349"/>
    <n v="50"/>
    <n v="1"/>
    <s v="40 gm"/>
    <x v="10"/>
  </r>
  <r>
    <n v="2195"/>
    <x v="1793"/>
    <x v="388"/>
    <n v="300"/>
    <n v="240"/>
    <s v="80 gm"/>
    <x v="10"/>
  </r>
  <r>
    <n v="2196"/>
    <x v="1794"/>
    <x v="388"/>
    <n v="325"/>
    <n v="260"/>
    <s v="80 gm"/>
    <x v="10"/>
  </r>
  <r>
    <n v="2197"/>
    <x v="1795"/>
    <x v="388"/>
    <n v="300"/>
    <n v="240"/>
    <s v="80 gm"/>
    <x v="10"/>
  </r>
  <r>
    <n v="2198"/>
    <x v="1796"/>
    <x v="388"/>
    <n v="300"/>
    <n v="240"/>
    <s v="80 gm"/>
    <x v="10"/>
  </r>
  <r>
    <n v="2199"/>
    <x v="1797"/>
    <x v="388"/>
    <n v="300"/>
    <n v="240"/>
    <s v="80 gm"/>
    <x v="10"/>
  </r>
  <r>
    <n v="2200"/>
    <x v="1798"/>
    <x v="388"/>
    <n v="325"/>
    <n v="260"/>
    <s v="80 gm"/>
    <x v="10"/>
  </r>
  <r>
    <n v="2201"/>
    <x v="1799"/>
    <x v="221"/>
    <n v="120"/>
    <n v="60"/>
    <s v="200 gm"/>
    <x v="23"/>
  </r>
  <r>
    <n v="2202"/>
    <x v="1800"/>
    <x v="283"/>
    <n v="70"/>
    <n v="35"/>
    <s v="100 gm"/>
    <x v="24"/>
  </r>
  <r>
    <n v="2203"/>
    <x v="1801"/>
    <x v="389"/>
    <n v="250"/>
    <n v="125"/>
    <s v="225 gm"/>
    <x v="24"/>
  </r>
  <r>
    <n v="2204"/>
    <x v="1802"/>
    <x v="326"/>
    <n v="150"/>
    <n v="75"/>
    <s v="384 gm"/>
    <x v="24"/>
  </r>
  <r>
    <n v="2205"/>
    <x v="1803"/>
    <x v="360"/>
    <n v="170"/>
    <n v="85"/>
    <s v="250 gm"/>
    <x v="24"/>
  </r>
  <r>
    <n v="2206"/>
    <x v="1804"/>
    <x v="390"/>
    <n v="26"/>
    <n v="15"/>
    <s v="100 gm"/>
    <x v="24"/>
  </r>
  <r>
    <n v="2207"/>
    <x v="1805"/>
    <x v="220"/>
    <n v="50"/>
    <n v="39"/>
    <s v="198 gm"/>
    <x v="24"/>
  </r>
  <r>
    <n v="2208"/>
    <x v="1806"/>
    <x v="288"/>
    <n v="75"/>
    <n v="37"/>
    <s v="100 gm"/>
    <x v="24"/>
  </r>
  <r>
    <n v="2209"/>
    <x v="1807"/>
    <x v="283"/>
    <n v="80"/>
    <n v="40"/>
    <s v="100 gm"/>
    <x v="24"/>
  </r>
  <r>
    <n v="2210"/>
    <x v="1808"/>
    <x v="391"/>
    <n v="65"/>
    <n v="32"/>
    <s v="150 gm"/>
    <x v="24"/>
  </r>
  <r>
    <n v="2211"/>
    <x v="1809"/>
    <x v="391"/>
    <n v="18"/>
    <n v="9"/>
    <s v="37 gm"/>
    <x v="24"/>
  </r>
  <r>
    <n v="2212"/>
    <x v="1810"/>
    <x v="220"/>
    <n v="50"/>
    <n v="45"/>
    <s v="294 gm"/>
    <x v="24"/>
  </r>
  <r>
    <n v="2213"/>
    <x v="1811"/>
    <x v="391"/>
    <n v="65"/>
    <n v="32"/>
    <s v="150 gm"/>
    <x v="24"/>
  </r>
  <r>
    <n v="2214"/>
    <x v="1812"/>
    <x v="389"/>
    <n v="150"/>
    <n v="75"/>
    <s v="160 gm"/>
    <x v="24"/>
  </r>
  <r>
    <n v="2215"/>
    <x v="1813"/>
    <x v="283"/>
    <n v="65"/>
    <n v="32"/>
    <s v="100 gm"/>
    <x v="24"/>
  </r>
  <r>
    <n v="2216"/>
    <x v="1814"/>
    <x v="390"/>
    <n v="26"/>
    <n v="15"/>
    <s v="100 gm"/>
    <x v="24"/>
  </r>
  <r>
    <n v="2217"/>
    <x v="1815"/>
    <x v="283"/>
    <n v="65"/>
    <n v="32"/>
    <s v="100 gm"/>
    <x v="24"/>
  </r>
  <r>
    <n v="2218"/>
    <x v="1816"/>
    <x v="392"/>
    <n v="100"/>
    <n v="70"/>
    <s v="90 gm"/>
    <x v="24"/>
  </r>
  <r>
    <n v="2219"/>
    <x v="1817"/>
    <x v="393"/>
    <n v="18"/>
    <n v="9"/>
    <s v="37 gm"/>
    <x v="24"/>
  </r>
  <r>
    <n v="2220"/>
    <x v="1818"/>
    <x v="390"/>
    <n v="26"/>
    <n v="15"/>
    <s v="100 gm"/>
    <x v="24"/>
  </r>
  <r>
    <n v="2221"/>
    <x v="1819"/>
    <x v="394"/>
    <n v="45"/>
    <n v="22"/>
    <s v="160 gm"/>
    <x v="24"/>
  </r>
  <r>
    <n v="2222"/>
    <x v="1450"/>
    <x v="237"/>
    <n v="50"/>
    <n v="45"/>
    <s v="137.5 gm"/>
    <x v="24"/>
  </r>
  <r>
    <n v="2223"/>
    <x v="1820"/>
    <x v="395"/>
    <n v="50"/>
    <n v="45"/>
    <s v="22 gm"/>
    <x v="24"/>
  </r>
  <r>
    <n v="2224"/>
    <x v="1821"/>
    <x v="389"/>
    <n v="150"/>
    <n v="75"/>
    <s v="150 gm"/>
    <x v="24"/>
  </r>
  <r>
    <n v="2225"/>
    <x v="1822"/>
    <x v="389"/>
    <n v="150"/>
    <n v="75"/>
    <s v="160 gm"/>
    <x v="24"/>
  </r>
  <r>
    <n v="2226"/>
    <x v="1823"/>
    <x v="396"/>
    <n v="50"/>
    <n v="43"/>
    <s v="136 gm"/>
    <x v="24"/>
  </r>
  <r>
    <n v="2227"/>
    <x v="1824"/>
    <x v="397"/>
    <n v="50"/>
    <n v="45"/>
    <s v="22 gm"/>
    <x v="24"/>
  </r>
  <r>
    <n v="2228"/>
    <x v="1825"/>
    <x v="392"/>
    <n v="100"/>
    <n v="90"/>
    <s v="90 gm"/>
    <x v="24"/>
  </r>
  <r>
    <n v="2229"/>
    <x v="1826"/>
    <x v="389"/>
    <n v="150"/>
    <n v="75"/>
    <s v="170 gm"/>
    <x v="24"/>
  </r>
  <r>
    <n v="2230"/>
    <x v="1827"/>
    <x v="283"/>
    <n v="60"/>
    <n v="30"/>
    <s v="100 gm"/>
    <x v="24"/>
  </r>
  <r>
    <n v="2231"/>
    <x v="1828"/>
    <x v="398"/>
    <n v="0"/>
    <n v="0"/>
    <s v="140 gm"/>
    <x v="24"/>
  </r>
  <r>
    <n v="2232"/>
    <x v="1829"/>
    <x v="399"/>
    <n v="50"/>
    <n v="45"/>
    <s v="32.5 gm"/>
    <x v="24"/>
  </r>
  <r>
    <n v="2233"/>
    <x v="1830"/>
    <x v="399"/>
    <n v="50"/>
    <n v="39"/>
    <s v="32.55 gm"/>
    <x v="24"/>
  </r>
  <r>
    <n v="2234"/>
    <x v="1831"/>
    <x v="400"/>
    <n v="15"/>
    <n v="13"/>
    <s v="7.2 gm"/>
    <x v="24"/>
  </r>
  <r>
    <n v="2235"/>
    <x v="1832"/>
    <x v="400"/>
    <n v="15"/>
    <n v="13"/>
    <s v="7.2 gm"/>
    <x v="24"/>
  </r>
  <r>
    <n v="2236"/>
    <x v="1833"/>
    <x v="400"/>
    <n v="15"/>
    <n v="13"/>
    <s v="7.2 gm"/>
    <x v="24"/>
  </r>
  <r>
    <n v="2237"/>
    <x v="1834"/>
    <x v="400"/>
    <n v="10"/>
    <n v="9"/>
    <s v="7.2 gm"/>
    <x v="24"/>
  </r>
  <r>
    <n v="2238"/>
    <x v="1835"/>
    <x v="395"/>
    <n v="50"/>
    <n v="39"/>
    <s v="22 gm"/>
    <x v="24"/>
  </r>
  <r>
    <n v="2239"/>
    <x v="1836"/>
    <x v="249"/>
    <n v="70"/>
    <n v="60"/>
    <s v="250 gm"/>
    <x v="24"/>
  </r>
  <r>
    <n v="2240"/>
    <x v="1836"/>
    <x v="249"/>
    <n v="130"/>
    <n v="105"/>
    <s v="500 gm"/>
    <x v="24"/>
  </r>
  <r>
    <n v="2241"/>
    <x v="1837"/>
    <x v="249"/>
    <n v="210"/>
    <n v="169"/>
    <s v="1 kg"/>
    <x v="24"/>
  </r>
  <r>
    <n v="2242"/>
    <x v="1838"/>
    <x v="249"/>
    <n v="210"/>
    <n v="170"/>
    <s v="1 kg"/>
    <x v="24"/>
  </r>
  <r>
    <n v="2243"/>
    <x v="1839"/>
    <x v="252"/>
    <n v="250"/>
    <n v="165"/>
    <s v="1.25 kg"/>
    <x v="24"/>
  </r>
  <r>
    <n v="2244"/>
    <x v="1840"/>
    <x v="252"/>
    <n v="265"/>
    <n v="180"/>
    <s v="1.25 kg"/>
    <x v="24"/>
  </r>
  <r>
    <n v="2245"/>
    <x v="1841"/>
    <x v="291"/>
    <n v="205"/>
    <n v="102"/>
    <s v="1 kg"/>
    <x v="24"/>
  </r>
  <r>
    <n v="2246"/>
    <x v="1842"/>
    <x v="401"/>
    <n v="130"/>
    <n v="89"/>
    <s v="200 gm"/>
    <x v="24"/>
  </r>
  <r>
    <n v="2247"/>
    <x v="1843"/>
    <x v="402"/>
    <n v="68"/>
    <n v="34"/>
    <s v="200 gm"/>
    <x v="24"/>
  </r>
  <r>
    <n v="2248"/>
    <x v="1844"/>
    <x v="401"/>
    <n v="130"/>
    <n v="109"/>
    <s v="200 gm"/>
    <x v="24"/>
  </r>
  <r>
    <n v="2249"/>
    <x v="1845"/>
    <x v="249"/>
    <n v="300"/>
    <n v="150"/>
    <s v="500 gm"/>
    <x v="24"/>
  </r>
  <r>
    <n v="2250"/>
    <x v="1846"/>
    <x v="64"/>
    <n v="190"/>
    <n v="176"/>
    <s v="200 gm"/>
    <x v="24"/>
  </r>
  <r>
    <n v="2251"/>
    <x v="1846"/>
    <x v="64"/>
    <n v="435"/>
    <n v="404"/>
    <s v="500 gm"/>
    <x v="24"/>
  </r>
  <r>
    <n v="2252"/>
    <x v="1847"/>
    <x v="403"/>
    <n v="170"/>
    <n v="100"/>
    <s v="1 kg"/>
    <x v="24"/>
  </r>
  <r>
    <n v="2253"/>
    <x v="1848"/>
    <x v="291"/>
    <n v="200"/>
    <n v="100"/>
    <s v="1 kg"/>
    <x v="24"/>
  </r>
  <r>
    <n v="2254"/>
    <x v="1849"/>
    <x v="401"/>
    <n v="130"/>
    <n v="65"/>
    <s v="200 gm"/>
    <x v="24"/>
  </r>
  <r>
    <n v="2255"/>
    <x v="1850"/>
    <x v="360"/>
    <n v="118"/>
    <n v="85"/>
    <s v="200 gm"/>
    <x v="24"/>
  </r>
  <r>
    <n v="2256"/>
    <x v="1851"/>
    <x v="252"/>
    <n v="135"/>
    <n v="94"/>
    <s v="450 gm"/>
    <x v="24"/>
  </r>
  <r>
    <n v="2257"/>
    <x v="1852"/>
    <x v="404"/>
    <n v="135"/>
    <n v="75"/>
    <s v="400 gm"/>
    <x v="24"/>
  </r>
  <r>
    <n v="2258"/>
    <x v="1853"/>
    <x v="404"/>
    <n v="250"/>
    <n v="150"/>
    <s v="1.25 kg"/>
    <x v="24"/>
  </r>
  <r>
    <n v="2259"/>
    <x v="1854"/>
    <x v="404"/>
    <n v="99"/>
    <n v="49"/>
    <s v="200 gm"/>
    <x v="24"/>
  </r>
  <r>
    <n v="2260"/>
    <x v="1855"/>
    <x v="249"/>
    <n v="50"/>
    <n v="45"/>
    <s v="200 gm"/>
    <x v="24"/>
  </r>
  <r>
    <n v="2261"/>
    <x v="1855"/>
    <x v="249"/>
    <n v="90"/>
    <n v="70"/>
    <s v="400 gm"/>
    <x v="24"/>
  </r>
  <r>
    <n v="2262"/>
    <x v="1856"/>
    <x v="401"/>
    <n v="395"/>
    <n v="197"/>
    <s v="320 gm"/>
    <x v="24"/>
  </r>
  <r>
    <n v="2263"/>
    <x v="1857"/>
    <x v="64"/>
    <n v="115"/>
    <n v="105"/>
    <s v="200 gm"/>
    <x v="24"/>
  </r>
  <r>
    <n v="2264"/>
    <x v="1858"/>
    <x v="263"/>
    <n v="75"/>
    <n v="37"/>
    <s v="200 gm"/>
    <x v="24"/>
  </r>
  <r>
    <n v="2265"/>
    <x v="1859"/>
    <x v="405"/>
    <n v="68"/>
    <n v="34"/>
    <s v="200 gm"/>
    <x v="24"/>
  </r>
  <r>
    <n v="2266"/>
    <x v="1860"/>
    <x v="401"/>
    <n v="110"/>
    <n v="55"/>
    <s v="200 gm"/>
    <x v="24"/>
  </r>
  <r>
    <n v="2267"/>
    <x v="1861"/>
    <x v="64"/>
    <n v="110"/>
    <n v="99"/>
    <s v="200 gm"/>
    <x v="24"/>
  </r>
  <r>
    <n v="2268"/>
    <x v="1862"/>
    <x v="406"/>
    <n v="75"/>
    <n v="68"/>
    <s v="400 gm"/>
    <x v="24"/>
  </r>
  <r>
    <n v="2269"/>
    <x v="1863"/>
    <x v="407"/>
    <n v="200"/>
    <n v="150"/>
    <s v="250 gm"/>
    <x v="24"/>
  </r>
  <r>
    <n v="2270"/>
    <x v="1864"/>
    <x v="404"/>
    <n v="265"/>
    <n v="165"/>
    <s v="1.25 kg"/>
    <x v="24"/>
  </r>
  <r>
    <n v="2271"/>
    <x v="1865"/>
    <x v="64"/>
    <n v="115"/>
    <n v="105"/>
    <s v="200 gm"/>
    <x v="24"/>
  </r>
  <r>
    <n v="2272"/>
    <x v="1866"/>
    <x v="407"/>
    <n v="200"/>
    <n v="150"/>
    <s v="250 gm"/>
    <x v="24"/>
  </r>
  <r>
    <n v="2273"/>
    <x v="1867"/>
    <x v="407"/>
    <n v="200"/>
    <n v="150"/>
    <s v="250 gm"/>
    <x v="24"/>
  </r>
  <r>
    <n v="2274"/>
    <x v="1868"/>
    <x v="408"/>
    <n v="140"/>
    <n v="99"/>
    <s v="500 gm"/>
    <x v="24"/>
  </r>
  <r>
    <n v="2275"/>
    <x v="1869"/>
    <x v="407"/>
    <n v="200"/>
    <n v="150"/>
    <s v="250 gm"/>
    <x v="24"/>
  </r>
  <r>
    <n v="2276"/>
    <x v="1870"/>
    <x v="407"/>
    <n v="200"/>
    <n v="150"/>
    <s v="250 gm"/>
    <x v="24"/>
  </r>
  <r>
    <n v="2277"/>
    <x v="1871"/>
    <x v="407"/>
    <n v="200"/>
    <n v="150"/>
    <s v="250 gm"/>
    <x v="24"/>
  </r>
  <r>
    <n v="2278"/>
    <x v="1872"/>
    <x v="407"/>
    <n v="200"/>
    <n v="150"/>
    <s v="250 gm"/>
    <x v="24"/>
  </r>
  <r>
    <n v="2279"/>
    <x v="1873"/>
    <x v="408"/>
    <n v="500"/>
    <n v="326"/>
    <s v="1 kg"/>
    <x v="24"/>
  </r>
  <r>
    <n v="2280"/>
    <x v="1874"/>
    <x v="409"/>
    <n v="240"/>
    <n v="99"/>
    <s v="1 kg"/>
    <x v="24"/>
  </r>
  <r>
    <n v="2281"/>
    <x v="1875"/>
    <x v="11"/>
    <n v="160"/>
    <n v="125"/>
    <s v="160 gm"/>
    <x v="24"/>
  </r>
  <r>
    <n v="2282"/>
    <x v="1876"/>
    <x v="11"/>
    <n v="100"/>
    <n v="70"/>
    <s v="160 gm"/>
    <x v="24"/>
  </r>
  <r>
    <n v="2283"/>
    <x v="1877"/>
    <x v="147"/>
    <n v="240"/>
    <n v="223"/>
    <s v="250 gm"/>
    <x v="24"/>
  </r>
  <r>
    <n v="2284"/>
    <x v="1878"/>
    <x v="84"/>
    <n v="250"/>
    <n v="200"/>
    <s v="500 gm"/>
    <x v="24"/>
  </r>
  <r>
    <n v="2285"/>
    <x v="1879"/>
    <x v="84"/>
    <n v="140"/>
    <n v="120"/>
    <s v="300 gm"/>
    <x v="24"/>
  </r>
  <r>
    <n v="2286"/>
    <x v="1880"/>
    <x v="351"/>
    <n v="225"/>
    <n v="112"/>
    <s v="1 kg"/>
    <x v="12"/>
  </r>
  <r>
    <n v="2287"/>
    <x v="1881"/>
    <x v="111"/>
    <n v="219"/>
    <n v="109"/>
    <s v="1 kg"/>
    <x v="12"/>
  </r>
  <r>
    <n v="2288"/>
    <x v="1882"/>
    <x v="351"/>
    <n v="60"/>
    <n v="49"/>
    <s v="200 gm"/>
    <x v="12"/>
  </r>
  <r>
    <n v="2289"/>
    <x v="1882"/>
    <x v="351"/>
    <n v="110"/>
    <n v="95"/>
    <s v="500 gm"/>
    <x v="12"/>
  </r>
  <r>
    <n v="2290"/>
    <x v="1883"/>
    <x v="410"/>
    <n v="63"/>
    <n v="53"/>
    <s v="200 gm"/>
    <x v="12"/>
  </r>
  <r>
    <n v="2291"/>
    <x v="1883"/>
    <x v="410"/>
    <n v="115"/>
    <n v="85"/>
    <s v="500 gm"/>
    <x v="12"/>
  </r>
  <r>
    <n v="2292"/>
    <x v="1884"/>
    <x v="84"/>
    <n v="200"/>
    <n v="100"/>
    <s v="1 kg"/>
    <x v="12"/>
  </r>
  <r>
    <n v="2293"/>
    <x v="1884"/>
    <x v="84"/>
    <n v="115"/>
    <n v="105"/>
    <s v="400 gm"/>
    <x v="12"/>
  </r>
  <r>
    <n v="2294"/>
    <x v="1885"/>
    <x v="410"/>
    <n v="70"/>
    <n v="59"/>
    <s v="200 gm"/>
    <x v="12"/>
  </r>
  <r>
    <n v="2295"/>
    <x v="1886"/>
    <x v="111"/>
    <n v="149"/>
    <n v="74"/>
    <s v="500 gm"/>
    <x v="12"/>
  </r>
  <r>
    <n v="2296"/>
    <x v="1887"/>
    <x v="103"/>
    <n v="50"/>
    <n v="25"/>
    <s v="200 gm"/>
    <x v="12"/>
  </r>
  <r>
    <n v="2297"/>
    <x v="1888"/>
    <x v="410"/>
    <n v="70"/>
    <n v="50"/>
    <s v="200 gm"/>
    <x v="12"/>
  </r>
  <r>
    <n v="2298"/>
    <x v="1889"/>
    <x v="410"/>
    <n v="63"/>
    <n v="50"/>
    <s v="200 gm"/>
    <x v="12"/>
  </r>
  <r>
    <n v="2299"/>
    <x v="1890"/>
    <x v="84"/>
    <n v="120"/>
    <n v="105"/>
    <s v="400 gm"/>
    <x v="12"/>
  </r>
  <r>
    <n v="2300"/>
    <x v="1891"/>
    <x v="84"/>
    <n v="115"/>
    <n v="105"/>
    <s v="400 gm"/>
    <x v="12"/>
  </r>
  <r>
    <n v="2301"/>
    <x v="1892"/>
    <x v="111"/>
    <n v="219"/>
    <n v="109"/>
    <s v="1 kg"/>
    <x v="12"/>
  </r>
  <r>
    <n v="2302"/>
    <x v="1893"/>
    <x v="351"/>
    <n v="60"/>
    <n v="49"/>
    <s v="200 gm"/>
    <x v="12"/>
  </r>
  <r>
    <n v="2303"/>
    <x v="1893"/>
    <x v="351"/>
    <n v="225"/>
    <n v="112"/>
    <s v="1 kg"/>
    <x v="12"/>
  </r>
  <r>
    <n v="2304"/>
    <x v="1894"/>
    <x v="84"/>
    <n v="200"/>
    <n v="100"/>
    <s v="1 kg"/>
    <x v="12"/>
  </r>
  <r>
    <n v="2305"/>
    <x v="1894"/>
    <x v="84"/>
    <n v="115"/>
    <n v="92"/>
    <s v="400 gm"/>
    <x v="12"/>
  </r>
  <r>
    <n v="2306"/>
    <x v="1895"/>
    <x v="111"/>
    <n v="149"/>
    <n v="74"/>
    <s v="500 gm"/>
    <x v="12"/>
  </r>
  <r>
    <n v="2307"/>
    <x v="1896"/>
    <x v="410"/>
    <n v="63"/>
    <n v="45"/>
    <s v="200 gm"/>
    <x v="12"/>
  </r>
  <r>
    <n v="2308"/>
    <x v="1896"/>
    <x v="410"/>
    <n v="115"/>
    <n v="85"/>
    <s v="500 gm"/>
    <x v="12"/>
  </r>
  <r>
    <n v="2309"/>
    <x v="1897"/>
    <x v="103"/>
    <n v="50"/>
    <n v="25"/>
    <s v="200 gm"/>
    <x v="12"/>
  </r>
  <r>
    <n v="2310"/>
    <x v="1898"/>
    <x v="351"/>
    <n v="60"/>
    <n v="49"/>
    <s v="200 gm"/>
    <x v="12"/>
  </r>
  <r>
    <n v="2311"/>
    <x v="1899"/>
    <x v="410"/>
    <n v="63"/>
    <n v="53"/>
    <s v="200 gm"/>
    <x v="12"/>
  </r>
  <r>
    <n v="2312"/>
    <x v="1900"/>
    <x v="84"/>
    <n v="120"/>
    <n v="105"/>
    <s v="400 gm"/>
    <x v="12"/>
  </r>
  <r>
    <n v="2313"/>
    <x v="1901"/>
    <x v="376"/>
    <n v="118"/>
    <n v="94"/>
    <s v="400 gm"/>
    <x v="12"/>
  </r>
  <r>
    <n v="2314"/>
    <x v="1902"/>
    <x v="376"/>
    <n v="94"/>
    <n v="69"/>
    <s v="400 gm"/>
    <x v="12"/>
  </r>
  <r>
    <n v="2315"/>
    <x v="1903"/>
    <x v="366"/>
    <n v="85"/>
    <n v="42"/>
    <s v="250 gm"/>
    <x v="12"/>
  </r>
  <r>
    <n v="2316"/>
    <x v="1903"/>
    <x v="366"/>
    <n v="265"/>
    <n v="132"/>
    <s v="1 kg"/>
    <x v="12"/>
  </r>
  <r>
    <n v="2317"/>
    <x v="1904"/>
    <x v="411"/>
    <n v="60"/>
    <n v="45"/>
    <s v="200 gm"/>
    <x v="12"/>
  </r>
  <r>
    <n v="2318"/>
    <x v="1905"/>
    <x v="84"/>
    <n v="60"/>
    <n v="49"/>
    <s v="100 gm"/>
    <x v="12"/>
  </r>
  <r>
    <n v="2319"/>
    <x v="1906"/>
    <x v="407"/>
    <n v="48"/>
    <n v="24"/>
    <s v="100 gm"/>
    <x v="12"/>
  </r>
  <r>
    <n v="2320"/>
    <x v="1907"/>
    <x v="84"/>
    <n v="50"/>
    <n v="40"/>
    <s v="100 gm"/>
    <x v="12"/>
  </r>
  <r>
    <n v="2321"/>
    <x v="1908"/>
    <x v="111"/>
    <n v="60"/>
    <n v="40"/>
    <s v="200 gm"/>
    <x v="12"/>
  </r>
  <r>
    <n v="2322"/>
    <x v="1909"/>
    <x v="376"/>
    <n v="168"/>
    <n v="84"/>
    <s v="400 gm"/>
    <x v="12"/>
  </r>
  <r>
    <n v="2323"/>
    <x v="1910"/>
    <x v="376"/>
    <n v="148"/>
    <n v="74"/>
    <s v="400 gm"/>
    <x v="12"/>
  </r>
  <r>
    <n v="2324"/>
    <x v="1911"/>
    <x v="111"/>
    <n v="60"/>
    <n v="41"/>
    <s v="200 gm"/>
    <x v="12"/>
  </r>
  <r>
    <n v="2325"/>
    <x v="1912"/>
    <x v="412"/>
    <n v="190"/>
    <n v="160"/>
    <s v="300 Pellets"/>
    <x v="20"/>
  </r>
  <r>
    <n v="2326"/>
    <x v="1912"/>
    <x v="412"/>
    <n v="285"/>
    <n v="215"/>
    <s v="500 Pellets"/>
    <x v="20"/>
  </r>
  <r>
    <n v="2327"/>
    <x v="1913"/>
    <x v="359"/>
    <n v="395"/>
    <n v="312"/>
    <s v="950 gm"/>
    <x v="20"/>
  </r>
  <r>
    <n v="2328"/>
    <x v="1913"/>
    <x v="359"/>
    <n v="220"/>
    <n v="199"/>
    <s v="500 gm"/>
    <x v="20"/>
  </r>
  <r>
    <n v="2329"/>
    <x v="1913"/>
    <x v="359"/>
    <n v="110"/>
    <n v="102"/>
    <s v="250 gm"/>
    <x v="20"/>
  </r>
  <r>
    <n v="2330"/>
    <x v="1914"/>
    <x v="412"/>
    <n v="150"/>
    <n v="125"/>
    <s v="100 gm"/>
    <x v="20"/>
  </r>
  <r>
    <n v="2331"/>
    <x v="1915"/>
    <x v="412"/>
    <n v="190"/>
    <n v="160"/>
    <s v="300 Pellets"/>
    <x v="20"/>
  </r>
  <r>
    <n v="2332"/>
    <x v="1915"/>
    <x v="412"/>
    <n v="300"/>
    <n v="260"/>
    <s v="500 Pellets"/>
    <x v="20"/>
  </r>
  <r>
    <n v="2333"/>
    <x v="1916"/>
    <x v="213"/>
    <n v="220"/>
    <n v="205"/>
    <s v="50 ml"/>
    <x v="20"/>
  </r>
  <r>
    <n v="2334"/>
    <x v="1917"/>
    <x v="58"/>
    <n v="280"/>
    <n v="250"/>
    <s v="1 kg"/>
    <x v="20"/>
  </r>
  <r>
    <n v="2335"/>
    <x v="1918"/>
    <x v="413"/>
    <n v="70"/>
    <n v="48"/>
    <s v="50 gm"/>
    <x v="20"/>
  </r>
  <r>
    <n v="2336"/>
    <x v="1919"/>
    <x v="171"/>
    <n v="499"/>
    <n v="349"/>
    <s v="2x500gm"/>
    <x v="20"/>
  </r>
  <r>
    <n v="2337"/>
    <x v="1920"/>
    <x v="359"/>
    <n v="440"/>
    <n v="395"/>
    <s v="900 gm"/>
    <x v="20"/>
  </r>
  <r>
    <n v="2338"/>
    <x v="1921"/>
    <x v="413"/>
    <n v="70"/>
    <n v="48"/>
    <s v="50 gm"/>
    <x v="20"/>
  </r>
  <r>
    <n v="2339"/>
    <x v="1922"/>
    <x v="412"/>
    <n v="150"/>
    <n v="130"/>
    <s v="100 gm"/>
    <x v="20"/>
  </r>
  <r>
    <n v="2340"/>
    <x v="1923"/>
    <x v="413"/>
    <n v="65"/>
    <n v="45"/>
    <s v="50 gm"/>
    <x v="20"/>
  </r>
  <r>
    <n v="2341"/>
    <x v="1924"/>
    <x v="17"/>
    <n v="525"/>
    <n v="262"/>
    <s v="1.25 kg"/>
    <x v="20"/>
  </r>
  <r>
    <n v="2342"/>
    <x v="1925"/>
    <x v="412"/>
    <n v="240"/>
    <n v="205"/>
    <s v="80 gm"/>
    <x v="20"/>
  </r>
  <r>
    <n v="2343"/>
    <x v="1926"/>
    <x v="205"/>
    <n v="225"/>
    <n v="129"/>
    <s v="500 gm"/>
    <x v="20"/>
  </r>
  <r>
    <n v="2344"/>
    <x v="1926"/>
    <x v="205"/>
    <n v="395"/>
    <n v="315"/>
    <s v="1 kg"/>
    <x v="20"/>
  </r>
  <r>
    <n v="2345"/>
    <x v="1927"/>
    <x v="414"/>
    <n v="230"/>
    <n v="195"/>
    <s v="500 ml"/>
    <x v="20"/>
  </r>
  <r>
    <n v="2346"/>
    <x v="1928"/>
    <x v="412"/>
    <n v="170"/>
    <n v="140"/>
    <s v="200 gm"/>
    <x v="20"/>
  </r>
  <r>
    <n v="2347"/>
    <x v="1929"/>
    <x v="205"/>
    <n v="190"/>
    <n v="145"/>
    <s v="500 gm"/>
    <x v="20"/>
  </r>
  <r>
    <n v="2348"/>
    <x v="1929"/>
    <x v="205"/>
    <n v="349"/>
    <n v="254"/>
    <s v="1 kg"/>
    <x v="20"/>
  </r>
  <r>
    <n v="2349"/>
    <x v="1930"/>
    <x v="412"/>
    <n v="140"/>
    <n v="126"/>
    <s v="200 Drops"/>
    <x v="20"/>
  </r>
  <r>
    <n v="2350"/>
    <x v="1931"/>
    <x v="413"/>
    <n v="45"/>
    <n v="30"/>
    <s v="40 gm"/>
    <x v="20"/>
  </r>
  <r>
    <n v="2351"/>
    <x v="1932"/>
    <x v="413"/>
    <n v="45"/>
    <n v="30"/>
    <s v="40 gm"/>
    <x v="20"/>
  </r>
  <r>
    <n v="2352"/>
    <x v="1933"/>
    <x v="412"/>
    <n v="44"/>
    <n v="39"/>
    <s v="25 Sachets"/>
    <x v="20"/>
  </r>
  <r>
    <n v="2353"/>
    <x v="1934"/>
    <x v="117"/>
    <n v="150"/>
    <n v="105"/>
    <s v="50 gm"/>
    <x v="20"/>
  </r>
  <r>
    <n v="2354"/>
    <x v="1935"/>
    <x v="205"/>
    <n v="720"/>
    <n v="552"/>
    <s v="1 kg"/>
    <x v="20"/>
  </r>
  <r>
    <n v="2355"/>
    <x v="1936"/>
    <x v="205"/>
    <n v="110"/>
    <n v="88"/>
    <s v="200 ml"/>
    <x v="20"/>
  </r>
  <r>
    <n v="2356"/>
    <x v="1937"/>
    <x v="151"/>
    <n v="495"/>
    <n v="445"/>
    <s v="500 gm"/>
    <x v="20"/>
  </r>
  <r>
    <n v="2357"/>
    <x v="1938"/>
    <x v="415"/>
    <n v="299"/>
    <n v="149"/>
    <s v="110 gm"/>
    <x v="20"/>
  </r>
  <r>
    <n v="2358"/>
    <x v="1939"/>
    <x v="415"/>
    <n v="299"/>
    <n v="149"/>
    <s v="80 gm"/>
    <x v="20"/>
  </r>
  <r>
    <n v="2359"/>
    <x v="1940"/>
    <x v="416"/>
    <n v="285"/>
    <n v="199"/>
    <s v="350 gm"/>
    <x v="20"/>
  </r>
  <r>
    <n v="2360"/>
    <x v="1941"/>
    <x v="416"/>
    <n v="725"/>
    <n v="510"/>
    <s v="30 U"/>
    <x v="20"/>
  </r>
  <r>
    <n v="2361"/>
    <x v="1942"/>
    <x v="416"/>
    <n v="723"/>
    <n v="578"/>
    <s v="500 gm"/>
    <x v="20"/>
  </r>
  <r>
    <n v="2362"/>
    <x v="1943"/>
    <x v="416"/>
    <n v="285"/>
    <n v="228"/>
    <s v="350 gm"/>
    <x v="20"/>
  </r>
  <r>
    <n v="2363"/>
    <x v="1944"/>
    <x v="342"/>
    <n v="60"/>
    <n v="40"/>
    <s v="53 gm"/>
    <x v="23"/>
  </r>
  <r>
    <n v="2364"/>
    <x v="1945"/>
    <x v="342"/>
    <n v="60"/>
    <n v="44"/>
    <s v="44 gm"/>
    <x v="23"/>
  </r>
  <r>
    <n v="2365"/>
    <x v="1946"/>
    <x v="342"/>
    <n v="10"/>
    <n v="9"/>
    <s v="14 gm"/>
    <x v="23"/>
  </r>
  <r>
    <n v="2366"/>
    <x v="1947"/>
    <x v="342"/>
    <n v="10"/>
    <n v="9"/>
    <s v="12 gm"/>
    <x v="23"/>
  </r>
  <r>
    <n v="2367"/>
    <x v="1948"/>
    <x v="342"/>
    <n v="60"/>
    <n v="40"/>
    <s v="41 gm"/>
    <x v="23"/>
  </r>
  <r>
    <n v="2368"/>
    <x v="1949"/>
    <x v="342"/>
    <n v="60"/>
    <n v="40"/>
    <s v="40 gm"/>
    <x v="23"/>
  </r>
  <r>
    <n v="2369"/>
    <x v="1950"/>
    <x v="342"/>
    <n v="10"/>
    <n v="9"/>
    <s v="11 gm"/>
    <x v="23"/>
  </r>
  <r>
    <n v="2370"/>
    <x v="1951"/>
    <x v="107"/>
    <n v="10"/>
    <n v="9"/>
    <s v="15 gm"/>
    <x v="23"/>
  </r>
  <r>
    <n v="2371"/>
    <x v="1951"/>
    <x v="107"/>
    <n v="55"/>
    <n v="40"/>
    <s v="55 gm"/>
    <x v="23"/>
  </r>
  <r>
    <n v="2372"/>
    <x v="1952"/>
    <x v="342"/>
    <n v="60"/>
    <n v="40"/>
    <s v="42 gm"/>
    <x v="23"/>
  </r>
  <r>
    <n v="2373"/>
    <x v="1953"/>
    <x v="342"/>
    <n v="10"/>
    <n v="9"/>
    <s v="10 gm"/>
    <x v="23"/>
  </r>
  <r>
    <n v="2374"/>
    <x v="1954"/>
    <x v="342"/>
    <n v="75"/>
    <n v="52"/>
    <s v="36 gm"/>
    <x v="23"/>
  </r>
  <r>
    <n v="2375"/>
    <x v="1955"/>
    <x v="342"/>
    <n v="70"/>
    <n v="52"/>
    <s v="46 gm"/>
    <x v="23"/>
  </r>
  <r>
    <n v="2376"/>
    <x v="1956"/>
    <x v="107"/>
    <n v="55"/>
    <n v="39"/>
    <s v="55 gm"/>
    <x v="23"/>
  </r>
  <r>
    <n v="2377"/>
    <x v="1956"/>
    <x v="107"/>
    <n v="10"/>
    <n v="9"/>
    <s v="15 gm"/>
    <x v="23"/>
  </r>
  <r>
    <n v="2378"/>
    <x v="1957"/>
    <x v="342"/>
    <n v="10"/>
    <n v="9"/>
    <s v="10 gm"/>
    <x v="23"/>
  </r>
  <r>
    <n v="2379"/>
    <x v="1958"/>
    <x v="342"/>
    <n v="70"/>
    <n v="52"/>
    <s v="50 gm"/>
    <x v="23"/>
  </r>
  <r>
    <n v="2380"/>
    <x v="1959"/>
    <x v="107"/>
    <n v="60"/>
    <n v="35"/>
    <s v="55 gm"/>
    <x v="23"/>
  </r>
  <r>
    <n v="2381"/>
    <x v="1960"/>
    <x v="107"/>
    <n v="60"/>
    <n v="39"/>
    <s v="55 gm"/>
    <x v="23"/>
  </r>
  <r>
    <n v="2382"/>
    <x v="1961"/>
    <x v="389"/>
    <n v="180"/>
    <n v="90"/>
    <s v="130 gm"/>
    <x v="23"/>
  </r>
  <r>
    <n v="2383"/>
    <x v="1962"/>
    <x v="389"/>
    <n v="150"/>
    <n v="75"/>
    <s v="170 gm"/>
    <x v="23"/>
  </r>
  <r>
    <n v="2384"/>
    <x v="1963"/>
    <x v="389"/>
    <n v="150"/>
    <n v="75"/>
    <s v="170 gm"/>
    <x v="23"/>
  </r>
  <r>
    <n v="2385"/>
    <x v="1964"/>
    <x v="389"/>
    <n v="180"/>
    <n v="90"/>
    <s v="140 gm"/>
    <x v="23"/>
  </r>
  <r>
    <n v="2386"/>
    <x v="1965"/>
    <x v="4"/>
    <n v="87"/>
    <n v="73"/>
    <s v="100 gm"/>
    <x v="23"/>
  </r>
  <r>
    <n v="2387"/>
    <x v="1966"/>
    <x v="389"/>
    <n v="50"/>
    <n v="25"/>
    <s v="100 gm"/>
    <x v="23"/>
  </r>
  <r>
    <n v="2388"/>
    <x v="1967"/>
    <x v="115"/>
    <n v="70"/>
    <n v="35"/>
    <s v="125 gm"/>
    <x v="23"/>
  </r>
  <r>
    <n v="2389"/>
    <x v="1968"/>
    <x v="389"/>
    <n v="150"/>
    <n v="75"/>
    <s v="130 gm"/>
    <x v="23"/>
  </r>
  <r>
    <n v="2390"/>
    <x v="1969"/>
    <x v="389"/>
    <n v="150"/>
    <n v="75"/>
    <s v="180 gm"/>
    <x v="23"/>
  </r>
  <r>
    <n v="2391"/>
    <x v="1970"/>
    <x v="389"/>
    <n v="150"/>
    <n v="75"/>
    <s v="170 gm"/>
    <x v="23"/>
  </r>
  <r>
    <n v="2392"/>
    <x v="1971"/>
    <x v="417"/>
    <n v="120"/>
    <n v="60"/>
    <s v="100 gm"/>
    <x v="23"/>
  </r>
  <r>
    <n v="2393"/>
    <x v="1972"/>
    <x v="389"/>
    <n v="105"/>
    <n v="52"/>
    <s v="60 gm"/>
    <x v="23"/>
  </r>
  <r>
    <n v="2394"/>
    <x v="1973"/>
    <x v="389"/>
    <n v="160"/>
    <n v="80"/>
    <s v="130 gm"/>
    <x v="23"/>
  </r>
  <r>
    <n v="2395"/>
    <x v="1974"/>
    <x v="418"/>
    <n v="99"/>
    <n v="85"/>
    <s v="25 gm"/>
    <x v="23"/>
  </r>
  <r>
    <n v="2396"/>
    <x v="1975"/>
    <x v="2"/>
    <n v="60"/>
    <n v="49"/>
    <s v="1 pc"/>
    <x v="28"/>
  </r>
  <r>
    <n v="2397"/>
    <x v="1976"/>
    <x v="2"/>
    <n v="225"/>
    <n v="175"/>
    <s v="4 pcs"/>
    <x v="28"/>
  </r>
  <r>
    <n v="2398"/>
    <x v="1977"/>
    <x v="2"/>
    <n v="225"/>
    <n v="165"/>
    <s v="4 pcs"/>
    <x v="28"/>
  </r>
  <r>
    <n v="2399"/>
    <x v="1978"/>
    <x v="2"/>
    <n v="200"/>
    <n v="160"/>
    <s v="4 pcs"/>
    <x v="28"/>
  </r>
  <r>
    <n v="2400"/>
    <x v="1979"/>
    <x v="2"/>
    <n v="60"/>
    <n v="42"/>
    <s v="1 pc"/>
    <x v="28"/>
  </r>
  <r>
    <n v="2401"/>
    <x v="1980"/>
    <x v="2"/>
    <n v="80"/>
    <n v="62"/>
    <s v="6 Pcs"/>
    <x v="28"/>
  </r>
  <r>
    <n v="2402"/>
    <x v="1981"/>
    <x v="2"/>
    <n v="175"/>
    <n v="159"/>
    <s v="4 pcs"/>
    <x v="28"/>
  </r>
  <r>
    <n v="2403"/>
    <x v="1982"/>
    <x v="419"/>
    <n v="180"/>
    <n v="165"/>
    <s v="4 pcs"/>
    <x v="28"/>
  </r>
  <r>
    <n v="2404"/>
    <x v="1983"/>
    <x v="2"/>
    <n v="125"/>
    <n v="89"/>
    <s v="3 pcs"/>
    <x v="28"/>
  </r>
  <r>
    <n v="2405"/>
    <x v="1984"/>
    <x v="2"/>
    <n v="80"/>
    <n v="59"/>
    <s v="1 pc"/>
    <x v="28"/>
  </r>
  <r>
    <n v="2406"/>
    <x v="1985"/>
    <x v="2"/>
    <n v="250"/>
    <n v="215"/>
    <s v="4 U"/>
    <x v="28"/>
  </r>
  <r>
    <n v="2407"/>
    <x v="1986"/>
    <x v="2"/>
    <n v="95"/>
    <n v="66"/>
    <s v="400 gm"/>
    <x v="28"/>
  </r>
  <r>
    <n v="2408"/>
    <x v="1987"/>
    <x v="2"/>
    <n v="65"/>
    <n v="44"/>
    <s v="4 U"/>
    <x v="28"/>
  </r>
  <r>
    <n v="2409"/>
    <x v="1988"/>
    <x v="2"/>
    <n v="90"/>
    <n v="69"/>
    <s v="1 pc"/>
    <x v="28"/>
  </r>
  <r>
    <n v="2410"/>
    <x v="1989"/>
    <x v="2"/>
    <n v="55"/>
    <n v="49"/>
    <s v="4 U"/>
    <x v="28"/>
  </r>
  <r>
    <n v="2411"/>
    <x v="1990"/>
    <x v="2"/>
    <n v="40"/>
    <n v="36"/>
    <s v="250 gm"/>
    <x v="28"/>
  </r>
  <r>
    <n v="2412"/>
    <x v="1991"/>
    <x v="2"/>
    <n v="125"/>
    <n v="86"/>
    <s v="200 gm"/>
    <x v="28"/>
  </r>
  <r>
    <n v="2413"/>
    <x v="1992"/>
    <x v="2"/>
    <n v="350"/>
    <n v="195"/>
    <s v="4 pcs"/>
    <x v="28"/>
  </r>
  <r>
    <n v="2414"/>
    <x v="1993"/>
    <x v="2"/>
    <n v="125"/>
    <n v="99"/>
    <s v="6 pcs"/>
    <x v="28"/>
  </r>
  <r>
    <n v="2415"/>
    <x v="1994"/>
    <x v="2"/>
    <n v="40"/>
    <n v="36"/>
    <s v="6 Pcs"/>
    <x v="28"/>
  </r>
  <r>
    <n v="2416"/>
    <x v="1995"/>
    <x v="2"/>
    <n v="45"/>
    <n v="40"/>
    <s v="4 pcs"/>
    <x v="28"/>
  </r>
  <r>
    <n v="2417"/>
    <x v="1996"/>
    <x v="2"/>
    <n v="150"/>
    <n v="110"/>
    <s v="4 U"/>
    <x v="28"/>
  </r>
  <r>
    <n v="2418"/>
    <x v="1997"/>
    <x v="2"/>
    <n v="160"/>
    <n v="115"/>
    <s v="4 pcs"/>
    <x v="28"/>
  </r>
  <r>
    <n v="2419"/>
    <x v="1998"/>
    <x v="420"/>
    <n v="75"/>
    <n v="65"/>
    <s v="250 gm"/>
    <x v="28"/>
  </r>
  <r>
    <n v="2420"/>
    <x v="1999"/>
    <x v="2"/>
    <n v="90"/>
    <n v="75"/>
    <s v="3 kg"/>
    <x v="28"/>
  </r>
  <r>
    <n v="2421"/>
    <x v="1999"/>
    <x v="2"/>
    <n v="35"/>
    <n v="26"/>
    <s v="1 kg"/>
    <x v="28"/>
  </r>
  <r>
    <n v="2422"/>
    <x v="2000"/>
    <x v="2"/>
    <n v="100"/>
    <n v="75"/>
    <s v="2 kg"/>
    <x v="28"/>
  </r>
  <r>
    <n v="2423"/>
    <x v="2000"/>
    <x v="2"/>
    <n v="50"/>
    <n v="39"/>
    <s v="1 kg"/>
    <x v="28"/>
  </r>
  <r>
    <n v="2424"/>
    <x v="2001"/>
    <x v="2"/>
    <n v="40"/>
    <n v="30"/>
    <s v="1 U"/>
    <x v="28"/>
  </r>
  <r>
    <n v="2425"/>
    <x v="2002"/>
    <x v="2"/>
    <n v="35"/>
    <n v="19"/>
    <s v="200 gm"/>
    <x v="28"/>
  </r>
  <r>
    <n v="2426"/>
    <x v="2003"/>
    <x v="2"/>
    <n v="35"/>
    <n v="20"/>
    <s v="500 gm"/>
    <x v="28"/>
  </r>
  <r>
    <n v="2427"/>
    <x v="2004"/>
    <x v="2"/>
    <n v="40"/>
    <n v="29"/>
    <s v="5 pcs"/>
    <x v="28"/>
  </r>
  <r>
    <n v="2428"/>
    <x v="2005"/>
    <x v="2"/>
    <n v="20"/>
    <n v="18"/>
    <s v="200 gm"/>
    <x v="28"/>
  </r>
  <r>
    <n v="2429"/>
    <x v="2006"/>
    <x v="2"/>
    <n v="60"/>
    <n v="30"/>
    <s v="200 gm"/>
    <x v="28"/>
  </r>
  <r>
    <n v="2430"/>
    <x v="2007"/>
    <x v="2"/>
    <n v="75"/>
    <n v="55"/>
    <s v="1 pc"/>
    <x v="28"/>
  </r>
  <r>
    <n v="2431"/>
    <x v="2008"/>
    <x v="2"/>
    <n v="40"/>
    <n v="35"/>
    <s v="500 gm"/>
    <x v="28"/>
  </r>
  <r>
    <n v="2432"/>
    <x v="2009"/>
    <x v="2"/>
    <n v="60"/>
    <n v="52"/>
    <s v="500 gm"/>
    <x v="28"/>
  </r>
  <r>
    <n v="2433"/>
    <x v="2010"/>
    <x v="2"/>
    <n v="70"/>
    <n v="59"/>
    <s v="500 gm"/>
    <x v="28"/>
  </r>
  <r>
    <n v="2434"/>
    <x v="2011"/>
    <x v="2"/>
    <n v="60"/>
    <n v="49"/>
    <s v="500 gm"/>
    <x v="28"/>
  </r>
  <r>
    <n v="2435"/>
    <x v="2012"/>
    <x v="2"/>
    <n v="60"/>
    <n v="46"/>
    <s v="500 gm"/>
    <x v="28"/>
  </r>
  <r>
    <n v="2436"/>
    <x v="2013"/>
    <x v="2"/>
    <n v="100"/>
    <n v="79"/>
    <s v="500 gm"/>
    <x v="28"/>
  </r>
  <r>
    <n v="2437"/>
    <x v="2014"/>
    <x v="2"/>
    <n v="60"/>
    <n v="44"/>
    <s v="250 gm"/>
    <x v="28"/>
  </r>
  <r>
    <n v="2438"/>
    <x v="2015"/>
    <x v="420"/>
    <n v="35"/>
    <n v="26"/>
    <s v="100 gm"/>
    <x v="28"/>
  </r>
  <r>
    <n v="2439"/>
    <x v="2016"/>
    <x v="2"/>
    <n v="70"/>
    <n v="64"/>
    <s v="500 gm"/>
    <x v="28"/>
  </r>
  <r>
    <n v="2440"/>
    <x v="2017"/>
    <x v="2"/>
    <n v="175"/>
    <n v="112"/>
    <s v="1 pc"/>
    <x v="28"/>
  </r>
  <r>
    <n v="2441"/>
    <x v="2018"/>
    <x v="2"/>
    <n v="15"/>
    <n v="13"/>
    <s v="100 gm"/>
    <x v="28"/>
  </r>
  <r>
    <n v="2442"/>
    <x v="2019"/>
    <x v="2"/>
    <n v="50"/>
    <n v="46"/>
    <s v="500 gm"/>
    <x v="28"/>
  </r>
  <r>
    <n v="2443"/>
    <x v="2020"/>
    <x v="2"/>
    <n v="40"/>
    <n v="35"/>
    <s v="500 gm"/>
    <x v="28"/>
  </r>
  <r>
    <n v="2444"/>
    <x v="2021"/>
    <x v="2"/>
    <n v="60"/>
    <n v="40"/>
    <s v="400 gm"/>
    <x v="28"/>
  </r>
  <r>
    <n v="2445"/>
    <x v="2022"/>
    <x v="2"/>
    <n v="40"/>
    <n v="35"/>
    <s v="500 gm"/>
    <x v="28"/>
  </r>
  <r>
    <n v="2446"/>
    <x v="2023"/>
    <x v="2"/>
    <n v="45"/>
    <n v="40"/>
    <s v="500 gm"/>
    <x v="28"/>
  </r>
  <r>
    <n v="2447"/>
    <x v="2024"/>
    <x v="2"/>
    <n v="45"/>
    <n v="30"/>
    <s v="2 pcs"/>
    <x v="28"/>
  </r>
  <r>
    <n v="2448"/>
    <x v="2025"/>
    <x v="2"/>
    <n v="30"/>
    <n v="23"/>
    <s v="250 gm"/>
    <x v="28"/>
  </r>
  <r>
    <n v="2449"/>
    <x v="2026"/>
    <x v="2"/>
    <n v="150"/>
    <n v="110"/>
    <s v="2 U"/>
    <x v="28"/>
  </r>
  <r>
    <n v="2450"/>
    <x v="2027"/>
    <x v="2"/>
    <n v="30"/>
    <n v="24"/>
    <s v="500 gm"/>
    <x v="28"/>
  </r>
  <r>
    <n v="2451"/>
    <x v="2028"/>
    <x v="2"/>
    <n v="40"/>
    <n v="35"/>
    <s v="500 gm"/>
    <x v="28"/>
  </r>
  <r>
    <n v="2452"/>
    <x v="2029"/>
    <x v="2"/>
    <n v="35"/>
    <n v="23"/>
    <s v="100 gm"/>
    <x v="28"/>
  </r>
  <r>
    <n v="2453"/>
    <x v="2030"/>
    <x v="2"/>
    <n v="35"/>
    <n v="29"/>
    <s v="300 gm"/>
    <x v="28"/>
  </r>
  <r>
    <n v="2454"/>
    <x v="2031"/>
    <x v="2"/>
    <n v="45"/>
    <n v="40"/>
    <s v="500 gm"/>
    <x v="28"/>
  </r>
  <r>
    <n v="2455"/>
    <x v="2032"/>
    <x v="2"/>
    <n v="50"/>
    <n v="44"/>
    <s v="250 gm"/>
    <x v="28"/>
  </r>
  <r>
    <n v="2456"/>
    <x v="2033"/>
    <x v="2"/>
    <n v="45"/>
    <n v="36"/>
    <s v="500 gm"/>
    <x v="28"/>
  </r>
  <r>
    <n v="2457"/>
    <x v="2034"/>
    <x v="2"/>
    <n v="55"/>
    <n v="38"/>
    <s v="400 gm"/>
    <x v="28"/>
  </r>
  <r>
    <n v="2458"/>
    <x v="2035"/>
    <x v="2"/>
    <n v="40"/>
    <n v="34"/>
    <s v="1 pc"/>
    <x v="28"/>
  </r>
  <r>
    <n v="2459"/>
    <x v="2036"/>
    <x v="2"/>
    <n v="50"/>
    <n v="46"/>
    <s v="500 gm"/>
    <x v="28"/>
  </r>
  <r>
    <n v="2460"/>
    <x v="2037"/>
    <x v="2"/>
    <n v="35"/>
    <n v="32"/>
    <s v="250 gm"/>
    <x v="28"/>
  </r>
  <r>
    <n v="2461"/>
    <x v="2038"/>
    <x v="2"/>
    <n v="40"/>
    <n v="30"/>
    <s v="200 gm"/>
    <x v="28"/>
  </r>
  <r>
    <n v="2462"/>
    <x v="2039"/>
    <x v="2"/>
    <n v="75"/>
    <n v="50"/>
    <s v="250 gm"/>
    <x v="28"/>
  </r>
  <r>
    <n v="2463"/>
    <x v="2040"/>
    <x v="420"/>
    <n v="65"/>
    <n v="55"/>
    <s v="250 gm"/>
    <x v="28"/>
  </r>
  <r>
    <n v="2464"/>
    <x v="2041"/>
    <x v="2"/>
    <n v="30"/>
    <n v="22"/>
    <s v="150 gm"/>
    <x v="28"/>
  </r>
  <r>
    <n v="2465"/>
    <x v="2042"/>
    <x v="2"/>
    <n v="95"/>
    <n v="85"/>
    <s v="400 gm"/>
    <x v="28"/>
  </r>
  <r>
    <n v="2466"/>
    <x v="2043"/>
    <x v="2"/>
    <n v="45"/>
    <n v="38"/>
    <s v="250 gm"/>
    <x v="28"/>
  </r>
  <r>
    <n v="2467"/>
    <x v="2044"/>
    <x v="2"/>
    <n v="70"/>
    <n v="52"/>
    <s v="250 gm"/>
    <x v="28"/>
  </r>
  <r>
    <n v="2468"/>
    <x v="2045"/>
    <x v="420"/>
    <n v="65"/>
    <n v="49"/>
    <s v="250 gm"/>
    <x v="28"/>
  </r>
  <r>
    <n v="2469"/>
    <x v="2046"/>
    <x v="420"/>
    <n v="75"/>
    <n v="49"/>
    <s v="200 gm"/>
    <x v="28"/>
  </r>
  <r>
    <n v="2470"/>
    <x v="2047"/>
    <x v="420"/>
    <n v="55"/>
    <n v="35"/>
    <s v="200 gm"/>
    <x v="28"/>
  </r>
  <r>
    <n v="2471"/>
    <x v="2048"/>
    <x v="420"/>
    <n v="135"/>
    <n v="95"/>
    <s v="250 gm"/>
    <x v="28"/>
  </r>
  <r>
    <n v="2472"/>
    <x v="2049"/>
    <x v="420"/>
    <n v="100"/>
    <n v="62"/>
    <s v="250 gm"/>
    <x v="28"/>
  </r>
  <r>
    <n v="2473"/>
    <x v="2050"/>
    <x v="2"/>
    <n v="40"/>
    <n v="30"/>
    <s v="200 gm"/>
    <x v="28"/>
  </r>
  <r>
    <n v="2474"/>
    <x v="2051"/>
    <x v="421"/>
    <n v="730"/>
    <n v="580"/>
    <s v="5 kg"/>
    <x v="29"/>
  </r>
  <r>
    <n v="2475"/>
    <x v="2051"/>
    <x v="421"/>
    <n v="146"/>
    <n v="132"/>
    <s v="1 kg"/>
    <x v="29"/>
  </r>
  <r>
    <n v="2476"/>
    <x v="2051"/>
    <x v="421"/>
    <n v="73"/>
    <n v="66"/>
    <s v="500 gm"/>
    <x v="29"/>
  </r>
  <r>
    <n v="2477"/>
    <x v="2051"/>
    <x v="421"/>
    <n v="230"/>
    <n v="184"/>
    <s v="1.5 kg"/>
    <x v="29"/>
  </r>
  <r>
    <n v="2478"/>
    <x v="2052"/>
    <x v="422"/>
    <n v="132"/>
    <n v="118"/>
    <s v="1 kg"/>
    <x v="29"/>
  </r>
  <r>
    <n v="2479"/>
    <x v="2052"/>
    <x v="422"/>
    <n v="250"/>
    <n v="205"/>
    <s v="2 kg"/>
    <x v="29"/>
  </r>
  <r>
    <n v="2480"/>
    <x v="2052"/>
    <x v="422"/>
    <n v="895"/>
    <n v="753"/>
    <s v="6 kg"/>
    <x v="29"/>
  </r>
  <r>
    <n v="2481"/>
    <x v="2053"/>
    <x v="423"/>
    <n v="540"/>
    <n v="401"/>
    <s v="2 kg"/>
    <x v="29"/>
  </r>
  <r>
    <n v="2482"/>
    <x v="2053"/>
    <x v="423"/>
    <n v="770"/>
    <n v="715"/>
    <s v="3 kg"/>
    <x v="29"/>
  </r>
  <r>
    <n v="2483"/>
    <x v="2053"/>
    <x v="423"/>
    <n v="1300"/>
    <n v="941"/>
    <s v="4 kg"/>
    <x v="29"/>
  </r>
  <r>
    <n v="2484"/>
    <x v="2054"/>
    <x v="424"/>
    <n v="99"/>
    <n v="92"/>
    <s v="1 kg"/>
    <x v="29"/>
  </r>
  <r>
    <n v="2485"/>
    <x v="2054"/>
    <x v="424"/>
    <n v="188"/>
    <n v="170"/>
    <s v="2 kg"/>
    <x v="29"/>
  </r>
  <r>
    <n v="2486"/>
    <x v="2054"/>
    <x v="424"/>
    <n v="690"/>
    <n v="569"/>
    <s v="7 Kg"/>
    <x v="29"/>
  </r>
  <r>
    <n v="2487"/>
    <x v="2055"/>
    <x v="425"/>
    <n v="409"/>
    <n v="309"/>
    <s v="5 kg"/>
    <x v="29"/>
  </r>
  <r>
    <n v="2488"/>
    <x v="2055"/>
    <x v="425"/>
    <n v="165"/>
    <n v="130"/>
    <s v="2 kg"/>
    <x v="29"/>
  </r>
  <r>
    <n v="2489"/>
    <x v="2056"/>
    <x v="421"/>
    <n v="1425"/>
    <n v="1138"/>
    <s v="6 kg"/>
    <x v="29"/>
  </r>
  <r>
    <n v="2490"/>
    <x v="2056"/>
    <x v="421"/>
    <n v="600"/>
    <n v="474"/>
    <s v="2 kg"/>
    <x v="29"/>
  </r>
  <r>
    <n v="2491"/>
    <x v="2057"/>
    <x v="421"/>
    <n v="1325"/>
    <n v="1049"/>
    <s v="6 kg"/>
    <x v="29"/>
  </r>
  <r>
    <n v="2492"/>
    <x v="2057"/>
    <x v="421"/>
    <n v="540"/>
    <n v="423"/>
    <s v="2 kg"/>
    <x v="29"/>
  </r>
  <r>
    <n v="2493"/>
    <x v="2058"/>
    <x v="423"/>
    <n v="285"/>
    <n v="265"/>
    <s v="1 kg"/>
    <x v="29"/>
  </r>
  <r>
    <n v="2494"/>
    <x v="2058"/>
    <x v="423"/>
    <n v="605"/>
    <n v="436"/>
    <s v="2 kg"/>
    <x v="29"/>
  </r>
  <r>
    <n v="2495"/>
    <x v="2058"/>
    <x v="423"/>
    <n v="870"/>
    <n v="805"/>
    <s v="3 kg"/>
    <x v="29"/>
  </r>
  <r>
    <n v="2496"/>
    <x v="2058"/>
    <x v="423"/>
    <n v="1380"/>
    <n v="1149"/>
    <s v="4 kg"/>
    <x v="29"/>
  </r>
  <r>
    <n v="2497"/>
    <x v="2059"/>
    <x v="422"/>
    <n v="132"/>
    <n v="122"/>
    <s v="1 kg"/>
    <x v="29"/>
  </r>
  <r>
    <n v="2498"/>
    <x v="2059"/>
    <x v="422"/>
    <n v="250"/>
    <n v="205"/>
    <s v="2 kg"/>
    <x v="29"/>
  </r>
  <r>
    <n v="2499"/>
    <x v="2059"/>
    <x v="422"/>
    <n v="895"/>
    <n v="800"/>
    <s v="6 kg"/>
    <x v="29"/>
  </r>
  <r>
    <n v="2500"/>
    <x v="2060"/>
    <x v="423"/>
    <n v="360"/>
    <n v="335"/>
    <s v="1 kg"/>
    <x v="29"/>
  </r>
  <r>
    <n v="2501"/>
    <x v="2060"/>
    <x v="423"/>
    <n v="1370"/>
    <n v="685"/>
    <s v="4 Kg"/>
    <x v="29"/>
  </r>
  <r>
    <n v="2502"/>
    <x v="2061"/>
    <x v="426"/>
    <n v="71"/>
    <n v="63"/>
    <s v="1 kg"/>
    <x v="29"/>
  </r>
  <r>
    <n v="2503"/>
    <x v="2062"/>
    <x v="421"/>
    <n v="240"/>
    <n v="212"/>
    <s v="1 kg"/>
    <x v="29"/>
  </r>
  <r>
    <n v="2504"/>
    <x v="2062"/>
    <x v="421"/>
    <n v="500"/>
    <n v="440"/>
    <s v="2 kg"/>
    <x v="29"/>
  </r>
  <r>
    <n v="2505"/>
    <x v="2063"/>
    <x v="427"/>
    <n v="210"/>
    <n v="166"/>
    <s v="3 kg"/>
    <x v="29"/>
  </r>
  <r>
    <n v="2506"/>
    <x v="2064"/>
    <x v="424"/>
    <n v="99"/>
    <n v="86"/>
    <s v="1 kg"/>
    <x v="29"/>
  </r>
  <r>
    <n v="2507"/>
    <x v="2065"/>
    <x v="426"/>
    <n v="71"/>
    <n v="62"/>
    <s v="1 kg"/>
    <x v="29"/>
  </r>
  <r>
    <n v="2508"/>
    <x v="2066"/>
    <x v="428"/>
    <n v="525"/>
    <n v="262"/>
    <s v="4 kg"/>
    <x v="29"/>
  </r>
  <r>
    <n v="2509"/>
    <x v="2067"/>
    <x v="422"/>
    <n v="75"/>
    <n v="71"/>
    <s v="800 gm"/>
    <x v="29"/>
  </r>
  <r>
    <n v="2510"/>
    <x v="2068"/>
    <x v="429"/>
    <n v="210"/>
    <n v="189"/>
    <s v="400 gm"/>
    <x v="29"/>
  </r>
  <r>
    <n v="2511"/>
    <x v="2069"/>
    <x v="430"/>
    <n v="400"/>
    <n v="320"/>
    <s v="2 L"/>
    <x v="29"/>
  </r>
  <r>
    <n v="2512"/>
    <x v="2070"/>
    <x v="431"/>
    <n v="600"/>
    <n v="479"/>
    <s v="5 kg"/>
    <x v="29"/>
  </r>
  <r>
    <n v="2513"/>
    <x v="2071"/>
    <x v="432"/>
    <n v="850"/>
    <n v="699"/>
    <s v="5 kg"/>
    <x v="29"/>
  </r>
  <r>
    <n v="2514"/>
    <x v="2072"/>
    <x v="430"/>
    <n v="480"/>
    <n v="315"/>
    <s v="2 L"/>
    <x v="29"/>
  </r>
  <r>
    <n v="2515"/>
    <x v="2073"/>
    <x v="423"/>
    <n v="360"/>
    <n v="334"/>
    <s v="1 kg"/>
    <x v="29"/>
  </r>
  <r>
    <n v="2516"/>
    <x v="2074"/>
    <x v="432"/>
    <n v="480"/>
    <n v="375"/>
    <s v="2 kg"/>
    <x v="29"/>
  </r>
  <r>
    <n v="2517"/>
    <x v="2075"/>
    <x v="432"/>
    <n v="440"/>
    <n v="359"/>
    <s v="2 kg"/>
    <x v="29"/>
  </r>
  <r>
    <n v="2518"/>
    <x v="2076"/>
    <x v="424"/>
    <n v="10"/>
    <n v="9"/>
    <s v="130 gm"/>
    <x v="29"/>
  </r>
  <r>
    <n v="2519"/>
    <x v="2076"/>
    <x v="424"/>
    <n v="96"/>
    <n v="88"/>
    <s v="4x250 gm"/>
    <x v="29"/>
  </r>
  <r>
    <n v="2520"/>
    <x v="2076"/>
    <x v="424"/>
    <n v="142"/>
    <n v="115"/>
    <s v="6x250 gm"/>
    <x v="29"/>
  </r>
  <r>
    <n v="2521"/>
    <x v="2077"/>
    <x v="421"/>
    <n v="10"/>
    <n v="9"/>
    <s v="80 gm"/>
    <x v="29"/>
  </r>
  <r>
    <n v="2522"/>
    <x v="2077"/>
    <x v="421"/>
    <n v="122"/>
    <n v="110"/>
    <s v="4x200 gm"/>
    <x v="29"/>
  </r>
  <r>
    <n v="2523"/>
    <x v="2078"/>
    <x v="433"/>
    <n v="10"/>
    <n v="7"/>
    <s v="150 gm"/>
    <x v="29"/>
  </r>
  <r>
    <n v="2524"/>
    <x v="2078"/>
    <x v="433"/>
    <n v="60"/>
    <n v="46"/>
    <s v="4x250 gm"/>
    <x v="29"/>
  </r>
  <r>
    <n v="2525"/>
    <x v="2079"/>
    <x v="422"/>
    <n v="95"/>
    <n v="84"/>
    <s v="5x200 gm"/>
    <x v="29"/>
  </r>
  <r>
    <n v="2526"/>
    <x v="2080"/>
    <x v="434"/>
    <n v="30"/>
    <n v="27"/>
    <s v="150 gm"/>
    <x v="29"/>
  </r>
  <r>
    <n v="2527"/>
    <x v="2081"/>
    <x v="435"/>
    <n v="100"/>
    <n v="90"/>
    <s v="600 gm"/>
    <x v="29"/>
  </r>
  <r>
    <n v="2528"/>
    <x v="2082"/>
    <x v="427"/>
    <n v="22"/>
    <n v="17"/>
    <s v="300 gm"/>
    <x v="29"/>
  </r>
  <r>
    <n v="2529"/>
    <x v="2078"/>
    <x v="433"/>
    <n v="85"/>
    <n v="68"/>
    <s v="6x250 gm"/>
    <x v="29"/>
  </r>
  <r>
    <n v="2530"/>
    <x v="2083"/>
    <x v="421"/>
    <n v="220"/>
    <n v="196"/>
    <s v="1 L"/>
    <x v="29"/>
  </r>
  <r>
    <n v="2531"/>
    <x v="2083"/>
    <x v="421"/>
    <n v="430"/>
    <n v="330"/>
    <s v="2 L"/>
    <x v="29"/>
  </r>
  <r>
    <n v="2532"/>
    <x v="2084"/>
    <x v="421"/>
    <n v="245"/>
    <n v="225"/>
    <s v="1 L"/>
    <x v="29"/>
  </r>
  <r>
    <n v="2533"/>
    <x v="2084"/>
    <x v="421"/>
    <n v="480"/>
    <n v="380"/>
    <s v="2 L"/>
    <x v="29"/>
  </r>
  <r>
    <n v="2534"/>
    <x v="2084"/>
    <x v="421"/>
    <n v="425"/>
    <n v="385"/>
    <s v="1.8 L"/>
    <x v="29"/>
  </r>
  <r>
    <n v="2535"/>
    <x v="2085"/>
    <x v="436"/>
    <n v="58"/>
    <n v="52"/>
    <s v="200 ml"/>
    <x v="29"/>
  </r>
  <r>
    <n v="2536"/>
    <x v="2085"/>
    <x v="436"/>
    <n v="120"/>
    <n v="108"/>
    <s v="430 ml"/>
    <x v="29"/>
  </r>
  <r>
    <n v="2537"/>
    <x v="2085"/>
    <x v="436"/>
    <n v="235"/>
    <n v="190"/>
    <s v="860 ml"/>
    <x v="29"/>
  </r>
  <r>
    <n v="2538"/>
    <x v="2085"/>
    <x v="436"/>
    <n v="415"/>
    <n v="375"/>
    <s v="1.6 L"/>
    <x v="29"/>
  </r>
  <r>
    <n v="2539"/>
    <x v="2085"/>
    <x v="436"/>
    <n v="480"/>
    <n v="420"/>
    <s v="2 L"/>
    <x v="29"/>
  </r>
  <r>
    <n v="2540"/>
    <x v="2086"/>
    <x v="436"/>
    <n v="480"/>
    <n v="420"/>
    <s v="2 L"/>
    <x v="29"/>
  </r>
  <r>
    <n v="2541"/>
    <x v="2086"/>
    <x v="436"/>
    <n v="58"/>
    <n v="53"/>
    <s v="200 ml"/>
    <x v="29"/>
  </r>
  <r>
    <n v="2542"/>
    <x v="2086"/>
    <x v="436"/>
    <n v="235"/>
    <n v="195"/>
    <s v="860 ml"/>
    <x v="29"/>
  </r>
  <r>
    <n v="2543"/>
    <x v="2087"/>
    <x v="424"/>
    <n v="85"/>
    <n v="67"/>
    <s v="500 ml"/>
    <x v="29"/>
  </r>
  <r>
    <n v="2544"/>
    <x v="2088"/>
    <x v="433"/>
    <n v="60"/>
    <n v="30"/>
    <s v="500 ml"/>
    <x v="29"/>
  </r>
  <r>
    <n v="2545"/>
    <x v="2089"/>
    <x v="423"/>
    <n v="410"/>
    <n v="325"/>
    <s v="2 L"/>
    <x v="29"/>
  </r>
  <r>
    <n v="2546"/>
    <x v="2090"/>
    <x v="423"/>
    <n v="465"/>
    <n v="380"/>
    <s v="2 L"/>
    <x v="29"/>
  </r>
  <r>
    <n v="2547"/>
    <x v="2091"/>
    <x v="437"/>
    <n v="280"/>
    <n v="199"/>
    <s v="1 kg"/>
    <x v="29"/>
  </r>
  <r>
    <n v="2548"/>
    <x v="2092"/>
    <x v="436"/>
    <n v="60"/>
    <n v="55"/>
    <s v="200 ml"/>
    <x v="29"/>
  </r>
  <r>
    <n v="2549"/>
    <x v="2092"/>
    <x v="436"/>
    <n v="235"/>
    <n v="205"/>
    <s v="860 ml"/>
    <x v="29"/>
  </r>
  <r>
    <n v="2550"/>
    <x v="2093"/>
    <x v="429"/>
    <n v="215"/>
    <n v="199"/>
    <s v="800 ml"/>
    <x v="29"/>
  </r>
  <r>
    <n v="2551"/>
    <x v="2094"/>
    <x v="423"/>
    <n v="580"/>
    <n v="530"/>
    <s v="2 L"/>
    <x v="29"/>
  </r>
  <r>
    <n v="2552"/>
    <x v="2094"/>
    <x v="423"/>
    <n v="250"/>
    <n v="232"/>
    <s v="1 L"/>
    <x v="29"/>
  </r>
  <r>
    <n v="2553"/>
    <x v="2095"/>
    <x v="423"/>
    <n v="510"/>
    <n v="455"/>
    <s v="2 L"/>
    <x v="29"/>
  </r>
  <r>
    <n v="2554"/>
    <x v="2095"/>
    <x v="423"/>
    <n v="220"/>
    <n v="204"/>
    <s v="1 L"/>
    <x v="29"/>
  </r>
  <r>
    <n v="2555"/>
    <x v="2096"/>
    <x v="438"/>
    <n v="205"/>
    <n v="190"/>
    <s v="1 kg"/>
    <x v="29"/>
  </r>
  <r>
    <n v="2556"/>
    <x v="2097"/>
    <x v="439"/>
    <n v="80"/>
    <n v="73"/>
    <s v="250 ml"/>
    <x v="29"/>
  </r>
  <r>
    <n v="2557"/>
    <x v="2098"/>
    <x v="440"/>
    <n v="149"/>
    <n v="138"/>
    <s v="400 gm"/>
    <x v="29"/>
  </r>
  <r>
    <n v="2558"/>
    <x v="2099"/>
    <x v="441"/>
    <n v="220"/>
    <n v="110"/>
    <s v="800 ml"/>
    <x v="29"/>
  </r>
  <r>
    <n v="2559"/>
    <x v="2100"/>
    <x v="442"/>
    <n v="515"/>
    <n v="404"/>
    <s v="2 L"/>
    <x v="29"/>
  </r>
  <r>
    <n v="2560"/>
    <x v="2101"/>
    <x v="443"/>
    <n v="515"/>
    <n v="404"/>
    <s v="2 L"/>
    <x v="29"/>
  </r>
  <r>
    <n v="2561"/>
    <x v="2102"/>
    <x v="442"/>
    <n v="235"/>
    <n v="185"/>
    <s v="860 ml"/>
    <x v="29"/>
  </r>
  <r>
    <n v="2562"/>
    <x v="2102"/>
    <x v="442"/>
    <n v="480"/>
    <n v="415"/>
    <s v="2 L"/>
    <x v="29"/>
  </r>
  <r>
    <n v="2563"/>
    <x v="2103"/>
    <x v="442"/>
    <n v="235"/>
    <n v="185"/>
    <s v="860 ml"/>
    <x v="29"/>
  </r>
  <r>
    <n v="2564"/>
    <x v="2104"/>
    <x v="444"/>
    <n v="399"/>
    <n v="344"/>
    <s v="2 L"/>
    <x v="30"/>
  </r>
  <r>
    <n v="2565"/>
    <x v="2104"/>
    <x v="444"/>
    <n v="849"/>
    <n v="699"/>
    <s v="5 L"/>
    <x v="30"/>
  </r>
  <r>
    <n v="2566"/>
    <x v="2104"/>
    <x v="444"/>
    <n v="350"/>
    <n v="324"/>
    <s v="1.8 L"/>
    <x v="30"/>
  </r>
  <r>
    <n v="2567"/>
    <x v="2104"/>
    <x v="444"/>
    <n v="103"/>
    <n v="96"/>
    <s v="500 ml"/>
    <x v="30"/>
  </r>
  <r>
    <n v="2568"/>
    <x v="2104"/>
    <x v="444"/>
    <n v="205"/>
    <n v="183"/>
    <s v="1 L"/>
    <x v="30"/>
  </r>
  <r>
    <n v="2569"/>
    <x v="2105"/>
    <x v="445"/>
    <n v="210"/>
    <n v="159"/>
    <s v="2 L"/>
    <x v="30"/>
  </r>
  <r>
    <n v="2570"/>
    <x v="2105"/>
    <x v="445"/>
    <n v="110"/>
    <n v="89"/>
    <s v="1 L"/>
    <x v="30"/>
  </r>
  <r>
    <n v="2571"/>
    <x v="2105"/>
    <x v="445"/>
    <n v="60"/>
    <n v="49"/>
    <s v="500 ml"/>
    <x v="30"/>
  </r>
  <r>
    <n v="2572"/>
    <x v="2106"/>
    <x v="41"/>
    <n v="220"/>
    <n v="139"/>
    <s v="1 L"/>
    <x v="30"/>
  </r>
  <r>
    <n v="2573"/>
    <x v="2107"/>
    <x v="446"/>
    <n v="150"/>
    <n v="107"/>
    <s v="1 L"/>
    <x v="30"/>
  </r>
  <r>
    <n v="2574"/>
    <x v="2108"/>
    <x v="444"/>
    <n v="399"/>
    <n v="344"/>
    <s v="2 L"/>
    <x v="30"/>
  </r>
  <r>
    <n v="2575"/>
    <x v="2108"/>
    <x v="444"/>
    <n v="103"/>
    <n v="95"/>
    <s v="500 ml"/>
    <x v="30"/>
  </r>
  <r>
    <n v="2576"/>
    <x v="2108"/>
    <x v="444"/>
    <n v="350"/>
    <n v="325"/>
    <s v="1.8 L"/>
    <x v="30"/>
  </r>
  <r>
    <n v="2577"/>
    <x v="2108"/>
    <x v="444"/>
    <n v="205"/>
    <n v="183"/>
    <s v="1 L"/>
    <x v="30"/>
  </r>
  <r>
    <n v="2578"/>
    <x v="2109"/>
    <x v="447"/>
    <n v="128"/>
    <n v="118"/>
    <s v="250 ml"/>
    <x v="30"/>
  </r>
  <r>
    <n v="2579"/>
    <x v="2109"/>
    <x v="447"/>
    <n v="195"/>
    <n v="191"/>
    <s v="550 ml"/>
    <x v="30"/>
  </r>
  <r>
    <n v="2580"/>
    <x v="2109"/>
    <x v="447"/>
    <n v="331"/>
    <n v="308"/>
    <s v="1 L"/>
    <x v="30"/>
  </r>
  <r>
    <n v="2581"/>
    <x v="2109"/>
    <x v="447"/>
    <n v="1642"/>
    <n v="1526"/>
    <s v="5 L"/>
    <x v="30"/>
  </r>
  <r>
    <n v="2582"/>
    <x v="2110"/>
    <x v="444"/>
    <n v="399"/>
    <n v="365"/>
    <s v="2 L"/>
    <x v="30"/>
  </r>
  <r>
    <n v="2583"/>
    <x v="2110"/>
    <x v="444"/>
    <n v="205"/>
    <n v="190"/>
    <s v="1 L"/>
    <x v="30"/>
  </r>
  <r>
    <n v="2584"/>
    <x v="2111"/>
    <x v="448"/>
    <n v="96"/>
    <n v="86"/>
    <s v="500 ml"/>
    <x v="30"/>
  </r>
  <r>
    <n v="2585"/>
    <x v="2111"/>
    <x v="448"/>
    <n v="176"/>
    <n v="162"/>
    <s v="1 L"/>
    <x v="30"/>
  </r>
  <r>
    <n v="2586"/>
    <x v="2112"/>
    <x v="449"/>
    <n v="220"/>
    <n v="159"/>
    <s v="1 L"/>
    <x v="30"/>
  </r>
  <r>
    <n v="2587"/>
    <x v="2113"/>
    <x v="450"/>
    <n v="99"/>
    <n v="92"/>
    <s v="500 ml"/>
    <x v="30"/>
  </r>
  <r>
    <n v="2588"/>
    <x v="2114"/>
    <x v="451"/>
    <n v="220"/>
    <n v="155"/>
    <s v="1 L"/>
    <x v="30"/>
  </r>
  <r>
    <n v="2589"/>
    <x v="2115"/>
    <x v="452"/>
    <n v="156"/>
    <n v="78"/>
    <s v="1 L"/>
    <x v="30"/>
  </r>
  <r>
    <n v="2590"/>
    <x v="2116"/>
    <x v="452"/>
    <n v="295"/>
    <n v="215"/>
    <s v="5 L"/>
    <x v="30"/>
  </r>
  <r>
    <n v="2591"/>
    <x v="2116"/>
    <x v="452"/>
    <n v="99"/>
    <n v="49"/>
    <s v="1 L"/>
    <x v="30"/>
  </r>
  <r>
    <n v="2592"/>
    <x v="2117"/>
    <x v="445"/>
    <n v="210"/>
    <n v="159"/>
    <s v="2 L"/>
    <x v="30"/>
  </r>
  <r>
    <n v="2593"/>
    <x v="2117"/>
    <x v="445"/>
    <n v="110"/>
    <n v="89"/>
    <s v="1 L"/>
    <x v="30"/>
  </r>
  <r>
    <n v="2594"/>
    <x v="2117"/>
    <x v="445"/>
    <n v="60"/>
    <n v="49"/>
    <s v="500 ml"/>
    <x v="30"/>
  </r>
  <r>
    <n v="2595"/>
    <x v="2118"/>
    <x v="445"/>
    <n v="210"/>
    <n v="159"/>
    <s v="2 L"/>
    <x v="30"/>
  </r>
  <r>
    <n v="2596"/>
    <x v="2118"/>
    <x v="445"/>
    <n v="110"/>
    <n v="89"/>
    <s v="1 L"/>
    <x v="30"/>
  </r>
  <r>
    <n v="2597"/>
    <x v="2118"/>
    <x v="445"/>
    <n v="60"/>
    <n v="49"/>
    <s v="500 ml"/>
    <x v="30"/>
  </r>
  <r>
    <n v="2598"/>
    <x v="2119"/>
    <x v="452"/>
    <n v="99"/>
    <n v="49"/>
    <s v="1 L"/>
    <x v="30"/>
  </r>
  <r>
    <n v="2599"/>
    <x v="2120"/>
    <x v="452"/>
    <n v="99"/>
    <n v="49"/>
    <s v="1 L"/>
    <x v="30"/>
  </r>
  <r>
    <n v="2600"/>
    <x v="2121"/>
    <x v="443"/>
    <n v="279"/>
    <n v="139"/>
    <s v="1.25 L"/>
    <x v="30"/>
  </r>
  <r>
    <n v="2601"/>
    <x v="2122"/>
    <x v="443"/>
    <n v="279"/>
    <n v="139"/>
    <s v="1.25 L"/>
    <x v="30"/>
  </r>
  <r>
    <n v="2602"/>
    <x v="2123"/>
    <x v="453"/>
    <n v="115"/>
    <n v="89"/>
    <s v="500 ml"/>
    <x v="30"/>
  </r>
  <r>
    <n v="2603"/>
    <x v="2124"/>
    <x v="453"/>
    <n v="115"/>
    <n v="89"/>
    <s v="500 ml"/>
    <x v="30"/>
  </r>
  <r>
    <n v="2604"/>
    <x v="2125"/>
    <x v="454"/>
    <n v="175"/>
    <n v="135"/>
    <s v="975 ml"/>
    <x v="30"/>
  </r>
  <r>
    <n v="2605"/>
    <x v="2126"/>
    <x v="454"/>
    <n v="175"/>
    <n v="135"/>
    <s v="975 ml"/>
    <x v="30"/>
  </r>
  <r>
    <n v="2606"/>
    <x v="2127"/>
    <x v="450"/>
    <n v="93"/>
    <n v="86"/>
    <s v="500 ml"/>
    <x v="30"/>
  </r>
  <r>
    <n v="2607"/>
    <x v="2127"/>
    <x v="450"/>
    <n v="195"/>
    <n v="170"/>
    <s v="1 L"/>
    <x v="30"/>
  </r>
  <r>
    <n v="2608"/>
    <x v="2127"/>
    <x v="450"/>
    <n v="347"/>
    <n v="317"/>
    <s v="2x1L"/>
    <x v="30"/>
  </r>
  <r>
    <n v="2609"/>
    <x v="2128"/>
    <x v="450"/>
    <n v="99"/>
    <n v="92"/>
    <s v="500 ml"/>
    <x v="30"/>
  </r>
  <r>
    <n v="2610"/>
    <x v="2128"/>
    <x v="450"/>
    <n v="189"/>
    <n v="166"/>
    <s v="1 L"/>
    <x v="30"/>
  </r>
  <r>
    <n v="2611"/>
    <x v="2129"/>
    <x v="455"/>
    <n v="80"/>
    <n v="54"/>
    <s v="500 ml"/>
    <x v="30"/>
  </r>
  <r>
    <n v="2612"/>
    <x v="2129"/>
    <x v="455"/>
    <n v="155"/>
    <n v="99"/>
    <s v=" 1 L"/>
    <x v="30"/>
  </r>
  <r>
    <n v="2613"/>
    <x v="2130"/>
    <x v="455"/>
    <n v="80"/>
    <n v="49"/>
    <s v="750 ml"/>
    <x v="30"/>
  </r>
  <r>
    <n v="2614"/>
    <x v="2131"/>
    <x v="450"/>
    <n v="189"/>
    <n v="169"/>
    <s v="1 L"/>
    <x v="30"/>
  </r>
  <r>
    <n v="2615"/>
    <x v="2132"/>
    <x v="450"/>
    <n v="214"/>
    <n v="199"/>
    <s v="150 gm"/>
    <x v="30"/>
  </r>
  <r>
    <n v="2616"/>
    <x v="2132"/>
    <x v="450"/>
    <n v="154"/>
    <n v="143"/>
    <s v="100 gm"/>
    <x v="30"/>
  </r>
  <r>
    <n v="2617"/>
    <x v="2133"/>
    <x v="452"/>
    <n v="178"/>
    <n v="89"/>
    <s v="1 L"/>
    <x v="30"/>
  </r>
  <r>
    <n v="2618"/>
    <x v="2134"/>
    <x v="456"/>
    <n v="190"/>
    <n v="125"/>
    <s v="1 L"/>
    <x v="30"/>
  </r>
  <r>
    <n v="2619"/>
    <x v="2135"/>
    <x v="450"/>
    <n v="82"/>
    <n v="76"/>
    <s v="26 gm"/>
    <x v="30"/>
  </r>
  <r>
    <n v="2620"/>
    <x v="2136"/>
    <x v="450"/>
    <n v="82"/>
    <n v="76"/>
    <s v="26 gm"/>
    <x v="30"/>
  </r>
  <r>
    <n v="2621"/>
    <x v="2137"/>
    <x v="450"/>
    <n v="82"/>
    <n v="76"/>
    <s v="26 gm"/>
    <x v="30"/>
  </r>
  <r>
    <n v="2622"/>
    <x v="2138"/>
    <x v="450"/>
    <n v="188"/>
    <n v="173"/>
    <s v="35 gm"/>
    <x v="30"/>
  </r>
  <r>
    <n v="2623"/>
    <x v="2139"/>
    <x v="450"/>
    <n v="188"/>
    <n v="173"/>
    <s v="35 gm"/>
    <x v="30"/>
  </r>
  <r>
    <n v="2624"/>
    <x v="2140"/>
    <x v="449"/>
    <n v="215"/>
    <n v="145"/>
    <s v="1 L"/>
    <x v="30"/>
  </r>
  <r>
    <n v="2625"/>
    <x v="2141"/>
    <x v="449"/>
    <n v="215"/>
    <n v="145"/>
    <s v="1 L"/>
    <x v="30"/>
  </r>
  <r>
    <n v="2626"/>
    <x v="2142"/>
    <x v="447"/>
    <n v="159"/>
    <n v="147"/>
    <s v="170 gm"/>
    <x v="30"/>
  </r>
  <r>
    <n v="2627"/>
    <x v="2143"/>
    <x v="457"/>
    <n v="60"/>
    <n v="35"/>
    <s v="200 gm"/>
    <x v="30"/>
  </r>
  <r>
    <n v="2628"/>
    <x v="2144"/>
    <x v="457"/>
    <n v="110"/>
    <n v="76"/>
    <s v="50 ml"/>
    <x v="30"/>
  </r>
  <r>
    <n v="2629"/>
    <x v="2145"/>
    <x v="458"/>
    <n v="32"/>
    <n v="24"/>
    <s v="50 gm"/>
    <x v="30"/>
  </r>
  <r>
    <n v="2630"/>
    <x v="2146"/>
    <x v="459"/>
    <n v="30"/>
    <n v="15"/>
    <s v="50 gm"/>
    <x v="30"/>
  </r>
  <r>
    <n v="2631"/>
    <x v="2147"/>
    <x v="460"/>
    <n v="225"/>
    <n v="149"/>
    <s v="500 ml"/>
    <x v="30"/>
  </r>
  <r>
    <n v="2632"/>
    <x v="2148"/>
    <x v="445"/>
    <n v="135"/>
    <n v="67"/>
    <s v="1 L"/>
    <x v="30"/>
  </r>
  <r>
    <n v="2633"/>
    <x v="2149"/>
    <x v="452"/>
    <n v="93"/>
    <n v="85"/>
    <s v="500 ml"/>
    <x v="30"/>
  </r>
  <r>
    <n v="2634"/>
    <x v="2150"/>
    <x v="460"/>
    <n v="275"/>
    <n v="230"/>
    <s v="435 ml"/>
    <x v="30"/>
  </r>
  <r>
    <n v="2635"/>
    <x v="2151"/>
    <x v="460"/>
    <n v="225"/>
    <n v="149"/>
    <s v="500 ml"/>
    <x v="30"/>
  </r>
  <r>
    <n v="2636"/>
    <x v="2152"/>
    <x v="445"/>
    <n v="75"/>
    <n v="49"/>
    <s v="500 ml"/>
    <x v="30"/>
  </r>
  <r>
    <n v="2637"/>
    <x v="2153"/>
    <x v="460"/>
    <n v="275"/>
    <n v="219"/>
    <s v="435 ml"/>
    <x v="30"/>
  </r>
  <r>
    <n v="2638"/>
    <x v="2154"/>
    <x v="460"/>
    <n v="199"/>
    <n v="149"/>
    <s v="500 ml"/>
    <x v="30"/>
  </r>
  <r>
    <n v="2639"/>
    <x v="2155"/>
    <x v="461"/>
    <n v="40"/>
    <n v="20"/>
    <s v="200 gm"/>
    <x v="30"/>
  </r>
  <r>
    <n v="2640"/>
    <x v="2156"/>
    <x v="460"/>
    <n v="249"/>
    <n v="199"/>
    <s v="435 ml"/>
    <x v="30"/>
  </r>
  <r>
    <n v="2641"/>
    <x v="2157"/>
    <x v="462"/>
    <n v="230"/>
    <n v="199"/>
    <s v="170 gm"/>
    <x v="30"/>
  </r>
  <r>
    <n v="2642"/>
    <x v="2158"/>
    <x v="463"/>
    <n v="60"/>
    <n v="50"/>
    <s v="3x200 gm"/>
    <x v="31"/>
  </r>
  <r>
    <n v="2643"/>
    <x v="2158"/>
    <x v="463"/>
    <n v="10"/>
    <n v="9"/>
    <s v="125 gm"/>
    <x v="31"/>
  </r>
  <r>
    <n v="2644"/>
    <x v="2159"/>
    <x v="464"/>
    <n v="48"/>
    <n v="34"/>
    <s v="500 gm"/>
    <x v="31"/>
  </r>
  <r>
    <n v="2645"/>
    <x v="2159"/>
    <x v="464"/>
    <n v="48"/>
    <n v="33"/>
    <s v="3x200 gm"/>
    <x v="31"/>
  </r>
  <r>
    <n v="2646"/>
    <x v="2159"/>
    <x v="464"/>
    <n v="10"/>
    <n v="7"/>
    <s v="125 gm"/>
    <x v="31"/>
  </r>
  <r>
    <n v="2647"/>
    <x v="2160"/>
    <x v="463"/>
    <n v="445"/>
    <n v="349"/>
    <s v="2 L"/>
    <x v="31"/>
  </r>
  <r>
    <n v="2648"/>
    <x v="2160"/>
    <x v="463"/>
    <n v="215"/>
    <n v="168"/>
    <s v="900 ml"/>
    <x v="31"/>
  </r>
  <r>
    <n v="2649"/>
    <x v="2160"/>
    <x v="463"/>
    <n v="109"/>
    <n v="101"/>
    <s v="500 ml"/>
    <x v="31"/>
  </r>
  <r>
    <n v="2650"/>
    <x v="2161"/>
    <x v="464"/>
    <n v="140"/>
    <n v="95"/>
    <s v="1 L"/>
    <x v="31"/>
  </r>
  <r>
    <n v="2651"/>
    <x v="2161"/>
    <x v="464"/>
    <n v="70"/>
    <n v="54"/>
    <s v="500 ml"/>
    <x v="31"/>
  </r>
  <r>
    <n v="2652"/>
    <x v="2161"/>
    <x v="464"/>
    <n v="40"/>
    <n v="27"/>
    <s v="250 ml"/>
    <x v="31"/>
  </r>
  <r>
    <n v="2653"/>
    <x v="2162"/>
    <x v="463"/>
    <n v="199"/>
    <n v="158"/>
    <s v="750 ml"/>
    <x v="31"/>
  </r>
  <r>
    <n v="2654"/>
    <x v="2162"/>
    <x v="463"/>
    <n v="445"/>
    <n v="395"/>
    <s v="1.8 L"/>
    <x v="31"/>
  </r>
  <r>
    <n v="2655"/>
    <x v="2162"/>
    <x v="463"/>
    <n v="55"/>
    <n v="48"/>
    <s v="250 ml"/>
    <x v="31"/>
  </r>
  <r>
    <n v="2656"/>
    <x v="2163"/>
    <x v="465"/>
    <n v="79"/>
    <n v="65"/>
    <s v="700 gm"/>
    <x v="32"/>
  </r>
  <r>
    <n v="2657"/>
    <x v="2163"/>
    <x v="465"/>
    <n v="158"/>
    <n v="128"/>
    <s v="2x700 gm"/>
    <x v="32"/>
  </r>
  <r>
    <n v="2658"/>
    <x v="2164"/>
    <x v="463"/>
    <n v="130"/>
    <n v="107"/>
    <s v="5x200 gm"/>
    <x v="31"/>
  </r>
  <r>
    <n v="2659"/>
    <x v="2165"/>
    <x v="464"/>
    <n v="89"/>
    <n v="75"/>
    <s v="750 ml"/>
    <x v="31"/>
  </r>
  <r>
    <n v="2660"/>
    <x v="2166"/>
    <x v="464"/>
    <n v="38"/>
    <n v="19"/>
    <s v="200 gm"/>
    <x v="31"/>
  </r>
  <r>
    <n v="2661"/>
    <x v="2167"/>
    <x v="466"/>
    <n v="499"/>
    <n v="425"/>
    <s v="2 L"/>
    <x v="31"/>
  </r>
  <r>
    <n v="2662"/>
    <x v="2168"/>
    <x v="463"/>
    <n v="10"/>
    <n v="9"/>
    <s v="115 gm"/>
    <x v="31"/>
  </r>
  <r>
    <n v="2663"/>
    <x v="2168"/>
    <x v="463"/>
    <n v="115"/>
    <n v="100"/>
    <s v="5x200 gm"/>
    <x v="31"/>
  </r>
  <r>
    <n v="2664"/>
    <x v="2169"/>
    <x v="58"/>
    <n v="10"/>
    <n v="9"/>
    <s v="160 gm"/>
    <x v="31"/>
  </r>
  <r>
    <n v="2665"/>
    <x v="2170"/>
    <x v="467"/>
    <n v="270"/>
    <n v="135"/>
    <s v="900 ml"/>
    <x v="32"/>
  </r>
  <r>
    <n v="2666"/>
    <x v="2171"/>
    <x v="468"/>
    <n v="275"/>
    <n v="175"/>
    <s v="Pack of 5"/>
    <x v="33"/>
  </r>
  <r>
    <n v="2667"/>
    <x v="2172"/>
    <x v="466"/>
    <n v="120"/>
    <n v="108"/>
    <s v="3x360 gm"/>
    <x v="31"/>
  </r>
  <r>
    <n v="2668"/>
    <x v="2173"/>
    <x v="469"/>
    <n v="120"/>
    <n v="111"/>
    <s v="Pack of 3"/>
    <x v="33"/>
  </r>
  <r>
    <n v="2669"/>
    <x v="2174"/>
    <x v="468"/>
    <n v="85"/>
    <n v="65"/>
    <s v="Pack of 2"/>
    <x v="33"/>
  </r>
  <r>
    <n v="2670"/>
    <x v="2175"/>
    <x v="452"/>
    <n v="114"/>
    <n v="57"/>
    <s v="500 ml"/>
    <x v="32"/>
  </r>
  <r>
    <n v="2671"/>
    <x v="2176"/>
    <x v="466"/>
    <n v="209"/>
    <n v="165"/>
    <s v="750 ml"/>
    <x v="31"/>
  </r>
  <r>
    <n v="2672"/>
    <x v="2177"/>
    <x v="470"/>
    <n v="599"/>
    <n v="519"/>
    <s v="24 Tablets"/>
    <x v="32"/>
  </r>
  <r>
    <n v="2673"/>
    <x v="2178"/>
    <x v="467"/>
    <n v="190"/>
    <n v="120"/>
    <s v="750 ml"/>
    <x v="32"/>
  </r>
  <r>
    <n v="2674"/>
    <x v="2157"/>
    <x v="462"/>
    <n v="120"/>
    <n v="99"/>
    <s v="63.8 gm"/>
    <x v="32"/>
  </r>
  <r>
    <n v="2675"/>
    <x v="2179"/>
    <x v="471"/>
    <n v="340"/>
    <n v="279"/>
    <s v="625 ml"/>
    <x v="34"/>
  </r>
  <r>
    <n v="2676"/>
    <x v="2179"/>
    <x v="471"/>
    <n v="225"/>
    <n v="195"/>
    <s v="400 ml"/>
    <x v="34"/>
  </r>
  <r>
    <n v="2677"/>
    <x v="2179"/>
    <x v="471"/>
    <n v="115"/>
    <n v="104"/>
    <s v="200 ml"/>
    <x v="34"/>
  </r>
  <r>
    <n v="2678"/>
    <x v="2180"/>
    <x v="471"/>
    <n v="340"/>
    <n v="279"/>
    <s v="625 ml"/>
    <x v="34"/>
  </r>
  <r>
    <n v="2679"/>
    <x v="2180"/>
    <x v="471"/>
    <n v="225"/>
    <n v="205"/>
    <s v="400 ml"/>
    <x v="34"/>
  </r>
  <r>
    <n v="2680"/>
    <x v="2181"/>
    <x v="472"/>
    <n v="75"/>
    <n v="69"/>
    <s v="45 ml"/>
    <x v="34"/>
  </r>
  <r>
    <n v="2681"/>
    <x v="2181"/>
    <x v="472"/>
    <n v="145"/>
    <n v="124"/>
    <s v="2x45 ml"/>
    <x v="34"/>
  </r>
  <r>
    <n v="2682"/>
    <x v="2181"/>
    <x v="472"/>
    <n v="306"/>
    <n v="266"/>
    <s v="4x45 ml"/>
    <x v="34"/>
  </r>
  <r>
    <n v="2683"/>
    <x v="2182"/>
    <x v="472"/>
    <n v="288"/>
    <n v="239"/>
    <s v="4x45 ml"/>
    <x v="34"/>
  </r>
  <r>
    <n v="2684"/>
    <x v="2182"/>
    <x v="472"/>
    <n v="150"/>
    <n v="134"/>
    <s v="2x45 ml"/>
    <x v="34"/>
  </r>
  <r>
    <n v="2685"/>
    <x v="2183"/>
    <x v="473"/>
    <n v="192"/>
    <n v="177"/>
    <s v="4x48 gm"/>
    <x v="34"/>
  </r>
  <r>
    <n v="2686"/>
    <x v="2183"/>
    <x v="473"/>
    <n v="310"/>
    <n v="285"/>
    <s v="4x72 gm"/>
    <x v="34"/>
  </r>
  <r>
    <n v="2687"/>
    <x v="2184"/>
    <x v="471"/>
    <n v="245"/>
    <n v="225"/>
    <s v="400 ml"/>
    <x v="34"/>
  </r>
  <r>
    <n v="2688"/>
    <x v="2184"/>
    <x v="471"/>
    <n v="375"/>
    <n v="330"/>
    <s v="625 ml"/>
    <x v="34"/>
  </r>
  <r>
    <n v="2689"/>
    <x v="2185"/>
    <x v="471"/>
    <n v="270"/>
    <n v="240"/>
    <s v="20 gm"/>
    <x v="34"/>
  </r>
  <r>
    <n v="2690"/>
    <x v="2186"/>
    <x v="474"/>
    <n v="438"/>
    <n v="337"/>
    <s v="6x45 ml"/>
    <x v="34"/>
  </r>
  <r>
    <n v="2691"/>
    <x v="2186"/>
    <x v="474"/>
    <n v="144"/>
    <n v="114"/>
    <s v="2x45 ml"/>
    <x v="34"/>
  </r>
  <r>
    <n v="2692"/>
    <x v="2187"/>
    <x v="475"/>
    <n v="199"/>
    <n v="149"/>
    <s v="60 gm"/>
    <x v="34"/>
  </r>
  <r>
    <n v="2693"/>
    <x v="2188"/>
    <x v="42"/>
    <n v="60"/>
    <n v="55"/>
    <s v="10 gm"/>
    <x v="34"/>
  </r>
  <r>
    <n v="2694"/>
    <x v="2189"/>
    <x v="472"/>
    <n v="77"/>
    <n v="72"/>
    <s v="45 ml"/>
    <x v="34"/>
  </r>
  <r>
    <n v="2695"/>
    <x v="2189"/>
    <x v="472"/>
    <n v="150"/>
    <n v="132"/>
    <s v="2x45 ml"/>
    <x v="34"/>
  </r>
  <r>
    <n v="2696"/>
    <x v="2190"/>
    <x v="472"/>
    <n v="172"/>
    <n v="132"/>
    <s v="1 Unit"/>
    <x v="34"/>
  </r>
  <r>
    <n v="2697"/>
    <x v="2191"/>
    <x v="476"/>
    <n v="410"/>
    <n v="329"/>
    <s v="1 Unit"/>
    <x v="34"/>
  </r>
  <r>
    <n v="2698"/>
    <x v="2192"/>
    <x v="42"/>
    <n v="60"/>
    <n v="55"/>
    <s v="10 gm"/>
    <x v="34"/>
  </r>
  <r>
    <n v="2699"/>
    <x v="2193"/>
    <x v="477"/>
    <n v="340"/>
    <n v="279"/>
    <s v="1 Unit"/>
    <x v="34"/>
  </r>
  <r>
    <n v="2700"/>
    <x v="2194"/>
    <x v="42"/>
    <n v="60"/>
    <n v="55"/>
    <s v="10 gm"/>
    <x v="34"/>
  </r>
  <r>
    <n v="2701"/>
    <x v="2195"/>
    <x v="478"/>
    <n v="169"/>
    <n v="119"/>
    <s v="220 ml"/>
    <x v="34"/>
  </r>
  <r>
    <n v="2702"/>
    <x v="2196"/>
    <x v="42"/>
    <n v="169"/>
    <n v="134"/>
    <s v="220 ml"/>
    <x v="34"/>
  </r>
  <r>
    <n v="2703"/>
    <x v="2197"/>
    <x v="479"/>
    <n v="599"/>
    <n v="449"/>
    <s v="1 U"/>
    <x v="34"/>
  </r>
  <r>
    <n v="2704"/>
    <x v="2198"/>
    <x v="42"/>
    <n v="575"/>
    <n v="459"/>
    <s v="1 U"/>
    <x v="34"/>
  </r>
  <r>
    <n v="2705"/>
    <x v="2199"/>
    <x v="480"/>
    <n v="109"/>
    <n v="54"/>
    <s v="200 gm"/>
    <x v="34"/>
  </r>
  <r>
    <n v="2706"/>
    <x v="2200"/>
    <x v="481"/>
    <n v="49"/>
    <n v="29"/>
    <s v="10 gm"/>
    <x v="34"/>
  </r>
  <r>
    <n v="2707"/>
    <x v="2201"/>
    <x v="473"/>
    <n v="60"/>
    <n v="54"/>
    <s v="10 gm"/>
    <x v="34"/>
  </r>
  <r>
    <n v="2708"/>
    <x v="2202"/>
    <x v="42"/>
    <n v="60"/>
    <n v="55"/>
    <s v="10 gm"/>
    <x v="34"/>
  </r>
  <r>
    <n v="2709"/>
    <x v="2203"/>
    <x v="482"/>
    <n v="154"/>
    <n v="77"/>
    <s v="400 gm"/>
    <x v="34"/>
  </r>
  <r>
    <n v="2710"/>
    <x v="2203"/>
    <x v="482"/>
    <n v="78"/>
    <n v="39"/>
    <s v="200 gm"/>
    <x v="34"/>
  </r>
  <r>
    <n v="2711"/>
    <x v="2204"/>
    <x v="480"/>
    <n v="88"/>
    <n v="44"/>
    <s v="200 gm"/>
    <x v="34"/>
  </r>
  <r>
    <n v="2712"/>
    <x v="2205"/>
    <x v="473"/>
    <n v="500"/>
    <n v="250"/>
    <s v="340 gm"/>
    <x v="34"/>
  </r>
  <r>
    <n v="2713"/>
    <x v="2206"/>
    <x v="473"/>
    <n v="60"/>
    <n v="49"/>
    <s v="10 gm"/>
    <x v="34"/>
  </r>
  <r>
    <n v="2714"/>
    <x v="2207"/>
    <x v="475"/>
    <n v="199"/>
    <n v="135"/>
    <s v="60 gm"/>
    <x v="34"/>
  </r>
  <r>
    <n v="2715"/>
    <x v="2208"/>
    <x v="472"/>
    <n v="77"/>
    <n v="71"/>
    <s v="45 ml"/>
    <x v="34"/>
  </r>
  <r>
    <n v="2716"/>
    <x v="2209"/>
    <x v="481"/>
    <n v="49"/>
    <n v="29"/>
    <s v="10 gm"/>
    <x v="34"/>
  </r>
  <r>
    <n v="2717"/>
    <x v="2210"/>
    <x v="474"/>
    <n v="166"/>
    <n v="145"/>
    <s v="2x45 ml"/>
    <x v="34"/>
  </r>
  <r>
    <n v="2718"/>
    <x v="2211"/>
    <x v="483"/>
    <n v="279"/>
    <n v="249"/>
    <s v="275 gm"/>
    <x v="34"/>
  </r>
  <r>
    <n v="2719"/>
    <x v="2212"/>
    <x v="484"/>
    <n v="325"/>
    <n v="285"/>
    <s v="600 ml"/>
    <x v="34"/>
  </r>
  <r>
    <n v="2720"/>
    <x v="2213"/>
    <x v="473"/>
    <n v="60"/>
    <n v="54"/>
    <s v="10 gm"/>
    <x v="34"/>
  </r>
  <r>
    <n v="2721"/>
    <x v="2214"/>
    <x v="478"/>
    <n v="195"/>
    <n v="165"/>
    <s v="3x10 gm"/>
    <x v="34"/>
  </r>
  <r>
    <n v="2722"/>
    <x v="2215"/>
    <x v="42"/>
    <n v="399"/>
    <n v="319"/>
    <s v="45 gm"/>
    <x v="34"/>
  </r>
  <r>
    <n v="2723"/>
    <x v="2216"/>
    <x v="475"/>
    <n v="199"/>
    <n v="139"/>
    <s v="60 gm"/>
    <x v="34"/>
  </r>
  <r>
    <n v="2724"/>
    <x v="2217"/>
    <x v="475"/>
    <n v="199"/>
    <n v="135"/>
    <s v="60 gm"/>
    <x v="34"/>
  </r>
  <r>
    <n v="2725"/>
    <x v="2218"/>
    <x v="2"/>
    <n v="95"/>
    <n v="85"/>
    <s v="45 ml"/>
    <x v="34"/>
  </r>
  <r>
    <n v="2726"/>
    <x v="2219"/>
    <x v="42"/>
    <n v="60"/>
    <n v="55"/>
    <s v="10 gm"/>
    <x v="34"/>
  </r>
  <r>
    <n v="2727"/>
    <x v="2220"/>
    <x v="485"/>
    <n v="199"/>
    <n v="129"/>
    <s v="220 ml"/>
    <x v="34"/>
  </r>
  <r>
    <n v="2728"/>
    <x v="2221"/>
    <x v="482"/>
    <n v="99"/>
    <n v="49"/>
    <s v="200 gm"/>
    <x v="34"/>
  </r>
  <r>
    <n v="2729"/>
    <x v="2222"/>
    <x v="475"/>
    <n v="199"/>
    <n v="135"/>
    <s v="60 gm"/>
    <x v="34"/>
  </r>
  <r>
    <n v="2730"/>
    <x v="2223"/>
    <x v="486"/>
    <n v="280"/>
    <n v="225"/>
    <s v="500 ml"/>
    <x v="34"/>
  </r>
  <r>
    <n v="2731"/>
    <x v="2224"/>
    <x v="473"/>
    <n v="500"/>
    <n v="250"/>
    <s v="340 gm"/>
    <x v="34"/>
  </r>
  <r>
    <n v="2732"/>
    <x v="2225"/>
    <x v="482"/>
    <n v="47"/>
    <n v="23"/>
    <s v="50 gm"/>
    <x v="34"/>
  </r>
  <r>
    <n v="2733"/>
    <x v="2226"/>
    <x v="485"/>
    <n v="199"/>
    <n v="139"/>
    <s v="220 ml"/>
    <x v="34"/>
  </r>
  <r>
    <n v="2734"/>
    <x v="2227"/>
    <x v="487"/>
    <n v="99"/>
    <n v="92"/>
    <s v="100 gm"/>
    <x v="34"/>
  </r>
  <r>
    <n v="2735"/>
    <x v="2228"/>
    <x v="481"/>
    <n v="49"/>
    <n v="29"/>
    <s v="10 gm"/>
    <x v="34"/>
  </r>
  <r>
    <n v="2736"/>
    <x v="2229"/>
    <x v="472"/>
    <n v="80"/>
    <n v="69"/>
    <s v="8 ml"/>
    <x v="34"/>
  </r>
  <r>
    <n v="2737"/>
    <x v="2230"/>
    <x v="473"/>
    <n v="60"/>
    <n v="52"/>
    <s v="10 gm"/>
    <x v="34"/>
  </r>
  <r>
    <n v="2738"/>
    <x v="2231"/>
    <x v="485"/>
    <n v="199"/>
    <n v="139"/>
    <s v="220 ml"/>
    <x v="34"/>
  </r>
  <r>
    <n v="2739"/>
    <x v="2228"/>
    <x v="481"/>
    <n v="149"/>
    <n v="74"/>
    <s v="240 ml"/>
    <x v="34"/>
  </r>
  <r>
    <n v="2740"/>
    <x v="2232"/>
    <x v="488"/>
    <n v="199"/>
    <n v="139"/>
    <s v="60 gm"/>
    <x v="34"/>
  </r>
  <r>
    <n v="2741"/>
    <x v="2233"/>
    <x v="482"/>
    <n v="47"/>
    <n v="23"/>
    <s v="50 gm"/>
    <x v="34"/>
  </r>
  <r>
    <n v="2742"/>
    <x v="2234"/>
    <x v="483"/>
    <n v="279"/>
    <n v="249"/>
    <s v="275 gm"/>
    <x v="34"/>
  </r>
  <r>
    <n v="2743"/>
    <x v="2235"/>
    <x v="472"/>
    <n v="95"/>
    <n v="85"/>
    <s v="1 U"/>
    <x v="34"/>
  </r>
  <r>
    <n v="2744"/>
    <x v="2236"/>
    <x v="482"/>
    <n v="47"/>
    <n v="23"/>
    <s v="50 gm"/>
    <x v="34"/>
  </r>
  <r>
    <n v="2745"/>
    <x v="2237"/>
    <x v="481"/>
    <n v="49"/>
    <n v="29"/>
    <s v="10 gm"/>
    <x v="34"/>
  </r>
  <r>
    <n v="2746"/>
    <x v="2238"/>
    <x v="482"/>
    <n v="47"/>
    <n v="23"/>
    <s v="50 gm"/>
    <x v="34"/>
  </r>
  <r>
    <n v="2747"/>
    <x v="2239"/>
    <x v="481"/>
    <n v="149"/>
    <n v="74"/>
    <s v="240 ml"/>
    <x v="34"/>
  </r>
  <r>
    <n v="2748"/>
    <x v="2209"/>
    <x v="481"/>
    <n v="149"/>
    <n v="74"/>
    <s v="240 ml"/>
    <x v="34"/>
  </r>
  <r>
    <n v="2749"/>
    <x v="2240"/>
    <x v="489"/>
    <n v="199"/>
    <n v="150"/>
    <s v="300 gm"/>
    <x v="34"/>
  </r>
  <r>
    <n v="2750"/>
    <x v="2241"/>
    <x v="490"/>
    <n v="16"/>
    <n v="13"/>
    <s v="1 Unit"/>
    <x v="34"/>
  </r>
  <r>
    <n v="2751"/>
    <x v="2242"/>
    <x v="491"/>
    <n v="150"/>
    <n v="99"/>
    <s v="125 gm"/>
    <x v="34"/>
  </r>
  <r>
    <n v="2752"/>
    <x v="2243"/>
    <x v="491"/>
    <n v="150"/>
    <n v="95"/>
    <s v="125 gm"/>
    <x v="34"/>
  </r>
  <r>
    <n v="2753"/>
    <x v="2244"/>
    <x v="42"/>
    <n v="569"/>
    <n v="449"/>
    <s v="1 U"/>
    <x v="34"/>
  </r>
  <r>
    <n v="2754"/>
    <x v="2245"/>
    <x v="492"/>
    <n v="80"/>
    <n v="65"/>
    <s v="8 ml"/>
    <x v="34"/>
  </r>
  <r>
    <n v="2755"/>
    <x v="2246"/>
    <x v="483"/>
    <n v="299"/>
    <n v="169"/>
    <s v="180 gm"/>
    <x v="34"/>
  </r>
  <r>
    <n v="2756"/>
    <x v="2247"/>
    <x v="483"/>
    <n v="299"/>
    <n v="189"/>
    <s v="180 gm"/>
    <x v="34"/>
  </r>
  <r>
    <n v="2757"/>
    <x v="2248"/>
    <x v="484"/>
    <n v="189"/>
    <n v="159"/>
    <s v="425 ml"/>
    <x v="34"/>
  </r>
  <r>
    <n v="2758"/>
    <x v="2249"/>
    <x v="484"/>
    <n v="189"/>
    <n v="159"/>
    <s v="425 ml"/>
    <x v="34"/>
  </r>
  <r>
    <n v="2759"/>
    <x v="2250"/>
    <x v="493"/>
    <n v="1699"/>
    <n v="1149"/>
    <s v="Brown"/>
    <x v="35"/>
  </r>
  <r>
    <n v="2760"/>
    <x v="2251"/>
    <x v="493"/>
    <n v="1699"/>
    <n v="1149"/>
    <s v="Navy Blue"/>
    <x v="35"/>
  </r>
  <r>
    <n v="2761"/>
    <x v="2252"/>
    <x v="494"/>
    <n v="1349"/>
    <n v="999"/>
    <s v="Pack of 6"/>
    <x v="35"/>
  </r>
  <r>
    <n v="2762"/>
    <x v="2253"/>
    <x v="494"/>
    <n v="1349"/>
    <n v="999"/>
    <s v="Pack of 6"/>
    <x v="35"/>
  </r>
  <r>
    <n v="2763"/>
    <x v="2254"/>
    <x v="494"/>
    <n v="800"/>
    <n v="349"/>
    <s v="Jazz 04"/>
    <x v="35"/>
  </r>
  <r>
    <n v="2764"/>
    <x v="2255"/>
    <x v="494"/>
    <n v="700"/>
    <n v="498"/>
    <s v="Pack of 6"/>
    <x v="35"/>
  </r>
  <r>
    <n v="2765"/>
    <x v="2256"/>
    <x v="494"/>
    <n v="825"/>
    <n v="599"/>
    <s v="Pack of 6"/>
    <x v="35"/>
  </r>
  <r>
    <n v="2766"/>
    <x v="2257"/>
    <x v="494"/>
    <n v="1349"/>
    <n v="999"/>
    <s v="Pack of 6"/>
    <x v="35"/>
  </r>
  <r>
    <n v="2767"/>
    <x v="2258"/>
    <x v="494"/>
    <n v="700"/>
    <n v="499"/>
    <s v="Pack of 6"/>
    <x v="35"/>
  </r>
  <r>
    <n v="2768"/>
    <x v="2259"/>
    <x v="493"/>
    <n v="1299"/>
    <n v="549"/>
    <s v="Navy Blue"/>
    <x v="35"/>
  </r>
  <r>
    <n v="2769"/>
    <x v="2260"/>
    <x v="494"/>
    <n v="825"/>
    <n v="599"/>
    <s v="Pack of 6"/>
    <x v="35"/>
  </r>
  <r>
    <n v="2770"/>
    <x v="2261"/>
    <x v="493"/>
    <n v="1499"/>
    <n v="999"/>
    <s v="Beige"/>
    <x v="35"/>
  </r>
  <r>
    <n v="2771"/>
    <x v="2262"/>
    <x v="493"/>
    <n v="1499"/>
    <n v="999"/>
    <s v="Brown"/>
    <x v="35"/>
  </r>
  <r>
    <n v="2772"/>
    <x v="2263"/>
    <x v="494"/>
    <n v="625"/>
    <n v="425"/>
    <s v="Pack of 6"/>
    <x v="35"/>
  </r>
  <r>
    <n v="2773"/>
    <x v="2264"/>
    <x v="493"/>
    <n v="399"/>
    <n v="199"/>
    <s v="Navy Blue"/>
    <x v="35"/>
  </r>
  <r>
    <n v="2774"/>
    <x v="2264"/>
    <x v="493"/>
    <n v="399"/>
    <n v="199"/>
    <s v="Maroon"/>
    <x v="35"/>
  </r>
  <r>
    <n v="2775"/>
    <x v="2264"/>
    <x v="493"/>
    <n v="399"/>
    <n v="199"/>
    <s v="Beige"/>
    <x v="35"/>
  </r>
  <r>
    <n v="2776"/>
    <x v="2265"/>
    <x v="2"/>
    <n v="135"/>
    <n v="99"/>
    <s v="1 U"/>
    <x v="35"/>
  </r>
  <r>
    <n v="2777"/>
    <x v="2266"/>
    <x v="495"/>
    <n v="2000"/>
    <n v="1149"/>
    <s v="1 U"/>
    <x v="35"/>
  </r>
  <r>
    <n v="2778"/>
    <x v="2267"/>
    <x v="495"/>
    <n v="2000"/>
    <n v="1149"/>
    <s v="1 U"/>
    <x v="35"/>
  </r>
  <r>
    <n v="2779"/>
    <x v="2268"/>
    <x v="496"/>
    <n v="399"/>
    <n v="275"/>
    <s v="1 U"/>
    <x v="35"/>
  </r>
  <r>
    <n v="2780"/>
    <x v="2269"/>
    <x v="496"/>
    <n v="399"/>
    <n v="275"/>
    <s v="1 U"/>
    <x v="35"/>
  </r>
  <r>
    <n v="2781"/>
    <x v="2270"/>
    <x v="496"/>
    <n v="399"/>
    <n v="275"/>
    <s v="1 U"/>
    <x v="35"/>
  </r>
  <r>
    <n v="2782"/>
    <x v="2271"/>
    <x v="496"/>
    <n v="399"/>
    <n v="275"/>
    <s v="1 U"/>
    <x v="35"/>
  </r>
  <r>
    <n v="2783"/>
    <x v="2272"/>
    <x v="496"/>
    <n v="399"/>
    <n v="275"/>
    <s v="1 U"/>
    <x v="35"/>
  </r>
  <r>
    <n v="2784"/>
    <x v="2273"/>
    <x v="496"/>
    <n v="399"/>
    <n v="275"/>
    <s v="1 U"/>
    <x v="35"/>
  </r>
  <r>
    <n v="2785"/>
    <x v="2274"/>
    <x v="496"/>
    <n v="399"/>
    <n v="275"/>
    <s v="1 U"/>
    <x v="35"/>
  </r>
  <r>
    <n v="2786"/>
    <x v="2275"/>
    <x v="496"/>
    <n v="399"/>
    <n v="275"/>
    <s v="1 U"/>
    <x v="35"/>
  </r>
  <r>
    <n v="2787"/>
    <x v="2276"/>
    <x v="496"/>
    <n v="399"/>
    <n v="275"/>
    <s v="1 U"/>
    <x v="35"/>
  </r>
  <r>
    <n v="2788"/>
    <x v="2277"/>
    <x v="496"/>
    <n v="399"/>
    <n v="275"/>
    <s v="1 U"/>
    <x v="35"/>
  </r>
  <r>
    <n v="2789"/>
    <x v="2278"/>
    <x v="496"/>
    <n v="399"/>
    <n v="275"/>
    <s v="1 U"/>
    <x v="35"/>
  </r>
  <r>
    <n v="2790"/>
    <x v="2279"/>
    <x v="496"/>
    <n v="200"/>
    <n v="149"/>
    <s v="1 U"/>
    <x v="35"/>
  </r>
  <r>
    <n v="2791"/>
    <x v="2280"/>
    <x v="495"/>
    <n v="3200"/>
    <n v="2499"/>
    <s v="1 U"/>
    <x v="35"/>
  </r>
  <r>
    <n v="2792"/>
    <x v="2281"/>
    <x v="447"/>
    <n v="347"/>
    <n v="294"/>
    <s v="1 L"/>
    <x v="36"/>
  </r>
  <r>
    <n v="2793"/>
    <x v="2281"/>
    <x v="447"/>
    <n v="98"/>
    <n v="91"/>
    <s v="200 ml"/>
    <x v="36"/>
  </r>
  <r>
    <n v="2794"/>
    <x v="2281"/>
    <x v="447"/>
    <n v="193"/>
    <n v="173"/>
    <s v="500 ml"/>
    <x v="36"/>
  </r>
  <r>
    <n v="2795"/>
    <x v="2282"/>
    <x v="497"/>
    <n v="165"/>
    <n v="130"/>
    <s v="170 gm"/>
    <x v="36"/>
  </r>
  <r>
    <n v="2796"/>
    <x v="2283"/>
    <x v="447"/>
    <n v="159"/>
    <n v="147"/>
    <s v="170 gm"/>
    <x v="36"/>
  </r>
  <r>
    <n v="2797"/>
    <x v="2284"/>
    <x v="498"/>
    <n v="10990"/>
    <n v="7999"/>
    <s v="1 Unit"/>
    <x v="36"/>
  </r>
  <r>
    <n v="2798"/>
    <x v="2285"/>
    <x v="499"/>
    <n v="210"/>
    <n v="140"/>
    <s v="22 cm x 20 M"/>
    <x v="32"/>
  </r>
  <r>
    <n v="2799"/>
    <x v="2286"/>
    <x v="499"/>
    <n v="249"/>
    <n v="199"/>
    <s v="30 cm x 3 M"/>
    <x v="32"/>
  </r>
  <r>
    <n v="2800"/>
    <x v="2287"/>
    <x v="499"/>
    <n v="249"/>
    <n v="155"/>
    <s v="15 U"/>
    <x v="32"/>
  </r>
  <r>
    <n v="2801"/>
    <x v="2288"/>
    <x v="499"/>
    <n v="249"/>
    <n v="199"/>
    <s v="30 cm x 5 M"/>
    <x v="32"/>
  </r>
  <r>
    <n v="2802"/>
    <x v="2289"/>
    <x v="500"/>
    <n v="650"/>
    <n v="479"/>
    <s v="72 mtr"/>
    <x v="37"/>
  </r>
  <r>
    <n v="2803"/>
    <x v="2289"/>
    <x v="500"/>
    <n v="125"/>
    <n v="105"/>
    <s v="6 mtr"/>
    <x v="37"/>
  </r>
  <r>
    <n v="2804"/>
    <x v="2290"/>
    <x v="501"/>
    <n v="120"/>
    <n v="109"/>
    <s v="90 gm"/>
    <x v="37"/>
  </r>
  <r>
    <n v="2805"/>
    <x v="2285"/>
    <x v="499"/>
    <n v="250"/>
    <n v="150"/>
    <s v="30 cm x 20 metres"/>
    <x v="37"/>
  </r>
  <r>
    <n v="2806"/>
    <x v="2291"/>
    <x v="499"/>
    <n v="229"/>
    <n v="140"/>
    <s v="20 U"/>
    <x v="37"/>
  </r>
  <r>
    <n v="2807"/>
    <x v="2292"/>
    <x v="502"/>
    <n v="130"/>
    <n v="65"/>
    <s v="200 U"/>
    <x v="20"/>
  </r>
  <r>
    <n v="2808"/>
    <x v="2293"/>
    <x v="503"/>
    <n v="175"/>
    <n v="87"/>
    <s v="200 U"/>
    <x v="20"/>
  </r>
  <r>
    <n v="2809"/>
    <x v="2294"/>
    <x v="504"/>
    <n v="95"/>
    <n v="47"/>
    <s v="100 U"/>
    <x v="20"/>
  </r>
  <r>
    <n v="2810"/>
    <x v="2294"/>
    <x v="504"/>
    <n v="165"/>
    <n v="82"/>
    <s v="200 U"/>
    <x v="20"/>
  </r>
  <r>
    <n v="2811"/>
    <x v="2295"/>
    <x v="503"/>
    <n v="95"/>
    <n v="47"/>
    <s v="25 U"/>
    <x v="20"/>
  </r>
  <r>
    <n v="2812"/>
    <x v="2296"/>
    <x v="505"/>
    <n v="95"/>
    <n v="47"/>
    <s v="100 U"/>
    <x v="20"/>
  </r>
  <r>
    <n v="2813"/>
    <x v="2297"/>
    <x v="503"/>
    <n v="95"/>
    <n v="47"/>
    <s v="25 Wipes"/>
    <x v="20"/>
  </r>
  <r>
    <n v="2814"/>
    <x v="2298"/>
    <x v="2"/>
    <n v="99"/>
    <n v="59"/>
    <s v="Blue"/>
    <x v="37"/>
  </r>
  <r>
    <n v="2815"/>
    <x v="2298"/>
    <x v="2"/>
    <n v="99"/>
    <n v="59"/>
    <s v="Green"/>
    <x v="37"/>
  </r>
  <r>
    <n v="2816"/>
    <x v="2299"/>
    <x v="506"/>
    <n v="130"/>
    <n v="69"/>
    <s v="Green"/>
    <x v="37"/>
  </r>
  <r>
    <n v="2817"/>
    <x v="2299"/>
    <x v="506"/>
    <n v="130"/>
    <n v="69"/>
    <s v="Blue"/>
    <x v="37"/>
  </r>
  <r>
    <n v="2818"/>
    <x v="2300"/>
    <x v="507"/>
    <n v="250"/>
    <n v="119"/>
    <s v="Green"/>
    <x v="37"/>
  </r>
  <r>
    <n v="2819"/>
    <x v="2300"/>
    <x v="507"/>
    <n v="250"/>
    <n v="119"/>
    <s v="Blue"/>
    <x v="37"/>
  </r>
  <r>
    <n v="2820"/>
    <x v="2301"/>
    <x v="508"/>
    <n v="240"/>
    <n v="135"/>
    <s v="4 Units"/>
    <x v="37"/>
  </r>
  <r>
    <n v="2821"/>
    <x v="2302"/>
    <x v="503"/>
    <n v="175"/>
    <n v="87"/>
    <s v="2 U"/>
    <x v="37"/>
  </r>
  <r>
    <n v="2822"/>
    <x v="2303"/>
    <x v="504"/>
    <n v="155"/>
    <n v="77"/>
    <s v="2 U"/>
    <x v="37"/>
  </r>
  <r>
    <n v="2823"/>
    <x v="2303"/>
    <x v="504"/>
    <n v="290"/>
    <n v="145"/>
    <s v="4 U"/>
    <x v="37"/>
  </r>
  <r>
    <n v="2824"/>
    <x v="2304"/>
    <x v="502"/>
    <n v="50"/>
    <n v="25"/>
    <s v="100 U"/>
    <x v="37"/>
  </r>
  <r>
    <n v="2825"/>
    <x v="2305"/>
    <x v="509"/>
    <n v="57"/>
    <n v="28"/>
    <s v="100 U"/>
    <x v="37"/>
  </r>
  <r>
    <n v="2826"/>
    <x v="2306"/>
    <x v="510"/>
    <n v="84"/>
    <n v="51"/>
    <s v="100 U"/>
    <x v="37"/>
  </r>
  <r>
    <n v="2827"/>
    <x v="2306"/>
    <x v="510"/>
    <n v="80"/>
    <n v="55"/>
    <s v="100 U"/>
    <x v="37"/>
  </r>
  <r>
    <n v="2828"/>
    <x v="2307"/>
    <x v="291"/>
    <n v="42"/>
    <n v="17"/>
    <s v="90 U"/>
    <x v="37"/>
  </r>
  <r>
    <n v="2829"/>
    <x v="2308"/>
    <x v="2"/>
    <n v="80"/>
    <n v="59"/>
    <s v="Pack of 15"/>
    <x v="37"/>
  </r>
  <r>
    <n v="2830"/>
    <x v="2309"/>
    <x v="503"/>
    <n v="80"/>
    <n v="40"/>
    <s v="50 U"/>
    <x v="37"/>
  </r>
  <r>
    <n v="2831"/>
    <x v="2310"/>
    <x v="503"/>
    <n v="75"/>
    <n v="45"/>
    <s v="100 U"/>
    <x v="37"/>
  </r>
  <r>
    <n v="2832"/>
    <x v="2311"/>
    <x v="504"/>
    <n v="350"/>
    <n v="175"/>
    <s v="10 U"/>
    <x v="37"/>
  </r>
  <r>
    <n v="2833"/>
    <x v="2312"/>
    <x v="503"/>
    <n v="270"/>
    <n v="135"/>
    <s v="6 U"/>
    <x v="37"/>
  </r>
  <r>
    <n v="2834"/>
    <x v="2313"/>
    <x v="509"/>
    <n v="350"/>
    <n v="175"/>
    <s v="10 U"/>
    <x v="37"/>
  </r>
  <r>
    <n v="2835"/>
    <x v="2314"/>
    <x v="502"/>
    <n v="300"/>
    <n v="150"/>
    <s v="10 U"/>
    <x v="37"/>
  </r>
  <r>
    <n v="2836"/>
    <x v="2315"/>
    <x v="510"/>
    <n v="385"/>
    <n v="258"/>
    <s v="10 U"/>
    <x v="37"/>
  </r>
  <r>
    <n v="2837"/>
    <x v="2316"/>
    <x v="511"/>
    <n v="285"/>
    <n v="215"/>
    <s v="1 U"/>
    <x v="38"/>
  </r>
  <r>
    <n v="2838"/>
    <x v="2317"/>
    <x v="511"/>
    <n v="285"/>
    <n v="215"/>
    <s v="1 U"/>
    <x v="38"/>
  </r>
  <r>
    <n v="2839"/>
    <x v="2318"/>
    <x v="511"/>
    <n v="285"/>
    <n v="215"/>
    <s v="1 U"/>
    <x v="38"/>
  </r>
  <r>
    <n v="2840"/>
    <x v="2319"/>
    <x v="512"/>
    <n v="90"/>
    <n v="79"/>
    <s v="2 U"/>
    <x v="33"/>
  </r>
  <r>
    <n v="2841"/>
    <x v="2320"/>
    <x v="513"/>
    <n v="165"/>
    <n v="99"/>
    <s v="1 U"/>
    <x v="33"/>
  </r>
  <r>
    <n v="2842"/>
    <x v="2321"/>
    <x v="468"/>
    <n v="190"/>
    <n v="149"/>
    <s v="1 U"/>
    <x v="33"/>
  </r>
  <r>
    <n v="2843"/>
    <x v="2322"/>
    <x v="468"/>
    <n v="210"/>
    <n v="189"/>
    <s v="1 U"/>
    <x v="33"/>
  </r>
  <r>
    <n v="2844"/>
    <x v="2323"/>
    <x v="468"/>
    <n v="120"/>
    <n v="99"/>
    <s v="1 U"/>
    <x v="33"/>
  </r>
  <r>
    <n v="2845"/>
    <x v="2324"/>
    <x v="468"/>
    <n v="210"/>
    <n v="159"/>
    <s v="1 U"/>
    <x v="33"/>
  </r>
  <r>
    <n v="2846"/>
    <x v="2325"/>
    <x v="469"/>
    <n v="325"/>
    <n v="259"/>
    <s v="1 U"/>
    <x v="33"/>
  </r>
  <r>
    <n v="2847"/>
    <x v="2326"/>
    <x v="514"/>
    <n v="199"/>
    <n v="129"/>
    <s v="1 U"/>
    <x v="33"/>
  </r>
  <r>
    <n v="2848"/>
    <x v="2327"/>
    <x v="468"/>
    <n v="85"/>
    <n v="77"/>
    <s v="1 U"/>
    <x v="33"/>
  </r>
  <r>
    <n v="2849"/>
    <x v="2328"/>
    <x v="468"/>
    <n v="190"/>
    <n v="171"/>
    <s v="1 U"/>
    <x v="33"/>
  </r>
  <r>
    <n v="2850"/>
    <x v="2329"/>
    <x v="468"/>
    <n v="300"/>
    <n v="239"/>
    <s v="1 U"/>
    <x v="33"/>
  </r>
  <r>
    <n v="2851"/>
    <x v="2330"/>
    <x v="468"/>
    <n v="215"/>
    <n v="175"/>
    <s v="1 U"/>
    <x v="33"/>
  </r>
  <r>
    <n v="2852"/>
    <x v="2331"/>
    <x v="515"/>
    <n v="397"/>
    <n v="199"/>
    <s v="10 L"/>
    <x v="33"/>
  </r>
  <r>
    <n v="2853"/>
    <x v="2332"/>
    <x v="2"/>
    <n v="665"/>
    <n v="599"/>
    <s v="1 U"/>
    <x v="33"/>
  </r>
  <r>
    <n v="2854"/>
    <x v="2333"/>
    <x v="516"/>
    <n v="249"/>
    <n v="99"/>
    <s v="1 U"/>
    <x v="33"/>
  </r>
  <r>
    <n v="2855"/>
    <x v="2334"/>
    <x v="469"/>
    <n v="105"/>
    <n v="85"/>
    <s v="Pack of 3"/>
    <x v="33"/>
  </r>
  <r>
    <n v="2856"/>
    <x v="2335"/>
    <x v="469"/>
    <n v="75"/>
    <n v="65"/>
    <s v="Pack of 5"/>
    <x v="33"/>
  </r>
  <r>
    <n v="2857"/>
    <x v="2336"/>
    <x v="469"/>
    <n v="35"/>
    <n v="18"/>
    <s v="1 U"/>
    <x v="33"/>
  </r>
  <r>
    <n v="2858"/>
    <x v="2174"/>
    <x v="468"/>
    <n v="45"/>
    <n v="33"/>
    <s v="1 U"/>
    <x v="33"/>
  </r>
  <r>
    <n v="2859"/>
    <x v="2337"/>
    <x v="468"/>
    <n v="40"/>
    <n v="20"/>
    <s v="1 U"/>
    <x v="33"/>
  </r>
  <r>
    <n v="2860"/>
    <x v="2338"/>
    <x v="468"/>
    <n v="165"/>
    <n v="149"/>
    <s v="1 U"/>
    <x v="33"/>
  </r>
  <r>
    <n v="2861"/>
    <x v="2339"/>
    <x v="469"/>
    <n v="90"/>
    <n v="79"/>
    <s v="Pack of 6"/>
    <x v="33"/>
  </r>
  <r>
    <n v="2862"/>
    <x v="2340"/>
    <x v="2"/>
    <n v="200"/>
    <n v="99"/>
    <s v="1 Unit"/>
    <x v="33"/>
  </r>
  <r>
    <n v="2863"/>
    <x v="2341"/>
    <x v="469"/>
    <n v="100"/>
    <n v="93"/>
    <s v="Pack of 10"/>
    <x v="33"/>
  </r>
  <r>
    <n v="2864"/>
    <x v="2342"/>
    <x v="468"/>
    <n v="200"/>
    <n v="159"/>
    <s v="1 U"/>
    <x v="33"/>
  </r>
  <r>
    <n v="2865"/>
    <x v="2343"/>
    <x v="468"/>
    <n v="105"/>
    <n v="95"/>
    <s v="1 U"/>
    <x v="33"/>
  </r>
  <r>
    <n v="2866"/>
    <x v="2344"/>
    <x v="469"/>
    <n v="150"/>
    <n v="129"/>
    <s v="1 U"/>
    <x v="33"/>
  </r>
  <r>
    <n v="2867"/>
    <x v="2345"/>
    <x v="468"/>
    <n v="80"/>
    <n v="55"/>
    <s v="Pack of 5"/>
    <x v="33"/>
  </r>
  <r>
    <n v="2868"/>
    <x v="2346"/>
    <x v="468"/>
    <n v="260"/>
    <n v="234"/>
    <s v="1 U"/>
    <x v="33"/>
  </r>
  <r>
    <n v="2869"/>
    <x v="2347"/>
    <x v="464"/>
    <n v="199"/>
    <n v="149"/>
    <s v="Pack of 5"/>
    <x v="33"/>
  </r>
  <r>
    <n v="2870"/>
    <x v="2348"/>
    <x v="469"/>
    <n v="65"/>
    <n v="59"/>
    <s v="Pack of 2"/>
    <x v="33"/>
  </r>
  <r>
    <n v="2871"/>
    <x v="2349"/>
    <x v="469"/>
    <n v="55"/>
    <n v="49"/>
    <s v="1 U"/>
    <x v="33"/>
  </r>
  <r>
    <n v="2872"/>
    <x v="2350"/>
    <x v="469"/>
    <n v="250"/>
    <n v="232"/>
    <s v="1 U"/>
    <x v="33"/>
  </r>
  <r>
    <n v="2873"/>
    <x v="2351"/>
    <x v="468"/>
    <n v="150"/>
    <n v="135"/>
    <s v="1 U"/>
    <x v="33"/>
  </r>
  <r>
    <n v="2874"/>
    <x v="2352"/>
    <x v="468"/>
    <n v="135"/>
    <n v="121"/>
    <s v="1 U"/>
    <x v="33"/>
  </r>
  <r>
    <n v="2875"/>
    <x v="2353"/>
    <x v="468"/>
    <n v="75"/>
    <n v="68"/>
    <s v="1 U"/>
    <x v="33"/>
  </r>
  <r>
    <n v="2876"/>
    <x v="2354"/>
    <x v="468"/>
    <n v="150"/>
    <n v="135"/>
    <s v="1 U"/>
    <x v="33"/>
  </r>
  <r>
    <n v="2877"/>
    <x v="2355"/>
    <x v="455"/>
    <n v="109"/>
    <n v="89"/>
    <s v="1 U"/>
    <x v="33"/>
  </r>
  <r>
    <n v="2878"/>
    <x v="2356"/>
    <x v="517"/>
    <n v="255"/>
    <n v="229"/>
    <s v="Orange"/>
    <x v="33"/>
  </r>
  <r>
    <n v="2879"/>
    <x v="2357"/>
    <x v="468"/>
    <n v="55"/>
    <n v="50"/>
    <s v="1 U"/>
    <x v="33"/>
  </r>
  <r>
    <n v="2880"/>
    <x v="2358"/>
    <x v="468"/>
    <n v="30"/>
    <n v="27"/>
    <s v="1 U"/>
    <x v="33"/>
  </r>
  <r>
    <n v="2881"/>
    <x v="2359"/>
    <x v="469"/>
    <n v="560"/>
    <n v="499"/>
    <s v="1 U"/>
    <x v="33"/>
  </r>
  <r>
    <n v="2882"/>
    <x v="2360"/>
    <x v="469"/>
    <n v="55"/>
    <n v="51"/>
    <s v="3 U"/>
    <x v="33"/>
  </r>
  <r>
    <n v="2883"/>
    <x v="2361"/>
    <x v="469"/>
    <n v="240"/>
    <n v="165"/>
    <s v="Pack of 4"/>
    <x v="33"/>
  </r>
  <r>
    <n v="2884"/>
    <x v="2362"/>
    <x v="468"/>
    <n v="315"/>
    <n v="283"/>
    <s v="4 U"/>
    <x v="33"/>
  </r>
  <r>
    <n v="2885"/>
    <x v="2363"/>
    <x v="518"/>
    <n v="200"/>
    <n v="129"/>
    <s v="Pink"/>
    <x v="33"/>
  </r>
  <r>
    <n v="2886"/>
    <x v="2363"/>
    <x v="518"/>
    <n v="200"/>
    <n v="129"/>
    <s v="Blue"/>
    <x v="33"/>
  </r>
  <r>
    <n v="2887"/>
    <x v="2364"/>
    <x v="469"/>
    <n v="200"/>
    <n v="186"/>
    <s v="Pack of 3"/>
    <x v="33"/>
  </r>
  <r>
    <n v="2888"/>
    <x v="2365"/>
    <x v="519"/>
    <n v="179"/>
    <n v="125"/>
    <s v="Pack of 6"/>
    <x v="33"/>
  </r>
  <r>
    <n v="2889"/>
    <x v="2366"/>
    <x v="468"/>
    <n v="185"/>
    <n v="167"/>
    <s v="Pack of 3"/>
    <x v="33"/>
  </r>
  <r>
    <n v="2890"/>
    <x v="2367"/>
    <x v="469"/>
    <n v="330"/>
    <n v="306"/>
    <s v="Pack of 5"/>
    <x v="33"/>
  </r>
  <r>
    <n v="2891"/>
    <x v="2347"/>
    <x v="464"/>
    <n v="149"/>
    <n v="99"/>
    <s v="Pack of 3"/>
    <x v="33"/>
  </r>
  <r>
    <n v="2892"/>
    <x v="2368"/>
    <x v="519"/>
    <n v="129"/>
    <n v="89"/>
    <s v="Blue"/>
    <x v="33"/>
  </r>
  <r>
    <n v="2893"/>
    <x v="2368"/>
    <x v="519"/>
    <n v="129"/>
    <n v="89"/>
    <s v="Maroon"/>
    <x v="33"/>
  </r>
  <r>
    <n v="2894"/>
    <x v="2368"/>
    <x v="519"/>
    <n v="129"/>
    <n v="89"/>
    <s v="Red"/>
    <x v="33"/>
  </r>
  <r>
    <n v="2895"/>
    <x v="2369"/>
    <x v="518"/>
    <n v="150"/>
    <n v="85"/>
    <s v="Pack of 3"/>
    <x v="33"/>
  </r>
  <r>
    <n v="2896"/>
    <x v="2370"/>
    <x v="468"/>
    <n v="250"/>
    <n v="225"/>
    <s v="2 Units"/>
    <x v="33"/>
  </r>
  <r>
    <n v="2897"/>
    <x v="2371"/>
    <x v="469"/>
    <n v="135"/>
    <n v="115"/>
    <s v="Pack of 2"/>
    <x v="33"/>
  </r>
  <r>
    <n v="2898"/>
    <x v="2372"/>
    <x v="468"/>
    <n v="200"/>
    <n v="180"/>
    <s v="3 Pcs"/>
    <x v="33"/>
  </r>
  <r>
    <n v="2899"/>
    <x v="2373"/>
    <x v="468"/>
    <n v="140"/>
    <n v="126"/>
    <s v="1 U"/>
    <x v="33"/>
  </r>
  <r>
    <n v="2900"/>
    <x v="2374"/>
    <x v="469"/>
    <n v="199"/>
    <n v="175"/>
    <s v="1 Wipe"/>
    <x v="33"/>
  </r>
  <r>
    <n v="2901"/>
    <x v="2375"/>
    <x v="2"/>
    <n v="75"/>
    <n v="49"/>
    <s v="1 U"/>
    <x v="33"/>
  </r>
  <r>
    <n v="2902"/>
    <x v="2376"/>
    <x v="2"/>
    <n v="75"/>
    <n v="59"/>
    <s v="1 U"/>
    <x v="33"/>
  </r>
  <r>
    <n v="2903"/>
    <x v="2377"/>
    <x v="468"/>
    <n v="1799"/>
    <n v="999"/>
    <s v="1 U"/>
    <x v="33"/>
  </r>
  <r>
    <n v="2904"/>
    <x v="2378"/>
    <x v="468"/>
    <n v="240"/>
    <n v="216"/>
    <s v="1 U"/>
    <x v="33"/>
  </r>
  <r>
    <n v="2905"/>
    <x v="2379"/>
    <x v="468"/>
    <n v="195"/>
    <n v="176"/>
    <s v="1 U"/>
    <x v="33"/>
  </r>
  <r>
    <n v="2906"/>
    <x v="2380"/>
    <x v="468"/>
    <n v="2500"/>
    <n v="1599"/>
    <s v="1 U"/>
    <x v="33"/>
  </r>
  <r>
    <n v="2907"/>
    <x v="2381"/>
    <x v="468"/>
    <n v="700"/>
    <n v="599"/>
    <s v="1 U"/>
    <x v="33"/>
  </r>
  <r>
    <n v="2908"/>
    <x v="2382"/>
    <x v="468"/>
    <n v="165"/>
    <n v="149"/>
    <s v="1 U"/>
    <x v="33"/>
  </r>
  <r>
    <n v="2909"/>
    <x v="2383"/>
    <x v="468"/>
    <n v="450"/>
    <n v="329"/>
    <s v="1 Unit"/>
    <x v="33"/>
  </r>
  <r>
    <n v="2910"/>
    <x v="2384"/>
    <x v="469"/>
    <n v="475"/>
    <n v="399"/>
    <s v="1 U"/>
    <x v="33"/>
  </r>
  <r>
    <n v="2911"/>
    <x v="2385"/>
    <x v="468"/>
    <n v="375"/>
    <n v="338"/>
    <s v="1 U"/>
    <x v="33"/>
  </r>
  <r>
    <n v="2912"/>
    <x v="2386"/>
    <x v="476"/>
    <n v="100"/>
    <n v="89"/>
    <s v="1 Unit"/>
    <x v="33"/>
  </r>
  <r>
    <n v="2913"/>
    <x v="2387"/>
    <x v="469"/>
    <n v="399"/>
    <n v="299"/>
    <s v="1 U"/>
    <x v="33"/>
  </r>
  <r>
    <n v="2914"/>
    <x v="2388"/>
    <x v="468"/>
    <n v="240"/>
    <n v="216"/>
    <s v="1 U"/>
    <x v="33"/>
  </r>
  <r>
    <n v="2915"/>
    <x v="2389"/>
    <x v="469"/>
    <n v="425"/>
    <n v="299"/>
    <s v="1 U"/>
    <x v="33"/>
  </r>
  <r>
    <n v="2916"/>
    <x v="2390"/>
    <x v="468"/>
    <n v="210"/>
    <n v="189"/>
    <s v="1 U"/>
    <x v="33"/>
  </r>
  <r>
    <n v="2917"/>
    <x v="2391"/>
    <x v="468"/>
    <n v="449"/>
    <n v="404"/>
    <s v="1 U"/>
    <x v="33"/>
  </r>
  <r>
    <n v="2918"/>
    <x v="2392"/>
    <x v="469"/>
    <n v="1400"/>
    <n v="1200"/>
    <s v="1 U"/>
    <x v="33"/>
  </r>
  <r>
    <n v="2919"/>
    <x v="2393"/>
    <x v="476"/>
    <n v="1550"/>
    <n v="1395"/>
    <s v="1 U"/>
    <x v="33"/>
  </r>
  <r>
    <n v="2920"/>
    <x v="2394"/>
    <x v="2"/>
    <n v="3599"/>
    <n v="2999"/>
    <s v="800 W"/>
    <x v="39"/>
  </r>
  <r>
    <n v="2921"/>
    <x v="2395"/>
    <x v="520"/>
    <n v="695"/>
    <n v="299"/>
    <s v="1 Unit"/>
    <x v="31"/>
  </r>
  <r>
    <n v="2922"/>
    <x v="2396"/>
    <x v="2"/>
    <n v="66"/>
    <n v="59"/>
    <s v="12 U"/>
    <x v="32"/>
  </r>
  <r>
    <n v="2923"/>
    <x v="2397"/>
    <x v="521"/>
    <n v="1499"/>
    <n v="349"/>
    <s v="400 ml"/>
    <x v="32"/>
  </r>
  <r>
    <n v="2924"/>
    <x v="2398"/>
    <x v="520"/>
    <n v="545"/>
    <n v="199"/>
    <s v="3 Pcs"/>
    <x v="31"/>
  </r>
  <r>
    <n v="2925"/>
    <x v="2399"/>
    <x v="2"/>
    <n v="399"/>
    <n v="199"/>
    <s v="1 U"/>
    <x v="32"/>
  </r>
  <r>
    <n v="2926"/>
    <x v="2400"/>
    <x v="2"/>
    <n v="300"/>
    <n v="199"/>
    <s v="1 U"/>
    <x v="32"/>
  </r>
  <r>
    <n v="2927"/>
    <x v="2401"/>
    <x v="522"/>
    <n v="150"/>
    <n v="89"/>
    <s v="1 Unit"/>
    <x v="31"/>
  </r>
  <r>
    <n v="2928"/>
    <x v="2402"/>
    <x v="2"/>
    <n v="540"/>
    <n v="479"/>
    <s v="1 Unit"/>
    <x v="32"/>
  </r>
  <r>
    <n v="2929"/>
    <x v="2403"/>
    <x v="2"/>
    <n v="79"/>
    <n v="49"/>
    <s v="1 U"/>
    <x v="32"/>
  </r>
  <r>
    <n v="2930"/>
    <x v="2404"/>
    <x v="523"/>
    <n v="700"/>
    <n v="299"/>
    <s v="1 Unit"/>
    <x v="31"/>
  </r>
  <r>
    <n v="2931"/>
    <x v="2405"/>
    <x v="522"/>
    <n v="265"/>
    <n v="115"/>
    <s v="1 Unit"/>
    <x v="31"/>
  </r>
  <r>
    <n v="2932"/>
    <x v="2406"/>
    <x v="2"/>
    <n v="570"/>
    <n v="499"/>
    <s v="1 U"/>
    <x v="32"/>
  </r>
  <r>
    <n v="2933"/>
    <x v="2407"/>
    <x v="522"/>
    <n v="225"/>
    <n v="109"/>
    <s v="1 Unit"/>
    <x v="31"/>
  </r>
  <r>
    <n v="2934"/>
    <x v="2408"/>
    <x v="524"/>
    <n v="149"/>
    <n v="79"/>
    <s v="1 Unit"/>
    <x v="32"/>
  </r>
  <r>
    <n v="2935"/>
    <x v="2409"/>
    <x v="523"/>
    <n v="5300"/>
    <n v="2699"/>
    <s v="400 W"/>
    <x v="40"/>
  </r>
  <r>
    <n v="2936"/>
    <x v="2410"/>
    <x v="522"/>
    <n v="225"/>
    <n v="115"/>
    <s v="3 Pcs"/>
    <x v="31"/>
  </r>
  <r>
    <n v="2937"/>
    <x v="2411"/>
    <x v="524"/>
    <n v="323"/>
    <n v="149"/>
    <s v="1 Unit"/>
    <x v="32"/>
  </r>
  <r>
    <n v="2938"/>
    <x v="2412"/>
    <x v="520"/>
    <n v="895"/>
    <n v="475"/>
    <s v="1 U"/>
    <x v="31"/>
  </r>
  <r>
    <n v="2939"/>
    <x v="2413"/>
    <x v="2"/>
    <n v="110"/>
    <n v="99"/>
    <s v="2 Pcs"/>
    <x v="31"/>
  </r>
  <r>
    <n v="2940"/>
    <x v="2414"/>
    <x v="2"/>
    <n v="129"/>
    <n v="99"/>
    <s v="1 U"/>
    <x v="32"/>
  </r>
  <r>
    <n v="2941"/>
    <x v="2415"/>
    <x v="2"/>
    <n v="399"/>
    <n v="199"/>
    <s v="1 U"/>
    <x v="32"/>
  </r>
  <r>
    <n v="2942"/>
    <x v="2416"/>
    <x v="2"/>
    <n v="150"/>
    <n v="69"/>
    <s v="3 U"/>
    <x v="32"/>
  </r>
  <r>
    <n v="2943"/>
    <x v="2417"/>
    <x v="525"/>
    <n v="135"/>
    <n v="99"/>
    <s v="2 Pcs"/>
    <x v="31"/>
  </r>
  <r>
    <n v="2944"/>
    <x v="2418"/>
    <x v="2"/>
    <n v="130"/>
    <n v="79"/>
    <s v="1 Unit"/>
    <x v="32"/>
  </r>
  <r>
    <n v="2945"/>
    <x v="2419"/>
    <x v="2"/>
    <n v="250"/>
    <n v="199"/>
    <s v="1 U"/>
    <x v="32"/>
  </r>
  <r>
    <n v="2946"/>
    <x v="2420"/>
    <x v="2"/>
    <n v="99"/>
    <n v="69"/>
    <s v="1 U"/>
    <x v="32"/>
  </r>
  <r>
    <n v="2947"/>
    <x v="2421"/>
    <x v="2"/>
    <n v="149"/>
    <n v="79"/>
    <s v="6 U"/>
    <x v="32"/>
  </r>
  <r>
    <n v="2948"/>
    <x v="2422"/>
    <x v="2"/>
    <n v="220"/>
    <n v="169"/>
    <s v="1 U"/>
    <x v="32"/>
  </r>
  <r>
    <n v="2949"/>
    <x v="2423"/>
    <x v="522"/>
    <n v="425"/>
    <n v="225"/>
    <s v="1 U"/>
    <x v="31"/>
  </r>
  <r>
    <n v="2950"/>
    <x v="2424"/>
    <x v="2"/>
    <n v="400"/>
    <n v="249"/>
    <s v="1 U"/>
    <x v="32"/>
  </r>
  <r>
    <n v="2951"/>
    <x v="2425"/>
    <x v="522"/>
    <n v="649"/>
    <n v="379"/>
    <s v="1 U"/>
    <x v="31"/>
  </r>
  <r>
    <n v="2952"/>
    <x v="2426"/>
    <x v="2"/>
    <n v="369"/>
    <n v="199"/>
    <s v="3 U"/>
    <x v="32"/>
  </r>
  <r>
    <n v="2953"/>
    <x v="2427"/>
    <x v="2"/>
    <n v="100"/>
    <n v="89"/>
    <s v="1 Unit"/>
    <x v="31"/>
  </r>
  <r>
    <n v="2954"/>
    <x v="2428"/>
    <x v="2"/>
    <n v="80"/>
    <n v="69"/>
    <s v="Set of 6"/>
    <x v="32"/>
  </r>
  <r>
    <n v="2955"/>
    <x v="2429"/>
    <x v="522"/>
    <n v="625"/>
    <n v="399"/>
    <s v="1 U"/>
    <x v="31"/>
  </r>
  <r>
    <n v="2956"/>
    <x v="2430"/>
    <x v="524"/>
    <n v="267"/>
    <n v="149"/>
    <s v="Set Of 3"/>
    <x v="32"/>
  </r>
  <r>
    <n v="2957"/>
    <x v="2431"/>
    <x v="526"/>
    <n v="49"/>
    <n v="39"/>
    <s v="1 U"/>
    <x v="32"/>
  </r>
  <r>
    <n v="2958"/>
    <x v="2432"/>
    <x v="522"/>
    <n v="155"/>
    <n v="89"/>
    <s v="4 pcs"/>
    <x v="31"/>
  </r>
  <r>
    <n v="2959"/>
    <x v="2433"/>
    <x v="522"/>
    <n v="425"/>
    <n v="329"/>
    <s v="1 U"/>
    <x v="31"/>
  </r>
  <r>
    <n v="2960"/>
    <x v="2434"/>
    <x v="527"/>
    <n v="500"/>
    <n v="275"/>
    <s v="1.5 Litres"/>
    <x v="32"/>
  </r>
  <r>
    <n v="2961"/>
    <x v="2435"/>
    <x v="2"/>
    <n v="150"/>
    <n v="109"/>
    <s v="1 U"/>
    <x v="32"/>
  </r>
  <r>
    <n v="2962"/>
    <x v="2436"/>
    <x v="515"/>
    <n v="100"/>
    <n v="79"/>
    <s v="1 L"/>
    <x v="31"/>
  </r>
  <r>
    <n v="2963"/>
    <x v="2437"/>
    <x v="2"/>
    <n v="119"/>
    <n v="79"/>
    <s v="1 U"/>
    <x v="32"/>
  </r>
  <r>
    <n v="2964"/>
    <x v="2438"/>
    <x v="2"/>
    <n v="199"/>
    <n v="149"/>
    <s v="3 Pcs"/>
    <x v="32"/>
  </r>
  <r>
    <n v="2965"/>
    <x v="2439"/>
    <x v="2"/>
    <n v="179"/>
    <n v="129"/>
    <s v="1 U"/>
    <x v="32"/>
  </r>
  <r>
    <n v="2966"/>
    <x v="2440"/>
    <x v="522"/>
    <n v="310"/>
    <n v="249"/>
    <s v="1 U"/>
    <x v="31"/>
  </r>
  <r>
    <n v="2967"/>
    <x v="2441"/>
    <x v="2"/>
    <n v="165"/>
    <n v="149"/>
    <s v="3 Pcs"/>
    <x v="31"/>
  </r>
  <r>
    <n v="2968"/>
    <x v="2442"/>
    <x v="2"/>
    <n v="99"/>
    <n v="59"/>
    <s v="1 U"/>
    <x v="32"/>
  </r>
  <r>
    <n v="2969"/>
    <x v="2443"/>
    <x v="528"/>
    <n v="175"/>
    <n v="125"/>
    <s v="1 Unit"/>
    <x v="31"/>
  </r>
  <r>
    <n v="2970"/>
    <x v="2444"/>
    <x v="2"/>
    <n v="149"/>
    <n v="79"/>
    <s v="6 U"/>
    <x v="32"/>
  </r>
  <r>
    <n v="2971"/>
    <x v="2445"/>
    <x v="2"/>
    <n v="440"/>
    <n v="279"/>
    <s v="1 U"/>
    <x v="32"/>
  </r>
  <r>
    <n v="2972"/>
    <x v="2446"/>
    <x v="42"/>
    <n v="220"/>
    <n v="149"/>
    <s v="3 Pcs"/>
    <x v="32"/>
  </r>
  <r>
    <n v="2973"/>
    <x v="2447"/>
    <x v="2"/>
    <n v="99"/>
    <n v="79"/>
    <s v="1 U"/>
    <x v="32"/>
  </r>
  <r>
    <n v="2974"/>
    <x v="2448"/>
    <x v="529"/>
    <n v="1650"/>
    <n v="1299"/>
    <s v="125 W"/>
    <x v="32"/>
  </r>
  <r>
    <n v="2975"/>
    <x v="2449"/>
    <x v="528"/>
    <n v="135"/>
    <n v="99"/>
    <s v="1 U"/>
    <x v="31"/>
  </r>
  <r>
    <n v="2976"/>
    <x v="2450"/>
    <x v="2"/>
    <n v="59"/>
    <n v="35"/>
    <s v="1 U"/>
    <x v="32"/>
  </r>
  <r>
    <n v="2977"/>
    <x v="2451"/>
    <x v="522"/>
    <n v="415"/>
    <n v="299"/>
    <s v="1 U"/>
    <x v="31"/>
  </r>
  <r>
    <n v="2978"/>
    <x v="2452"/>
    <x v="522"/>
    <n v="55"/>
    <n v="39"/>
    <s v="1 Unit"/>
    <x v="31"/>
  </r>
  <r>
    <n v="2979"/>
    <x v="2453"/>
    <x v="522"/>
    <n v="255"/>
    <n v="219"/>
    <s v="1 U"/>
    <x v="31"/>
  </r>
  <r>
    <n v="2980"/>
    <x v="2454"/>
    <x v="2"/>
    <n v="110"/>
    <n v="79"/>
    <s v="2 U"/>
    <x v="32"/>
  </r>
  <r>
    <n v="2981"/>
    <x v="2455"/>
    <x v="2"/>
    <n v="89"/>
    <n v="69"/>
    <s v="1 U"/>
    <x v="32"/>
  </r>
  <r>
    <n v="2982"/>
    <x v="2456"/>
    <x v="522"/>
    <n v="99"/>
    <n v="69"/>
    <s v="1 Unit"/>
    <x v="31"/>
  </r>
  <r>
    <n v="2983"/>
    <x v="2457"/>
    <x v="523"/>
    <n v="1800"/>
    <n v="999"/>
    <s v="350 W"/>
    <x v="31"/>
  </r>
  <r>
    <n v="2984"/>
    <x v="2458"/>
    <x v="2"/>
    <n v="875"/>
    <n v="825"/>
    <s v="1 U"/>
    <x v="41"/>
  </r>
  <r>
    <n v="2985"/>
    <x v="2459"/>
    <x v="2"/>
    <n v="279"/>
    <n v="219"/>
    <s v="1 Unit"/>
    <x v="32"/>
  </r>
  <r>
    <n v="2986"/>
    <x v="2460"/>
    <x v="2"/>
    <n v="220"/>
    <n v="129"/>
    <s v="1 U"/>
    <x v="32"/>
  </r>
  <r>
    <n v="2987"/>
    <x v="2461"/>
    <x v="469"/>
    <n v="229"/>
    <n v="175"/>
    <s v="1 U"/>
    <x v="32"/>
  </r>
  <r>
    <n v="2988"/>
    <x v="2462"/>
    <x v="516"/>
    <n v="1185"/>
    <n v="579"/>
    <s v="1 U"/>
    <x v="32"/>
  </r>
  <r>
    <n v="2989"/>
    <x v="2463"/>
    <x v="530"/>
    <n v="299"/>
    <n v="129"/>
    <s v="1 U"/>
    <x v="32"/>
  </r>
  <r>
    <n v="2990"/>
    <x v="2464"/>
    <x v="530"/>
    <n v="299"/>
    <n v="99"/>
    <s v="5 U"/>
    <x v="32"/>
  </r>
  <r>
    <n v="2991"/>
    <x v="2465"/>
    <x v="516"/>
    <n v="448"/>
    <n v="199"/>
    <s v="1 U"/>
    <x v="32"/>
  </r>
  <r>
    <n v="2992"/>
    <x v="2466"/>
    <x v="515"/>
    <n v="586"/>
    <n v="315"/>
    <s v="1 U"/>
    <x v="32"/>
  </r>
  <r>
    <n v="2993"/>
    <x v="2467"/>
    <x v="515"/>
    <n v="289"/>
    <n v="115"/>
    <s v="1 U"/>
    <x v="32"/>
  </r>
  <r>
    <n v="2994"/>
    <x v="2468"/>
    <x v="515"/>
    <n v="289"/>
    <n v="115"/>
    <s v="1 U"/>
    <x v="32"/>
  </r>
  <r>
    <n v="2995"/>
    <x v="2469"/>
    <x v="515"/>
    <n v="86"/>
    <n v="49"/>
    <s v="1 U"/>
    <x v="32"/>
  </r>
  <r>
    <n v="2996"/>
    <x v="2470"/>
    <x v="531"/>
    <n v="175"/>
    <n v="149"/>
    <s v="2 Pcs"/>
    <x v="32"/>
  </r>
  <r>
    <n v="2997"/>
    <x v="2471"/>
    <x v="531"/>
    <n v="99"/>
    <n v="79"/>
    <s v="3 Pcs"/>
    <x v="32"/>
  </r>
  <r>
    <n v="2998"/>
    <x v="2472"/>
    <x v="531"/>
    <n v="249"/>
    <n v="209"/>
    <s v="20 Pcs"/>
    <x v="32"/>
  </r>
  <r>
    <n v="2999"/>
    <x v="2473"/>
    <x v="531"/>
    <n v="149"/>
    <n v="124"/>
    <s v="3 Pcs"/>
    <x v="32"/>
  </r>
  <r>
    <n v="3000"/>
    <x v="2474"/>
    <x v="524"/>
    <n v="720"/>
    <n v="349"/>
    <s v="1 U"/>
    <x v="42"/>
  </r>
  <r>
    <n v="3001"/>
    <x v="2475"/>
    <x v="524"/>
    <n v="720"/>
    <n v="349"/>
    <s v="1 Unit"/>
    <x v="42"/>
  </r>
  <r>
    <n v="3002"/>
    <x v="2476"/>
    <x v="524"/>
    <n v="1216"/>
    <n v="599"/>
    <s v="1 Unit"/>
    <x v="42"/>
  </r>
  <r>
    <n v="3003"/>
    <x v="2477"/>
    <x v="524"/>
    <n v="563"/>
    <n v="249"/>
    <s v="1 Unit"/>
    <x v="42"/>
  </r>
  <r>
    <n v="3004"/>
    <x v="2478"/>
    <x v="2"/>
    <n v="35"/>
    <n v="32"/>
    <s v="40 gm"/>
    <x v="42"/>
  </r>
  <r>
    <n v="3005"/>
    <x v="2479"/>
    <x v="524"/>
    <n v="1216"/>
    <n v="599"/>
    <s v="1 Unit"/>
    <x v="42"/>
  </r>
  <r>
    <n v="3006"/>
    <x v="2480"/>
    <x v="524"/>
    <n v="609"/>
    <n v="349"/>
    <s v="1 Unit"/>
    <x v="42"/>
  </r>
  <r>
    <n v="3007"/>
    <x v="2481"/>
    <x v="524"/>
    <n v="74"/>
    <n v="49"/>
    <s v="1 Unit"/>
    <x v="42"/>
  </r>
  <r>
    <n v="3008"/>
    <x v="2482"/>
    <x v="524"/>
    <n v="494"/>
    <n v="249"/>
    <s v="1 Unit"/>
    <x v="42"/>
  </r>
  <r>
    <n v="3009"/>
    <x v="2483"/>
    <x v="524"/>
    <n v="74"/>
    <n v="49"/>
    <s v="1 Unit"/>
    <x v="42"/>
  </r>
  <r>
    <n v="3010"/>
    <x v="2484"/>
    <x v="524"/>
    <n v="609"/>
    <n v="349"/>
    <s v="1 Unit"/>
    <x v="42"/>
  </r>
  <r>
    <n v="3011"/>
    <x v="2485"/>
    <x v="524"/>
    <n v="235"/>
    <n v="129"/>
    <s v="1 Unit"/>
    <x v="42"/>
  </r>
  <r>
    <n v="3012"/>
    <x v="2486"/>
    <x v="524"/>
    <n v="235"/>
    <n v="129"/>
    <s v="1 Unit"/>
    <x v="42"/>
  </r>
  <r>
    <n v="3013"/>
    <x v="2487"/>
    <x v="524"/>
    <n v="494"/>
    <n v="249"/>
    <s v="1 Unit"/>
    <x v="42"/>
  </r>
  <r>
    <n v="3014"/>
    <x v="2488"/>
    <x v="524"/>
    <n v="563"/>
    <n v="249"/>
    <s v="1 Unit"/>
    <x v="42"/>
  </r>
  <r>
    <n v="3015"/>
    <x v="2489"/>
    <x v="2"/>
    <n v="77"/>
    <n v="69"/>
    <s v="70 gm"/>
    <x v="42"/>
  </r>
  <r>
    <n v="3016"/>
    <x v="2490"/>
    <x v="532"/>
    <n v="800"/>
    <n v="699"/>
    <s v="5 Pcs"/>
    <x v="42"/>
  </r>
  <r>
    <n v="3017"/>
    <x v="2491"/>
    <x v="515"/>
    <n v="368"/>
    <n v="215"/>
    <s v="4 pcs"/>
    <x v="42"/>
  </r>
  <r>
    <n v="3018"/>
    <x v="2492"/>
    <x v="533"/>
    <n v="1799"/>
    <n v="849"/>
    <s v="Nicolas Green"/>
    <x v="42"/>
  </r>
  <r>
    <n v="3019"/>
    <x v="2493"/>
    <x v="533"/>
    <n v="1799"/>
    <n v="849"/>
    <s v="Nicolas Brown"/>
    <x v="42"/>
  </r>
  <r>
    <n v="3020"/>
    <x v="2494"/>
    <x v="533"/>
    <n v="1799"/>
    <n v="849"/>
    <s v="Boston Brick"/>
    <x v="42"/>
  </r>
  <r>
    <n v="3021"/>
    <x v="2495"/>
    <x v="533"/>
    <n v="1799"/>
    <n v="849"/>
    <s v="Boston Teal"/>
    <x v="42"/>
  </r>
  <r>
    <n v="3022"/>
    <x v="2496"/>
    <x v="533"/>
    <n v="1799"/>
    <n v="849"/>
    <s v="Charles Brown"/>
    <x v="42"/>
  </r>
  <r>
    <n v="3023"/>
    <x v="2497"/>
    <x v="533"/>
    <n v="1799"/>
    <n v="849"/>
    <s v="Charles Peach"/>
    <x v="42"/>
  </r>
  <r>
    <n v="3024"/>
    <x v="2498"/>
    <x v="533"/>
    <n v="1799"/>
    <n v="849"/>
    <s v="Jules Beige"/>
    <x v="42"/>
  </r>
  <r>
    <n v="3025"/>
    <x v="2499"/>
    <x v="533"/>
    <n v="1799"/>
    <n v="849"/>
    <s v="Jules Blue"/>
    <x v="42"/>
  </r>
  <r>
    <n v="3026"/>
    <x v="2500"/>
    <x v="533"/>
    <n v="1799"/>
    <n v="849"/>
    <s v="Zoe Pink"/>
    <x v="42"/>
  </r>
  <r>
    <n v="3027"/>
    <x v="2501"/>
    <x v="533"/>
    <n v="1799"/>
    <n v="849"/>
    <s v="ZOE Peri"/>
    <x v="42"/>
  </r>
  <r>
    <n v="3028"/>
    <x v="2502"/>
    <x v="533"/>
    <n v="1799"/>
    <n v="849"/>
    <s v="Strike Brown"/>
    <x v="42"/>
  </r>
  <r>
    <n v="3029"/>
    <x v="2503"/>
    <x v="533"/>
    <n v="1799"/>
    <n v="849"/>
    <s v="Strike Mauve"/>
    <x v="42"/>
  </r>
  <r>
    <n v="3030"/>
    <x v="2504"/>
    <x v="534"/>
    <n v="2099"/>
    <n v="699"/>
    <s v="1 U"/>
    <x v="42"/>
  </r>
  <r>
    <n v="3031"/>
    <x v="2505"/>
    <x v="534"/>
    <n v="2099"/>
    <n v="699"/>
    <s v="1 U"/>
    <x v="42"/>
  </r>
  <r>
    <n v="3032"/>
    <x v="2506"/>
    <x v="534"/>
    <n v="2099"/>
    <n v="699"/>
    <s v="1 U"/>
    <x v="42"/>
  </r>
  <r>
    <n v="3033"/>
    <x v="2507"/>
    <x v="534"/>
    <n v="2099"/>
    <n v="699"/>
    <s v="1 U"/>
    <x v="42"/>
  </r>
  <r>
    <n v="3034"/>
    <x v="2508"/>
    <x v="534"/>
    <n v="2099"/>
    <n v="699"/>
    <s v="1 U"/>
    <x v="42"/>
  </r>
  <r>
    <n v="3035"/>
    <x v="2509"/>
    <x v="534"/>
    <n v="2099"/>
    <n v="699"/>
    <s v="1 U"/>
    <x v="42"/>
  </r>
  <r>
    <n v="3036"/>
    <x v="2510"/>
    <x v="534"/>
    <n v="2099"/>
    <n v="699"/>
    <s v="1 U"/>
    <x v="42"/>
  </r>
  <r>
    <n v="3037"/>
    <x v="2511"/>
    <x v="534"/>
    <n v="2099"/>
    <n v="699"/>
    <s v="1 U"/>
    <x v="42"/>
  </r>
  <r>
    <n v="3038"/>
    <x v="2512"/>
    <x v="519"/>
    <n v="279"/>
    <n v="219"/>
    <s v="Maroon"/>
    <x v="42"/>
  </r>
  <r>
    <n v="3039"/>
    <x v="2512"/>
    <x v="519"/>
    <n v="245"/>
    <n v="199"/>
    <s v="Brown"/>
    <x v="42"/>
  </r>
  <r>
    <n v="3040"/>
    <x v="2512"/>
    <x v="519"/>
    <n v="245"/>
    <n v="199"/>
    <s v="Blue"/>
    <x v="42"/>
  </r>
  <r>
    <n v="3041"/>
    <x v="2513"/>
    <x v="493"/>
    <n v="290"/>
    <n v="249"/>
    <s v="1 U"/>
    <x v="42"/>
  </r>
  <r>
    <n v="3042"/>
    <x v="2514"/>
    <x v="493"/>
    <n v="275"/>
    <n v="225"/>
    <s v="1 U"/>
    <x v="42"/>
  </r>
  <r>
    <n v="3043"/>
    <x v="2515"/>
    <x v="493"/>
    <n v="290"/>
    <n v="249"/>
    <s v="1 U"/>
    <x v="42"/>
  </r>
  <r>
    <n v="3044"/>
    <x v="2516"/>
    <x v="493"/>
    <n v="225"/>
    <n v="175"/>
    <s v="1 U"/>
    <x v="42"/>
  </r>
  <r>
    <n v="3045"/>
    <x v="2517"/>
    <x v="493"/>
    <n v="290"/>
    <n v="249"/>
    <s v="1 U"/>
    <x v="42"/>
  </r>
  <r>
    <n v="3046"/>
    <x v="2518"/>
    <x v="493"/>
    <n v="175"/>
    <n v="149"/>
    <s v="1 U"/>
    <x v="42"/>
  </r>
  <r>
    <n v="3047"/>
    <x v="2519"/>
    <x v="493"/>
    <n v="230"/>
    <n v="199"/>
    <s v="1 U"/>
    <x v="42"/>
  </r>
  <r>
    <n v="3048"/>
    <x v="2520"/>
    <x v="493"/>
    <n v="230"/>
    <n v="199"/>
    <s v="1 U"/>
    <x v="42"/>
  </r>
  <r>
    <n v="3049"/>
    <x v="2521"/>
    <x v="493"/>
    <n v="175"/>
    <n v="149"/>
    <s v="1 U"/>
    <x v="42"/>
  </r>
  <r>
    <n v="3050"/>
    <x v="2522"/>
    <x v="493"/>
    <n v="230"/>
    <n v="199"/>
    <s v="1 U"/>
    <x v="42"/>
  </r>
  <r>
    <n v="3051"/>
    <x v="2523"/>
    <x v="493"/>
    <n v="225"/>
    <n v="175"/>
    <s v="1 U"/>
    <x v="42"/>
  </r>
  <r>
    <n v="3052"/>
    <x v="2524"/>
    <x v="493"/>
    <n v="275"/>
    <n v="225"/>
    <s v="1 U"/>
    <x v="42"/>
  </r>
  <r>
    <n v="3053"/>
    <x v="2525"/>
    <x v="493"/>
    <n v="225"/>
    <n v="175"/>
    <s v="1 U"/>
    <x v="42"/>
  </r>
  <r>
    <n v="3054"/>
    <x v="2526"/>
    <x v="493"/>
    <n v="230"/>
    <n v="199"/>
    <s v="1 U"/>
    <x v="42"/>
  </r>
  <r>
    <n v="3055"/>
    <x v="2527"/>
    <x v="493"/>
    <n v="275"/>
    <n v="225"/>
    <s v="1 U"/>
    <x v="42"/>
  </r>
  <r>
    <n v="3056"/>
    <x v="2528"/>
    <x v="493"/>
    <n v="225"/>
    <n v="87"/>
    <s v="1 U"/>
    <x v="42"/>
  </r>
  <r>
    <n v="3057"/>
    <x v="2529"/>
    <x v="493"/>
    <n v="275"/>
    <n v="225"/>
    <s v="1 U"/>
    <x v="42"/>
  </r>
  <r>
    <n v="3058"/>
    <x v="2530"/>
    <x v="493"/>
    <n v="275"/>
    <n v="112"/>
    <s v="1 U"/>
    <x v="42"/>
  </r>
  <r>
    <n v="3059"/>
    <x v="2531"/>
    <x v="493"/>
    <n v="275"/>
    <n v="112"/>
    <s v="1 U"/>
    <x v="42"/>
  </r>
  <r>
    <n v="3060"/>
    <x v="2532"/>
    <x v="535"/>
    <n v="249"/>
    <n v="179"/>
    <s v="Pack of 10"/>
    <x v="42"/>
  </r>
  <r>
    <n v="3061"/>
    <x v="2533"/>
    <x v="2"/>
    <n v="130"/>
    <n v="109"/>
    <s v="6  U"/>
    <x v="42"/>
  </r>
  <r>
    <n v="3062"/>
    <x v="2534"/>
    <x v="2"/>
    <n v="300"/>
    <n v="249"/>
    <s v="Pack of 6"/>
    <x v="43"/>
  </r>
  <r>
    <n v="3063"/>
    <x v="2535"/>
    <x v="2"/>
    <n v="149"/>
    <n v="119"/>
    <s v="6 Pcs"/>
    <x v="43"/>
  </r>
  <r>
    <n v="3064"/>
    <x v="2536"/>
    <x v="535"/>
    <n v="169"/>
    <n v="129"/>
    <s v="6 Pcs"/>
    <x v="42"/>
  </r>
  <r>
    <n v="3065"/>
    <x v="2537"/>
    <x v="536"/>
    <n v="210"/>
    <n v="169"/>
    <s v="10 U"/>
    <x v="42"/>
  </r>
  <r>
    <n v="3066"/>
    <x v="2538"/>
    <x v="536"/>
    <n v="265"/>
    <n v="225"/>
    <s v="6 U"/>
    <x v="42"/>
  </r>
  <r>
    <n v="3067"/>
    <x v="2539"/>
    <x v="537"/>
    <n v="250"/>
    <n v="189"/>
    <s v="Pack of 3"/>
    <x v="42"/>
  </r>
  <r>
    <n v="3068"/>
    <x v="2540"/>
    <x v="537"/>
    <n v="120"/>
    <n v="99"/>
    <s v="Brown"/>
    <x v="42"/>
  </r>
  <r>
    <n v="3069"/>
    <x v="2540"/>
    <x v="537"/>
    <n v="120"/>
    <n v="99"/>
    <s v="Maroon"/>
    <x v="42"/>
  </r>
  <r>
    <n v="3070"/>
    <x v="2541"/>
    <x v="537"/>
    <n v="250"/>
    <n v="99"/>
    <s v="1 Unit"/>
    <x v="42"/>
  </r>
  <r>
    <n v="3071"/>
    <x v="2542"/>
    <x v="537"/>
    <n v="125"/>
    <n v="99"/>
    <s v="1 Unit"/>
    <x v="42"/>
  </r>
  <r>
    <n v="3072"/>
    <x v="2543"/>
    <x v="537"/>
    <n v="125"/>
    <n v="99"/>
    <s v="1 Unit"/>
    <x v="42"/>
  </r>
  <r>
    <n v="3073"/>
    <x v="2544"/>
    <x v="537"/>
    <n v="210"/>
    <n v="149"/>
    <s v="Set of 3"/>
    <x v="42"/>
  </r>
  <r>
    <n v="3074"/>
    <x v="2545"/>
    <x v="2"/>
    <n v="675"/>
    <n v="349"/>
    <s v="4 x 6 Feet"/>
    <x v="42"/>
  </r>
  <r>
    <n v="3075"/>
    <x v="2545"/>
    <x v="2"/>
    <n v="825"/>
    <n v="499"/>
    <s v="6 x 6 Feet"/>
    <x v="42"/>
  </r>
  <r>
    <n v="3076"/>
    <x v="2546"/>
    <x v="537"/>
    <n v="200"/>
    <n v="149"/>
    <s v="Grey"/>
    <x v="42"/>
  </r>
  <r>
    <n v="3077"/>
    <x v="2547"/>
    <x v="537"/>
    <n v="245"/>
    <n v="199"/>
    <s v="Brown &amp; Beige"/>
    <x v="42"/>
  </r>
  <r>
    <n v="3078"/>
    <x v="2548"/>
    <x v="537"/>
    <n v="150"/>
    <n v="99"/>
    <s v="1 Unit"/>
    <x v="42"/>
  </r>
  <r>
    <n v="3079"/>
    <x v="2549"/>
    <x v="537"/>
    <n v="275"/>
    <n v="199"/>
    <s v="1 Unit"/>
    <x v="42"/>
  </r>
  <r>
    <n v="3080"/>
    <x v="2550"/>
    <x v="537"/>
    <n v="275"/>
    <n v="199"/>
    <s v="1 Unit"/>
    <x v="42"/>
  </r>
  <r>
    <n v="3081"/>
    <x v="2551"/>
    <x v="537"/>
    <n v="275"/>
    <n v="199"/>
    <s v="1 Unit"/>
    <x v="42"/>
  </r>
  <r>
    <n v="3082"/>
    <x v="2552"/>
    <x v="537"/>
    <n v="150"/>
    <n v="99"/>
    <s v="1 Unit"/>
    <x v="42"/>
  </r>
  <r>
    <n v="3083"/>
    <x v="2553"/>
    <x v="538"/>
    <n v="155"/>
    <n v="129"/>
    <s v="1 Unit"/>
    <x v="42"/>
  </r>
  <r>
    <n v="3084"/>
    <x v="2554"/>
    <x v="539"/>
    <n v="475"/>
    <n v="379"/>
    <s v="2 U"/>
    <x v="42"/>
  </r>
  <r>
    <n v="3085"/>
    <x v="2555"/>
    <x v="539"/>
    <n v="195"/>
    <n v="139"/>
    <s v="1 U"/>
    <x v="42"/>
  </r>
  <r>
    <n v="3086"/>
    <x v="2556"/>
    <x v="2"/>
    <n v="333"/>
    <n v="299"/>
    <s v="1 Unit"/>
    <x v="42"/>
  </r>
  <r>
    <n v="3087"/>
    <x v="2557"/>
    <x v="2"/>
    <n v="777"/>
    <n v="699"/>
    <s v="1 U"/>
    <x v="42"/>
  </r>
  <r>
    <n v="3088"/>
    <x v="2558"/>
    <x v="2"/>
    <n v="195"/>
    <n v="159"/>
    <s v="1 U"/>
    <x v="42"/>
  </r>
  <r>
    <n v="3089"/>
    <x v="2559"/>
    <x v="494"/>
    <n v="125"/>
    <n v="99"/>
    <s v="1 Unit"/>
    <x v="42"/>
  </r>
  <r>
    <n v="3090"/>
    <x v="2560"/>
    <x v="494"/>
    <n v="125"/>
    <n v="99"/>
    <s v="1 Unit"/>
    <x v="42"/>
  </r>
  <r>
    <n v="3091"/>
    <x v="2561"/>
    <x v="494"/>
    <n v="125"/>
    <n v="99"/>
    <s v="1 Unit"/>
    <x v="42"/>
  </r>
  <r>
    <n v="3092"/>
    <x v="2562"/>
    <x v="494"/>
    <n v="125"/>
    <n v="99"/>
    <s v="1 Unit"/>
    <x v="42"/>
  </r>
  <r>
    <n v="3093"/>
    <x v="2563"/>
    <x v="494"/>
    <n v="125"/>
    <n v="99"/>
    <s v="1 Unit"/>
    <x v="42"/>
  </r>
  <r>
    <n v="3094"/>
    <x v="2564"/>
    <x v="2"/>
    <n v="195"/>
    <n v="159"/>
    <s v="1 U"/>
    <x v="42"/>
  </r>
  <r>
    <n v="3095"/>
    <x v="2565"/>
    <x v="494"/>
    <n v="150"/>
    <n v="99"/>
    <s v="1 Unit"/>
    <x v="42"/>
  </r>
  <r>
    <n v="3096"/>
    <x v="2566"/>
    <x v="494"/>
    <n v="150"/>
    <n v="99"/>
    <s v="1 Unit"/>
    <x v="42"/>
  </r>
  <r>
    <n v="3097"/>
    <x v="2567"/>
    <x v="494"/>
    <n v="150"/>
    <n v="99"/>
    <s v="1 Unit"/>
    <x v="42"/>
  </r>
  <r>
    <n v="3098"/>
    <x v="2568"/>
    <x v="494"/>
    <n v="125"/>
    <n v="49"/>
    <s v="1 Unit"/>
    <x v="42"/>
  </r>
  <r>
    <n v="3099"/>
    <x v="2569"/>
    <x v="494"/>
    <n v="150"/>
    <n v="49"/>
    <s v="1 Unit"/>
    <x v="42"/>
  </r>
  <r>
    <n v="3100"/>
    <x v="2570"/>
    <x v="494"/>
    <n v="150"/>
    <n v="49"/>
    <s v="1 Unit"/>
    <x v="42"/>
  </r>
  <r>
    <n v="3101"/>
    <x v="2571"/>
    <x v="496"/>
    <n v="99"/>
    <n v="89"/>
    <s v="1 U"/>
    <x v="42"/>
  </r>
  <r>
    <n v="3102"/>
    <x v="2572"/>
    <x v="496"/>
    <n v="99"/>
    <n v="89"/>
    <s v="1 U"/>
    <x v="42"/>
  </r>
  <r>
    <n v="3103"/>
    <x v="2573"/>
    <x v="496"/>
    <n v="99"/>
    <n v="89"/>
    <s v="1 U"/>
    <x v="42"/>
  </r>
  <r>
    <n v="3104"/>
    <x v="2574"/>
    <x v="496"/>
    <n v="99"/>
    <n v="89"/>
    <s v="1 U"/>
    <x v="42"/>
  </r>
  <r>
    <n v="3105"/>
    <x v="2575"/>
    <x v="496"/>
    <n v="99"/>
    <n v="89"/>
    <s v="1 U"/>
    <x v="42"/>
  </r>
  <r>
    <n v="3106"/>
    <x v="2576"/>
    <x v="496"/>
    <n v="99"/>
    <n v="89"/>
    <s v="1 U"/>
    <x v="42"/>
  </r>
  <r>
    <n v="3107"/>
    <x v="2577"/>
    <x v="496"/>
    <n v="99"/>
    <n v="89"/>
    <s v="1 U"/>
    <x v="42"/>
  </r>
  <r>
    <n v="3108"/>
    <x v="2578"/>
    <x v="2"/>
    <n v="400"/>
    <n v="299"/>
    <s v="Pack of 2"/>
    <x v="42"/>
  </r>
  <r>
    <n v="3109"/>
    <x v="2579"/>
    <x v="2"/>
    <n v="400"/>
    <n v="299"/>
    <s v="Pack of 2"/>
    <x v="42"/>
  </r>
  <r>
    <n v="3110"/>
    <x v="2580"/>
    <x v="2"/>
    <n v="400"/>
    <n v="299"/>
    <s v="Pack of 2"/>
    <x v="42"/>
  </r>
  <r>
    <n v="3111"/>
    <x v="2581"/>
    <x v="2"/>
    <n v="400"/>
    <n v="299"/>
    <s v="Pack of 2"/>
    <x v="42"/>
  </r>
  <r>
    <n v="3112"/>
    <x v="2582"/>
    <x v="2"/>
    <n v="400"/>
    <n v="299"/>
    <s v="Pack of 2"/>
    <x v="42"/>
  </r>
  <r>
    <n v="3113"/>
    <x v="2583"/>
    <x v="2"/>
    <n v="400"/>
    <n v="299"/>
    <s v="Pack of 2"/>
    <x v="42"/>
  </r>
  <r>
    <n v="3114"/>
    <x v="2584"/>
    <x v="540"/>
    <n v="400"/>
    <n v="349"/>
    <s v="Purple"/>
    <x v="42"/>
  </r>
  <r>
    <n v="3115"/>
    <x v="2584"/>
    <x v="540"/>
    <n v="400"/>
    <n v="299"/>
    <s v="Blue"/>
    <x v="42"/>
  </r>
  <r>
    <n v="3116"/>
    <x v="2585"/>
    <x v="540"/>
    <n v="285"/>
    <n v="219"/>
    <s v="Maroon"/>
    <x v="42"/>
  </r>
  <r>
    <n v="3117"/>
    <x v="2585"/>
    <x v="540"/>
    <n v="285"/>
    <n v="219"/>
    <s v="Indigo"/>
    <x v="42"/>
  </r>
  <r>
    <n v="3118"/>
    <x v="2585"/>
    <x v="540"/>
    <n v="285"/>
    <n v="219"/>
    <s v="Steel"/>
    <x v="42"/>
  </r>
  <r>
    <n v="3119"/>
    <x v="2586"/>
    <x v="540"/>
    <n v="200"/>
    <n v="149"/>
    <s v="Indigo"/>
    <x v="42"/>
  </r>
  <r>
    <n v="3120"/>
    <x v="2586"/>
    <x v="540"/>
    <n v="200"/>
    <n v="149"/>
    <s v="Coral"/>
    <x v="42"/>
  </r>
  <r>
    <n v="3121"/>
    <x v="2586"/>
    <x v="540"/>
    <n v="200"/>
    <n v="119"/>
    <s v="Steel"/>
    <x v="42"/>
  </r>
  <r>
    <n v="3122"/>
    <x v="2586"/>
    <x v="540"/>
    <n v="200"/>
    <n v="119"/>
    <s v="Maroon"/>
    <x v="42"/>
  </r>
  <r>
    <n v="3123"/>
    <x v="2587"/>
    <x v="541"/>
    <n v="465"/>
    <n v="399"/>
    <s v="75x150 cm"/>
    <x v="42"/>
  </r>
  <r>
    <n v="3124"/>
    <x v="2588"/>
    <x v="533"/>
    <n v="599"/>
    <n v="149"/>
    <s v="Ruby Red"/>
    <x v="31"/>
  </r>
  <r>
    <n v="3125"/>
    <x v="2589"/>
    <x v="541"/>
    <n v="115"/>
    <n v="99"/>
    <s v="40x60 cm"/>
    <x v="42"/>
  </r>
  <r>
    <n v="3126"/>
    <x v="2590"/>
    <x v="541"/>
    <n v="115"/>
    <n v="99"/>
    <s v="40x60 cm"/>
    <x v="42"/>
  </r>
  <r>
    <n v="3127"/>
    <x v="2591"/>
    <x v="541"/>
    <n v="465"/>
    <n v="399"/>
    <s v="75x150 cm"/>
    <x v="42"/>
  </r>
  <r>
    <n v="3128"/>
    <x v="2592"/>
    <x v="541"/>
    <n v="465"/>
    <n v="399"/>
    <s v="75x150 cm"/>
    <x v="42"/>
  </r>
  <r>
    <n v="3129"/>
    <x v="2593"/>
    <x v="541"/>
    <n v="465"/>
    <n v="399"/>
    <s v="75x150 cm"/>
    <x v="42"/>
  </r>
  <r>
    <n v="3130"/>
    <x v="2594"/>
    <x v="541"/>
    <n v="115"/>
    <n v="99"/>
    <s v="40x60 cm"/>
    <x v="42"/>
  </r>
  <r>
    <n v="3131"/>
    <x v="2595"/>
    <x v="541"/>
    <n v="115"/>
    <n v="99"/>
    <s v="40x60 cm"/>
    <x v="42"/>
  </r>
  <r>
    <n v="3132"/>
    <x v="2596"/>
    <x v="541"/>
    <n v="115"/>
    <n v="99"/>
    <s v="40x60 cm"/>
    <x v="42"/>
  </r>
  <r>
    <n v="3133"/>
    <x v="2597"/>
    <x v="541"/>
    <n v="465"/>
    <n v="399"/>
    <s v="75x150 cm"/>
    <x v="42"/>
  </r>
  <r>
    <n v="3134"/>
    <x v="2598"/>
    <x v="533"/>
    <n v="399"/>
    <n v="149"/>
    <s v="Set of 2"/>
    <x v="42"/>
  </r>
  <r>
    <n v="3135"/>
    <x v="2598"/>
    <x v="533"/>
    <n v="399"/>
    <n v="149"/>
    <s v="Set of 2"/>
    <x v="42"/>
  </r>
  <r>
    <n v="3136"/>
    <x v="2598"/>
    <x v="533"/>
    <n v="399"/>
    <n v="149"/>
    <s v="Set of 2"/>
    <x v="42"/>
  </r>
  <r>
    <n v="3137"/>
    <x v="2598"/>
    <x v="533"/>
    <n v="399"/>
    <n v="149"/>
    <s v="Set of 2"/>
    <x v="42"/>
  </r>
  <r>
    <n v="3138"/>
    <x v="2598"/>
    <x v="533"/>
    <n v="399"/>
    <n v="149"/>
    <s v="Set of 2"/>
    <x v="42"/>
  </r>
  <r>
    <n v="3139"/>
    <x v="2599"/>
    <x v="2"/>
    <n v="75"/>
    <n v="59"/>
    <s v="Pack of 50"/>
    <x v="44"/>
  </r>
  <r>
    <n v="3140"/>
    <x v="2599"/>
    <x v="2"/>
    <n v="115"/>
    <n v="90"/>
    <s v="Pack of 50"/>
    <x v="44"/>
  </r>
  <r>
    <n v="3141"/>
    <x v="2599"/>
    <x v="2"/>
    <n v="99"/>
    <n v="79"/>
    <s v="Pack of 50"/>
    <x v="44"/>
  </r>
  <r>
    <n v="3142"/>
    <x v="2600"/>
    <x v="2"/>
    <n v="139"/>
    <n v="109"/>
    <s v="Pack of 50"/>
    <x v="44"/>
  </r>
  <r>
    <n v="3143"/>
    <x v="2600"/>
    <x v="2"/>
    <n v="90"/>
    <n v="69"/>
    <s v="Pack of 50"/>
    <x v="44"/>
  </r>
  <r>
    <n v="3144"/>
    <x v="2600"/>
    <x v="2"/>
    <n v="115"/>
    <n v="89"/>
    <s v="Pack of 50"/>
    <x v="44"/>
  </r>
  <r>
    <n v="3145"/>
    <x v="2601"/>
    <x v="2"/>
    <n v="69"/>
    <n v="59"/>
    <s v="Pack of 30"/>
    <x v="44"/>
  </r>
  <r>
    <n v="3146"/>
    <x v="2602"/>
    <x v="2"/>
    <n v="75"/>
    <n v="59"/>
    <s v="Pack of 15"/>
    <x v="44"/>
  </r>
  <r>
    <n v="3147"/>
    <x v="2602"/>
    <x v="2"/>
    <n v="145"/>
    <n v="109"/>
    <s v="Pack of 15"/>
    <x v="44"/>
  </r>
  <r>
    <n v="3148"/>
    <x v="2602"/>
    <x v="2"/>
    <n v="145"/>
    <n v="109"/>
    <s v="Pack of 15"/>
    <x v="44"/>
  </r>
  <r>
    <n v="3149"/>
    <x v="2602"/>
    <x v="2"/>
    <n v="140"/>
    <n v="109"/>
    <s v="Pack of 10"/>
    <x v="44"/>
  </r>
  <r>
    <n v="3150"/>
    <x v="2603"/>
    <x v="2"/>
    <n v="65"/>
    <n v="49"/>
    <s v="450 ml"/>
    <x v="44"/>
  </r>
  <r>
    <n v="3151"/>
    <x v="2603"/>
    <x v="2"/>
    <n v="89"/>
    <n v="75"/>
    <s v="750 ml"/>
    <x v="44"/>
  </r>
  <r>
    <n v="3152"/>
    <x v="2604"/>
    <x v="2"/>
    <n v="55"/>
    <n v="45"/>
    <s v="Pack of 50"/>
    <x v="44"/>
  </r>
  <r>
    <n v="3153"/>
    <x v="2605"/>
    <x v="2"/>
    <n v="45"/>
    <n v="35"/>
    <s v="Pack of 50"/>
    <x v="44"/>
  </r>
  <r>
    <n v="3154"/>
    <x v="2606"/>
    <x v="2"/>
    <n v="75"/>
    <n v="59"/>
    <s v="Pack of 25"/>
    <x v="44"/>
  </r>
  <r>
    <n v="3155"/>
    <x v="2607"/>
    <x v="2"/>
    <n v="69"/>
    <n v="59"/>
    <s v="Pack of 30"/>
    <x v="44"/>
  </r>
  <r>
    <n v="3156"/>
    <x v="2608"/>
    <x v="2"/>
    <n v="140"/>
    <n v="109"/>
    <s v="Pack of 15"/>
    <x v="44"/>
  </r>
  <r>
    <n v="3157"/>
    <x v="2609"/>
    <x v="542"/>
    <n v="4851"/>
    <n v="1999"/>
    <s v="5.5 Litres"/>
    <x v="45"/>
  </r>
  <r>
    <n v="3158"/>
    <x v="2609"/>
    <x v="542"/>
    <n v="3646"/>
    <n v="1599"/>
    <s v="3 Litres"/>
    <x v="45"/>
  </r>
  <r>
    <n v="3159"/>
    <x v="2610"/>
    <x v="520"/>
    <n v="3445"/>
    <n v="1859"/>
    <s v="3 Litres"/>
    <x v="46"/>
  </r>
  <r>
    <n v="3160"/>
    <x v="2611"/>
    <x v="520"/>
    <n v="2195"/>
    <n v="1249"/>
    <s v="3 Litres"/>
    <x v="46"/>
  </r>
  <r>
    <n v="3161"/>
    <x v="2611"/>
    <x v="520"/>
    <n v="2995"/>
    <n v="1499"/>
    <s v="5 Litres"/>
    <x v="46"/>
  </r>
  <r>
    <n v="3162"/>
    <x v="2612"/>
    <x v="525"/>
    <n v="2830"/>
    <n v="2136"/>
    <s v="3 Litres"/>
    <x v="46"/>
  </r>
  <r>
    <n v="3163"/>
    <x v="2613"/>
    <x v="543"/>
    <n v="1800"/>
    <n v="1449"/>
    <s v="3 Units"/>
    <x v="46"/>
  </r>
  <r>
    <n v="3164"/>
    <x v="2613"/>
    <x v="543"/>
    <n v="1150"/>
    <n v="899"/>
    <s v="3 Litres + 2 Litres"/>
    <x v="46"/>
  </r>
  <r>
    <n v="3165"/>
    <x v="2614"/>
    <x v="525"/>
    <n v="3500"/>
    <n v="2800"/>
    <s v="5 Litres"/>
    <x v="46"/>
  </r>
  <r>
    <n v="3166"/>
    <x v="2615"/>
    <x v="525"/>
    <n v="2640"/>
    <n v="2112"/>
    <s v="3 Litres"/>
    <x v="46"/>
  </r>
  <r>
    <n v="3167"/>
    <x v="2616"/>
    <x v="525"/>
    <n v="2100"/>
    <n v="1672"/>
    <s v="5 Litres"/>
    <x v="46"/>
  </r>
  <r>
    <n v="3168"/>
    <x v="2616"/>
    <x v="525"/>
    <n v="1640"/>
    <n v="1230"/>
    <s v="3 Litres"/>
    <x v="46"/>
  </r>
  <r>
    <n v="3169"/>
    <x v="2617"/>
    <x v="520"/>
    <n v="2495"/>
    <n v="1199"/>
    <s v="7.5 Litres"/>
    <x v="46"/>
  </r>
  <r>
    <n v="3170"/>
    <x v="2618"/>
    <x v="525"/>
    <n v="1380"/>
    <n v="1035"/>
    <s v="2 Litres"/>
    <x v="46"/>
  </r>
  <r>
    <n v="3171"/>
    <x v="2619"/>
    <x v="544"/>
    <n v="1950"/>
    <n v="1755"/>
    <s v="2 Litres"/>
    <x v="46"/>
  </r>
  <r>
    <n v="3172"/>
    <x v="2620"/>
    <x v="544"/>
    <n v="1175"/>
    <n v="1057"/>
    <s v="1.5 Litres"/>
    <x v="46"/>
  </r>
  <r>
    <n v="3173"/>
    <x v="2620"/>
    <x v="544"/>
    <n v="1275"/>
    <n v="1147"/>
    <s v="2 Litres"/>
    <x v="46"/>
  </r>
  <r>
    <n v="3174"/>
    <x v="2620"/>
    <x v="544"/>
    <n v="1575"/>
    <n v="1417"/>
    <s v="3 Litres"/>
    <x v="46"/>
  </r>
  <r>
    <n v="3175"/>
    <x v="2620"/>
    <x v="544"/>
    <n v="1615"/>
    <n v="1453"/>
    <s v="4 Litres"/>
    <x v="46"/>
  </r>
  <r>
    <n v="3176"/>
    <x v="2620"/>
    <x v="544"/>
    <n v="1950"/>
    <n v="1755"/>
    <s v="5 Litres"/>
    <x v="46"/>
  </r>
  <r>
    <n v="3177"/>
    <x v="2621"/>
    <x v="525"/>
    <n v="2800"/>
    <n v="2400"/>
    <s v="5 Litres"/>
    <x v="46"/>
  </r>
  <r>
    <n v="3178"/>
    <x v="2622"/>
    <x v="544"/>
    <n v="2225"/>
    <n v="2002"/>
    <s v="3 Litres"/>
    <x v="46"/>
  </r>
  <r>
    <n v="3179"/>
    <x v="2623"/>
    <x v="525"/>
    <n v="2130"/>
    <n v="1704"/>
    <s v="5 Litres"/>
    <x v="46"/>
  </r>
  <r>
    <n v="3180"/>
    <x v="2624"/>
    <x v="520"/>
    <n v="995"/>
    <n v="449"/>
    <s v="1 U"/>
    <x v="31"/>
  </r>
  <r>
    <n v="3181"/>
    <x v="2625"/>
    <x v="545"/>
    <n v="900"/>
    <n v="499"/>
    <s v="1 Unit"/>
    <x v="47"/>
  </r>
  <r>
    <n v="3182"/>
    <x v="2626"/>
    <x v="522"/>
    <n v="785"/>
    <n v="499"/>
    <s v="1 U"/>
    <x v="46"/>
  </r>
  <r>
    <n v="3183"/>
    <x v="2627"/>
    <x v="2"/>
    <n v="449"/>
    <n v="229"/>
    <s v="2 Pcs"/>
    <x v="46"/>
  </r>
  <r>
    <n v="3184"/>
    <x v="2628"/>
    <x v="525"/>
    <n v="1390"/>
    <n v="1112"/>
    <s v="1 Unit"/>
    <x v="46"/>
  </r>
  <r>
    <n v="3185"/>
    <x v="2629"/>
    <x v="522"/>
    <n v="815"/>
    <n v="469"/>
    <s v="1 U"/>
    <x v="46"/>
  </r>
  <r>
    <n v="3186"/>
    <x v="2630"/>
    <x v="2"/>
    <n v="850"/>
    <n v="279"/>
    <s v="Set of 2"/>
    <x v="46"/>
  </r>
  <r>
    <n v="3187"/>
    <x v="2631"/>
    <x v="2"/>
    <n v="4000"/>
    <n v="1499"/>
    <s v="4 pcs"/>
    <x v="46"/>
  </r>
  <r>
    <n v="3188"/>
    <x v="2632"/>
    <x v="546"/>
    <n v="575"/>
    <n v="449"/>
    <s v="2 U"/>
    <x v="48"/>
  </r>
  <r>
    <n v="3189"/>
    <x v="2633"/>
    <x v="525"/>
    <n v="1210"/>
    <n v="968"/>
    <s v="1 U"/>
    <x v="46"/>
  </r>
  <r>
    <n v="3190"/>
    <x v="2634"/>
    <x v="2"/>
    <n v="1810"/>
    <n v="1099"/>
    <s v="1 U"/>
    <x v="46"/>
  </r>
  <r>
    <n v="3191"/>
    <x v="2635"/>
    <x v="523"/>
    <n v="1500"/>
    <n v="799"/>
    <s v="1 U"/>
    <x v="46"/>
  </r>
  <r>
    <n v="3192"/>
    <x v="2636"/>
    <x v="525"/>
    <n v="1180"/>
    <n v="944"/>
    <s v="1 U"/>
    <x v="46"/>
  </r>
  <r>
    <n v="3193"/>
    <x v="2637"/>
    <x v="523"/>
    <n v="2000"/>
    <n v="999"/>
    <s v="1 Unit"/>
    <x v="46"/>
  </r>
  <r>
    <n v="3194"/>
    <x v="2638"/>
    <x v="523"/>
    <n v="1800"/>
    <n v="1199"/>
    <s v="1 U"/>
    <x v="46"/>
  </r>
  <r>
    <n v="3195"/>
    <x v="2639"/>
    <x v="547"/>
    <n v="420"/>
    <n v="349"/>
    <s v="1 U"/>
    <x v="46"/>
  </r>
  <r>
    <n v="3196"/>
    <x v="2640"/>
    <x v="2"/>
    <n v="1900"/>
    <n v="799"/>
    <s v="2 Pcs"/>
    <x v="46"/>
  </r>
  <r>
    <n v="3197"/>
    <x v="2641"/>
    <x v="523"/>
    <n v="1400"/>
    <n v="449"/>
    <s v="1 Unit"/>
    <x v="46"/>
  </r>
  <r>
    <n v="3198"/>
    <x v="2642"/>
    <x v="548"/>
    <n v="1215"/>
    <n v="749"/>
    <s v="Set of 3"/>
    <x v="46"/>
  </r>
  <r>
    <n v="3199"/>
    <x v="2643"/>
    <x v="549"/>
    <n v="250"/>
    <n v="199"/>
    <s v="3 Containers"/>
    <x v="46"/>
  </r>
  <r>
    <n v="3200"/>
    <x v="2644"/>
    <x v="550"/>
    <n v="2490"/>
    <n v="1990"/>
    <s v="1 U"/>
    <x v="46"/>
  </r>
  <r>
    <n v="3201"/>
    <x v="2645"/>
    <x v="550"/>
    <n v="3190"/>
    <n v="2590"/>
    <s v="1 U"/>
    <x v="46"/>
  </r>
  <r>
    <n v="3202"/>
    <x v="2646"/>
    <x v="551"/>
    <n v="1199"/>
    <n v="999"/>
    <s v="1 Litre"/>
    <x v="46"/>
  </r>
  <r>
    <n v="3203"/>
    <x v="2647"/>
    <x v="552"/>
    <n v="193"/>
    <n v="129"/>
    <s v="1 Litre"/>
    <x v="46"/>
  </r>
  <r>
    <n v="3204"/>
    <x v="2648"/>
    <x v="552"/>
    <n v="206"/>
    <n v="149"/>
    <s v="1 Litre"/>
    <x v="46"/>
  </r>
  <r>
    <n v="3205"/>
    <x v="2649"/>
    <x v="2"/>
    <n v="400"/>
    <n v="229"/>
    <s v="Set of 6"/>
    <x v="46"/>
  </r>
  <r>
    <n v="3206"/>
    <x v="2650"/>
    <x v="528"/>
    <n v="460"/>
    <n v="249"/>
    <s v="1 Litre"/>
    <x v="46"/>
  </r>
  <r>
    <n v="3207"/>
    <x v="2651"/>
    <x v="553"/>
    <n v="50"/>
    <n v="39"/>
    <s v="1 L"/>
    <x v="46"/>
  </r>
  <r>
    <n v="3208"/>
    <x v="2652"/>
    <x v="554"/>
    <n v="119"/>
    <n v="59"/>
    <s v="1 L"/>
    <x v="46"/>
  </r>
  <r>
    <n v="3209"/>
    <x v="2653"/>
    <x v="528"/>
    <n v="460"/>
    <n v="249"/>
    <s v="1 Litre"/>
    <x v="46"/>
  </r>
  <r>
    <n v="3210"/>
    <x v="2654"/>
    <x v="2"/>
    <n v="250"/>
    <n v="99"/>
    <s v="1 U"/>
    <x v="46"/>
  </r>
  <r>
    <n v="3211"/>
    <x v="2655"/>
    <x v="2"/>
    <n v="140"/>
    <n v="79"/>
    <s v="1 L"/>
    <x v="46"/>
  </r>
  <r>
    <n v="3212"/>
    <x v="2656"/>
    <x v="552"/>
    <n v="139"/>
    <n v="79"/>
    <s v="1 L"/>
    <x v="46"/>
  </r>
  <r>
    <n v="3213"/>
    <x v="2657"/>
    <x v="517"/>
    <n v="560"/>
    <n v="249"/>
    <s v="Set of 2"/>
    <x v="46"/>
  </r>
  <r>
    <n v="3214"/>
    <x v="2658"/>
    <x v="2"/>
    <n v="60"/>
    <n v="49"/>
    <s v="1 L"/>
    <x v="46"/>
  </r>
  <r>
    <n v="3215"/>
    <x v="2659"/>
    <x v="555"/>
    <n v="180"/>
    <n v="99"/>
    <s v="1 L"/>
    <x v="46"/>
  </r>
  <r>
    <n v="3216"/>
    <x v="2660"/>
    <x v="555"/>
    <n v="199"/>
    <n v="99"/>
    <s v="1 L"/>
    <x v="46"/>
  </r>
  <r>
    <n v="3217"/>
    <x v="2661"/>
    <x v="2"/>
    <n v="60"/>
    <n v="49"/>
    <s v="1 L"/>
    <x v="46"/>
  </r>
  <r>
    <n v="3218"/>
    <x v="2662"/>
    <x v="552"/>
    <n v="129"/>
    <n v="99"/>
    <s v="1 L"/>
    <x v="46"/>
  </r>
  <r>
    <n v="3219"/>
    <x v="2663"/>
    <x v="2"/>
    <n v="60"/>
    <n v="49"/>
    <s v="1 L"/>
    <x v="46"/>
  </r>
  <r>
    <n v="3220"/>
    <x v="2664"/>
    <x v="476"/>
    <n v="110"/>
    <n v="79"/>
    <s v="1 U"/>
    <x v="46"/>
  </r>
  <r>
    <n v="3221"/>
    <x v="2665"/>
    <x v="476"/>
    <n v="110"/>
    <n v="79"/>
    <s v="1 U"/>
    <x v="46"/>
  </r>
  <r>
    <n v="3222"/>
    <x v="2666"/>
    <x v="555"/>
    <n v="1205"/>
    <n v="964"/>
    <s v="1 Litre"/>
    <x v="46"/>
  </r>
  <r>
    <n v="3223"/>
    <x v="2666"/>
    <x v="555"/>
    <n v="810"/>
    <n v="648"/>
    <s v="500 ml"/>
    <x v="46"/>
  </r>
  <r>
    <n v="3224"/>
    <x v="2667"/>
    <x v="527"/>
    <n v="715"/>
    <n v="349"/>
    <s v="6 Pcs"/>
    <x v="46"/>
  </r>
  <r>
    <n v="3225"/>
    <x v="2668"/>
    <x v="556"/>
    <n v="697"/>
    <n v="249"/>
    <s v="1 Unit"/>
    <x v="46"/>
  </r>
  <r>
    <n v="3226"/>
    <x v="2669"/>
    <x v="2"/>
    <n v="469"/>
    <n v="299"/>
    <s v=" 6 Pcs"/>
    <x v="46"/>
  </r>
  <r>
    <n v="3227"/>
    <x v="2670"/>
    <x v="527"/>
    <n v="500"/>
    <n v="259"/>
    <s v="12 Pcs"/>
    <x v="46"/>
  </r>
  <r>
    <n v="3228"/>
    <x v="2671"/>
    <x v="2"/>
    <n v="535"/>
    <n v="249"/>
    <s v="2 Pcs"/>
    <x v="46"/>
  </r>
  <r>
    <n v="3229"/>
    <x v="2672"/>
    <x v="557"/>
    <n v="525"/>
    <n v="349"/>
    <s v="7 Pcs"/>
    <x v="46"/>
  </r>
  <r>
    <n v="3230"/>
    <x v="2673"/>
    <x v="2"/>
    <n v="830"/>
    <n v="399"/>
    <s v="3 L"/>
    <x v="46"/>
  </r>
  <r>
    <n v="3231"/>
    <x v="2674"/>
    <x v="527"/>
    <n v="375"/>
    <n v="225"/>
    <s v="6 Pcs"/>
    <x v="46"/>
  </r>
  <r>
    <n v="3232"/>
    <x v="2675"/>
    <x v="2"/>
    <n v="675"/>
    <n v="349"/>
    <s v="2 Unit"/>
    <x v="46"/>
  </r>
  <r>
    <n v="3233"/>
    <x v="2676"/>
    <x v="527"/>
    <n v="485"/>
    <n v="269"/>
    <s v="5 Pcs"/>
    <x v="46"/>
  </r>
  <r>
    <n v="3234"/>
    <x v="2677"/>
    <x v="2"/>
    <n v="649"/>
    <n v="229"/>
    <s v="2.5 L"/>
    <x v="46"/>
  </r>
  <r>
    <n v="3235"/>
    <x v="2678"/>
    <x v="524"/>
    <n v="225"/>
    <n v="125"/>
    <s v="1 Unit"/>
    <x v="46"/>
  </r>
  <r>
    <n v="3236"/>
    <x v="2679"/>
    <x v="2"/>
    <n v="509"/>
    <n v="249"/>
    <s v="1.6 L"/>
    <x v="46"/>
  </r>
  <r>
    <n v="3237"/>
    <x v="2679"/>
    <x v="2"/>
    <n v="746"/>
    <n v="399"/>
    <s v="2.5 L"/>
    <x v="46"/>
  </r>
  <r>
    <n v="3238"/>
    <x v="2680"/>
    <x v="547"/>
    <n v="549"/>
    <n v="399"/>
    <s v="2.2 L"/>
    <x v="46"/>
  </r>
  <r>
    <n v="3239"/>
    <x v="2681"/>
    <x v="2"/>
    <n v="80"/>
    <n v="69"/>
    <s v="3 Pcs"/>
    <x v="46"/>
  </r>
  <r>
    <n v="3240"/>
    <x v="2682"/>
    <x v="2"/>
    <n v="419"/>
    <n v="269"/>
    <s v="Set of 20"/>
    <x v="46"/>
  </r>
  <r>
    <n v="3241"/>
    <x v="2683"/>
    <x v="522"/>
    <n v="188"/>
    <n v="129"/>
    <s v="Set of 6"/>
    <x v="46"/>
  </r>
  <r>
    <n v="3242"/>
    <x v="2684"/>
    <x v="527"/>
    <n v="169"/>
    <n v="99"/>
    <s v="1 Unit"/>
    <x v="46"/>
  </r>
  <r>
    <n v="3243"/>
    <x v="2685"/>
    <x v="522"/>
    <n v="156"/>
    <n v="119"/>
    <s v="Set of 6"/>
    <x v="46"/>
  </r>
  <r>
    <n v="3244"/>
    <x v="2686"/>
    <x v="520"/>
    <n v="2895"/>
    <n v="1359"/>
    <s v="7 pcs"/>
    <x v="47"/>
  </r>
  <r>
    <n v="3245"/>
    <x v="2687"/>
    <x v="528"/>
    <n v="2195"/>
    <n v="899"/>
    <s v="3 Pcs"/>
    <x v="31"/>
  </r>
  <r>
    <n v="3246"/>
    <x v="2688"/>
    <x v="523"/>
    <n v="4200"/>
    <n v="1999"/>
    <s v="4 pcs"/>
    <x v="47"/>
  </r>
  <r>
    <n v="3247"/>
    <x v="2689"/>
    <x v="546"/>
    <n v="840"/>
    <n v="699"/>
    <s v="3 Pcs"/>
    <x v="46"/>
  </r>
  <r>
    <n v="3248"/>
    <x v="2690"/>
    <x v="2"/>
    <n v="319"/>
    <n v="149"/>
    <s v="4 pcs"/>
    <x v="46"/>
  </r>
  <r>
    <n v="3249"/>
    <x v="2691"/>
    <x v="545"/>
    <n v="1280"/>
    <n v="699"/>
    <s v="1 Unit"/>
    <x v="48"/>
  </r>
  <r>
    <n v="3250"/>
    <x v="2692"/>
    <x v="522"/>
    <n v="2995"/>
    <n v="1329"/>
    <s v="3 Pcs"/>
    <x v="31"/>
  </r>
  <r>
    <n v="3251"/>
    <x v="2693"/>
    <x v="527"/>
    <n v="600"/>
    <n v="349"/>
    <s v="1 Unit"/>
    <x v="46"/>
  </r>
  <r>
    <n v="3252"/>
    <x v="2694"/>
    <x v="558"/>
    <n v="670"/>
    <n v="549"/>
    <s v="5 Pcs"/>
    <x v="46"/>
  </r>
  <r>
    <n v="3253"/>
    <x v="2695"/>
    <x v="523"/>
    <n v="4900"/>
    <n v="2599"/>
    <s v="5 Pcs"/>
    <x v="48"/>
  </r>
  <r>
    <n v="3254"/>
    <x v="2696"/>
    <x v="559"/>
    <n v="230"/>
    <n v="99"/>
    <s v="6 Pcs"/>
    <x v="46"/>
  </r>
  <r>
    <n v="3255"/>
    <x v="2697"/>
    <x v="559"/>
    <n v="190"/>
    <n v="109"/>
    <s v="320 ml"/>
    <x v="46"/>
  </r>
  <r>
    <n v="3256"/>
    <x v="2698"/>
    <x v="560"/>
    <n v="1599"/>
    <n v="549"/>
    <s v="24 Pcs"/>
    <x v="46"/>
  </r>
  <r>
    <n v="3257"/>
    <x v="2699"/>
    <x v="2"/>
    <n v="240"/>
    <n v="159"/>
    <s v="6 Pcs"/>
    <x v="46"/>
  </r>
  <r>
    <n v="3258"/>
    <x v="2700"/>
    <x v="557"/>
    <n v="1825"/>
    <n v="1199"/>
    <s v="English Lavender"/>
    <x v="48"/>
  </r>
  <r>
    <n v="3259"/>
    <x v="2701"/>
    <x v="548"/>
    <n v="675"/>
    <n v="399"/>
    <s v="Set of 6"/>
    <x v="46"/>
  </r>
  <r>
    <n v="3260"/>
    <x v="2702"/>
    <x v="559"/>
    <n v="150"/>
    <n v="119"/>
    <s v="245 ml"/>
    <x v="46"/>
  </r>
  <r>
    <n v="3261"/>
    <x v="2703"/>
    <x v="557"/>
    <n v="1725"/>
    <n v="1099"/>
    <s v="Radiant Curve"/>
    <x v="48"/>
  </r>
  <r>
    <n v="3262"/>
    <x v="2704"/>
    <x v="557"/>
    <n v="1095"/>
    <n v="599"/>
    <s v="10 Pcs"/>
    <x v="46"/>
  </r>
  <r>
    <n v="3263"/>
    <x v="2705"/>
    <x v="557"/>
    <n v="330"/>
    <n v="249"/>
    <s v="Set of 6"/>
    <x v="48"/>
  </r>
  <r>
    <n v="3264"/>
    <x v="2706"/>
    <x v="206"/>
    <n v="545"/>
    <n v="339"/>
    <s v="Set of 6"/>
    <x v="46"/>
  </r>
  <r>
    <n v="3265"/>
    <x v="2707"/>
    <x v="557"/>
    <n v="575"/>
    <n v="399"/>
    <s v="6 Pcs"/>
    <x v="46"/>
  </r>
  <r>
    <n v="3266"/>
    <x v="2708"/>
    <x v="557"/>
    <n v="330"/>
    <n v="249"/>
    <s v="Set of 6"/>
    <x v="48"/>
  </r>
  <r>
    <n v="3267"/>
    <x v="2709"/>
    <x v="2"/>
    <n v="300"/>
    <n v="199"/>
    <s v="320 ml"/>
    <x v="46"/>
  </r>
  <r>
    <n v="3268"/>
    <x v="2710"/>
    <x v="557"/>
    <n v="410"/>
    <n v="299"/>
    <s v="Set of 6"/>
    <x v="48"/>
  </r>
  <r>
    <n v="3269"/>
    <x v="2711"/>
    <x v="2"/>
    <n v="725"/>
    <n v="499"/>
    <s v="6 Pcs"/>
    <x v="46"/>
  </r>
  <r>
    <n v="3270"/>
    <x v="2712"/>
    <x v="557"/>
    <n v="1825"/>
    <n v="1199"/>
    <s v="Blissful Green"/>
    <x v="48"/>
  </r>
  <r>
    <n v="3271"/>
    <x v="2713"/>
    <x v="557"/>
    <n v="515"/>
    <n v="399"/>
    <s v="Set of 6"/>
    <x v="48"/>
  </r>
  <r>
    <n v="3272"/>
    <x v="2714"/>
    <x v="557"/>
    <n v="725"/>
    <n v="599"/>
    <s v=" 6 Pcs"/>
    <x v="46"/>
  </r>
  <r>
    <n v="3273"/>
    <x v="2715"/>
    <x v="557"/>
    <n v="1825"/>
    <n v="1199"/>
    <s v="18 Pcs"/>
    <x v="48"/>
  </r>
  <r>
    <n v="3274"/>
    <x v="2716"/>
    <x v="559"/>
    <n v="120"/>
    <n v="69"/>
    <s v="2 Pcs"/>
    <x v="46"/>
  </r>
  <r>
    <n v="3275"/>
    <x v="2717"/>
    <x v="557"/>
    <n v="495"/>
    <n v="399"/>
    <s v="6 Pcs"/>
    <x v="46"/>
  </r>
  <r>
    <n v="3276"/>
    <x v="2718"/>
    <x v="559"/>
    <n v="440"/>
    <n v="199"/>
    <s v="Set of 7"/>
    <x v="46"/>
  </r>
  <r>
    <n v="3277"/>
    <x v="2719"/>
    <x v="559"/>
    <n v="220"/>
    <n v="139"/>
    <s v="6 Pcs"/>
    <x v="46"/>
  </r>
  <r>
    <n v="3278"/>
    <x v="2720"/>
    <x v="557"/>
    <n v="1825"/>
    <n v="1099"/>
    <s v="Trinity Green"/>
    <x v="48"/>
  </r>
  <r>
    <n v="3279"/>
    <x v="2721"/>
    <x v="561"/>
    <n v="455"/>
    <n v="339"/>
    <s v="Set of 6"/>
    <x v="46"/>
  </r>
  <r>
    <n v="3280"/>
    <x v="2722"/>
    <x v="562"/>
    <n v="475"/>
    <n v="325"/>
    <s v="1 U"/>
    <x v="46"/>
  </r>
  <r>
    <n v="3281"/>
    <x v="2723"/>
    <x v="562"/>
    <n v="475"/>
    <n v="325"/>
    <s v="1 U"/>
    <x v="46"/>
  </r>
  <r>
    <n v="3282"/>
    <x v="2724"/>
    <x v="562"/>
    <n v="475"/>
    <n v="325"/>
    <s v="1 U"/>
    <x v="46"/>
  </r>
  <r>
    <n v="3283"/>
    <x v="2725"/>
    <x v="562"/>
    <n v="240"/>
    <n v="169"/>
    <s v="1 U"/>
    <x v="46"/>
  </r>
  <r>
    <n v="3284"/>
    <x v="2726"/>
    <x v="562"/>
    <n v="240"/>
    <n v="169"/>
    <s v="1 U"/>
    <x v="46"/>
  </r>
  <r>
    <n v="3285"/>
    <x v="2727"/>
    <x v="562"/>
    <n v="240"/>
    <n v="169"/>
    <s v="1 U"/>
    <x v="46"/>
  </r>
  <r>
    <n v="3286"/>
    <x v="2728"/>
    <x v="562"/>
    <n v="1590"/>
    <n v="799"/>
    <s v="1 U"/>
    <x v="46"/>
  </r>
  <r>
    <n v="3287"/>
    <x v="2729"/>
    <x v="562"/>
    <n v="1590"/>
    <n v="799"/>
    <s v="1 U"/>
    <x v="46"/>
  </r>
  <r>
    <n v="3288"/>
    <x v="2730"/>
    <x v="562"/>
    <n v="480"/>
    <n v="329"/>
    <s v="Set of 6"/>
    <x v="46"/>
  </r>
  <r>
    <n v="3289"/>
    <x v="2731"/>
    <x v="562"/>
    <n v="480"/>
    <n v="329"/>
    <s v="Set of 6"/>
    <x v="46"/>
  </r>
  <r>
    <n v="3290"/>
    <x v="2732"/>
    <x v="563"/>
    <n v="595"/>
    <n v="249"/>
    <s v="6 Pcs"/>
    <x v="46"/>
  </r>
  <r>
    <n v="3291"/>
    <x v="2733"/>
    <x v="563"/>
    <n v="725"/>
    <n v="299"/>
    <s v="2 Pcs"/>
    <x v="46"/>
  </r>
  <r>
    <n v="3292"/>
    <x v="2734"/>
    <x v="563"/>
    <n v="575"/>
    <n v="279"/>
    <s v="3 Pcs"/>
    <x v="46"/>
  </r>
  <r>
    <n v="3293"/>
    <x v="2735"/>
    <x v="563"/>
    <n v="795"/>
    <n v="399"/>
    <s v="1 U"/>
    <x v="46"/>
  </r>
  <r>
    <n v="3294"/>
    <x v="2736"/>
    <x v="563"/>
    <n v="895"/>
    <n v="399"/>
    <s v="1 U"/>
    <x v="46"/>
  </r>
  <r>
    <n v="3295"/>
    <x v="2737"/>
    <x v="563"/>
    <n v="895"/>
    <n v="399"/>
    <s v="1 U"/>
    <x v="46"/>
  </r>
  <r>
    <n v="3296"/>
    <x v="2738"/>
    <x v="563"/>
    <n v="645"/>
    <n v="249"/>
    <s v="6 Pcs"/>
    <x v="46"/>
  </r>
  <r>
    <n v="3297"/>
    <x v="2739"/>
    <x v="563"/>
    <n v="845"/>
    <n v="349"/>
    <s v="6 Pcs"/>
    <x v="46"/>
  </r>
  <r>
    <n v="3298"/>
    <x v="2740"/>
    <x v="524"/>
    <n v="1265"/>
    <n v="449"/>
    <s v="Pack of 3"/>
    <x v="49"/>
  </r>
  <r>
    <n v="3299"/>
    <x v="2740"/>
    <x v="524"/>
    <n v="550"/>
    <n v="499"/>
    <s v="Pack of 4"/>
    <x v="49"/>
  </r>
  <r>
    <n v="3300"/>
    <x v="2741"/>
    <x v="527"/>
    <n v="225"/>
    <n v="129"/>
    <s v="2 Pcs"/>
    <x v="32"/>
  </r>
  <r>
    <n v="3301"/>
    <x v="2742"/>
    <x v="2"/>
    <n v="375"/>
    <n v="99"/>
    <s v="Set of 5"/>
    <x v="32"/>
  </r>
  <r>
    <n v="3302"/>
    <x v="2743"/>
    <x v="2"/>
    <n v="688"/>
    <n v="299"/>
    <s v="Set of 6"/>
    <x v="32"/>
  </r>
  <r>
    <n v="3303"/>
    <x v="2744"/>
    <x v="527"/>
    <n v="450"/>
    <n v="149"/>
    <s v="2 Pcs"/>
    <x v="32"/>
  </r>
  <r>
    <n v="3304"/>
    <x v="2745"/>
    <x v="515"/>
    <n v="293"/>
    <n v="129"/>
    <s v="3 U"/>
    <x v="31"/>
  </r>
  <r>
    <n v="3305"/>
    <x v="2746"/>
    <x v="515"/>
    <n v="410"/>
    <n v="175"/>
    <s v="Set of 6"/>
    <x v="31"/>
  </r>
  <r>
    <n v="3306"/>
    <x v="2747"/>
    <x v="549"/>
    <n v="720"/>
    <n v="529"/>
    <s v="Pack of 3"/>
    <x v="31"/>
  </r>
  <r>
    <n v="3307"/>
    <x v="2748"/>
    <x v="2"/>
    <n v="183"/>
    <n v="99"/>
    <s v="1.3 L"/>
    <x v="32"/>
  </r>
  <r>
    <n v="3308"/>
    <x v="2749"/>
    <x v="2"/>
    <n v="172"/>
    <n v="99"/>
    <s v="Set of 4"/>
    <x v="32"/>
  </r>
  <r>
    <n v="3309"/>
    <x v="2750"/>
    <x v="515"/>
    <n v="293"/>
    <n v="129"/>
    <s v="3 U"/>
    <x v="31"/>
  </r>
  <r>
    <n v="3310"/>
    <x v="2751"/>
    <x v="549"/>
    <n v="318"/>
    <n v="249"/>
    <s v="2 Containers"/>
    <x v="31"/>
  </r>
  <r>
    <n v="3311"/>
    <x v="2752"/>
    <x v="549"/>
    <n v="470"/>
    <n v="369"/>
    <s v="2 Pcs"/>
    <x v="31"/>
  </r>
  <r>
    <n v="3312"/>
    <x v="2753"/>
    <x v="517"/>
    <n v="355"/>
    <n v="279"/>
    <s v="870 ml"/>
    <x v="31"/>
  </r>
  <r>
    <n v="3313"/>
    <x v="2754"/>
    <x v="515"/>
    <n v="499"/>
    <n v="199"/>
    <s v="Set of 4"/>
    <x v="31"/>
  </r>
  <r>
    <n v="3314"/>
    <x v="2755"/>
    <x v="517"/>
    <n v="235"/>
    <n v="211"/>
    <s v="420 ml"/>
    <x v="31"/>
  </r>
  <r>
    <n v="3315"/>
    <x v="2756"/>
    <x v="549"/>
    <n v="345"/>
    <n v="279"/>
    <s v="1 Litre"/>
    <x v="31"/>
  </r>
  <r>
    <n v="3316"/>
    <x v="2757"/>
    <x v="515"/>
    <n v="499"/>
    <n v="199"/>
    <s v="Set of 4"/>
    <x v="31"/>
  </r>
  <r>
    <n v="3317"/>
    <x v="2758"/>
    <x v="2"/>
    <n v="172"/>
    <n v="99"/>
    <s v="4 pcs"/>
    <x v="32"/>
  </r>
  <r>
    <n v="3318"/>
    <x v="2759"/>
    <x v="517"/>
    <n v="275"/>
    <n v="249"/>
    <s v="750 ml"/>
    <x v="31"/>
  </r>
  <r>
    <n v="3319"/>
    <x v="2760"/>
    <x v="517"/>
    <n v="540"/>
    <n v="486"/>
    <s v="1.8 Litres"/>
    <x v="31"/>
  </r>
  <r>
    <n v="3320"/>
    <x v="2761"/>
    <x v="517"/>
    <n v="200"/>
    <n v="180"/>
    <s v="300 ml"/>
    <x v="31"/>
  </r>
  <r>
    <n v="3321"/>
    <x v="2762"/>
    <x v="2"/>
    <n v="1720"/>
    <n v="799"/>
    <s v="1 U"/>
    <x v="32"/>
  </r>
  <r>
    <n v="3322"/>
    <x v="2763"/>
    <x v="517"/>
    <n v="290"/>
    <n v="261"/>
    <s v="600 ml"/>
    <x v="31"/>
  </r>
  <r>
    <n v="3323"/>
    <x v="2764"/>
    <x v="549"/>
    <n v="325"/>
    <n v="249"/>
    <s v="1.1 Litre"/>
    <x v="31"/>
  </r>
  <r>
    <n v="3324"/>
    <x v="2765"/>
    <x v="2"/>
    <n v="340"/>
    <n v="129"/>
    <s v="5 U"/>
    <x v="32"/>
  </r>
  <r>
    <n v="3325"/>
    <x v="2766"/>
    <x v="549"/>
    <n v="195"/>
    <n v="159"/>
    <s v="350 ml"/>
    <x v="31"/>
  </r>
  <r>
    <n v="3326"/>
    <x v="2767"/>
    <x v="2"/>
    <n v="155"/>
    <n v="129"/>
    <s v="7 Pcs"/>
    <x v="32"/>
  </r>
  <r>
    <n v="3327"/>
    <x v="2768"/>
    <x v="2"/>
    <n v="264"/>
    <n v="99"/>
    <s v="4 pcs"/>
    <x v="32"/>
  </r>
  <r>
    <n v="3328"/>
    <x v="2769"/>
    <x v="515"/>
    <n v="111"/>
    <n v="59"/>
    <s v="500 ml"/>
    <x v="32"/>
  </r>
  <r>
    <n v="3329"/>
    <x v="2770"/>
    <x v="515"/>
    <n v="290"/>
    <n v="110"/>
    <s v="1 U"/>
    <x v="32"/>
  </r>
  <r>
    <n v="3330"/>
    <x v="2771"/>
    <x v="515"/>
    <n v="290"/>
    <n v="110"/>
    <s v="1 U"/>
    <x v="32"/>
  </r>
  <r>
    <n v="3331"/>
    <x v="2770"/>
    <x v="515"/>
    <n v="280"/>
    <n v="110"/>
    <s v="1 U"/>
    <x v="32"/>
  </r>
  <r>
    <n v="3332"/>
    <x v="2771"/>
    <x v="515"/>
    <n v="280"/>
    <n v="110"/>
    <s v="1 U"/>
    <x v="32"/>
  </r>
  <r>
    <n v="3333"/>
    <x v="2772"/>
    <x v="339"/>
    <n v="185"/>
    <n v="135"/>
    <s v="100 gm"/>
    <x v="50"/>
  </r>
  <r>
    <n v="3334"/>
    <x v="2772"/>
    <x v="339"/>
    <n v="100"/>
    <n v="75"/>
    <s v="50 gm"/>
    <x v="50"/>
  </r>
  <r>
    <n v="3335"/>
    <x v="2773"/>
    <x v="564"/>
    <n v="100"/>
    <n v="79"/>
    <s v="50 gm"/>
    <x v="50"/>
  </r>
  <r>
    <n v="3336"/>
    <x v="2773"/>
    <x v="564"/>
    <n v="195"/>
    <n v="134"/>
    <s v="100 gm"/>
    <x v="50"/>
  </r>
  <r>
    <n v="3337"/>
    <x v="2773"/>
    <x v="564"/>
    <n v="45"/>
    <n v="34"/>
    <s v="20 gm"/>
    <x v="50"/>
  </r>
  <r>
    <n v="3338"/>
    <x v="2773"/>
    <x v="564"/>
    <n v="95"/>
    <n v="69"/>
    <s v="50 gm"/>
    <x v="50"/>
  </r>
  <r>
    <n v="3339"/>
    <x v="2774"/>
    <x v="475"/>
    <n v="150"/>
    <n v="85"/>
    <s v="50 gm"/>
    <x v="50"/>
  </r>
  <r>
    <n v="3340"/>
    <x v="2774"/>
    <x v="475"/>
    <n v="280"/>
    <n v="205"/>
    <s v="100 gm"/>
    <x v="50"/>
  </r>
  <r>
    <n v="3341"/>
    <x v="2775"/>
    <x v="564"/>
    <n v="450"/>
    <n v="299"/>
    <s v="250 gm"/>
    <x v="50"/>
  </r>
  <r>
    <n v="3342"/>
    <x v="2776"/>
    <x v="565"/>
    <n v="90"/>
    <n v="80"/>
    <s v="52 U"/>
    <x v="50"/>
  </r>
  <r>
    <n v="3343"/>
    <x v="2777"/>
    <x v="566"/>
    <n v="125"/>
    <n v="95"/>
    <s v="265 gm"/>
    <x v="50"/>
  </r>
  <r>
    <n v="3344"/>
    <x v="2777"/>
    <x v="566"/>
    <n v="150"/>
    <n v="99"/>
    <s v="191 U"/>
    <x v="50"/>
  </r>
  <r>
    <n v="3345"/>
    <x v="2777"/>
    <x v="566"/>
    <n v="65"/>
    <n v="50"/>
    <s v="132 gm"/>
    <x v="50"/>
  </r>
  <r>
    <n v="3346"/>
    <x v="2778"/>
    <x v="567"/>
    <n v="65"/>
    <n v="32"/>
    <s v="108 U"/>
    <x v="31"/>
  </r>
  <r>
    <n v="3347"/>
    <x v="2779"/>
    <x v="567"/>
    <n v="70"/>
    <n v="35"/>
    <s v="108 U"/>
    <x v="31"/>
  </r>
  <r>
    <n v="3348"/>
    <x v="2780"/>
    <x v="567"/>
    <n v="65"/>
    <n v="32"/>
    <s v="108 U"/>
    <x v="31"/>
  </r>
  <r>
    <n v="3349"/>
    <x v="2781"/>
    <x v="568"/>
    <n v="72"/>
    <n v="62"/>
    <s v="10 U"/>
    <x v="50"/>
  </r>
  <r>
    <n v="3350"/>
    <x v="2782"/>
    <x v="567"/>
    <n v="65"/>
    <n v="32"/>
    <s v="108 U"/>
    <x v="31"/>
  </r>
  <r>
    <n v="3351"/>
    <x v="2783"/>
    <x v="567"/>
    <n v="70"/>
    <n v="35"/>
    <s v="106 U"/>
    <x v="50"/>
  </r>
  <r>
    <n v="3352"/>
    <x v="2784"/>
    <x v="569"/>
    <n v="125"/>
    <n v="95"/>
    <s v="36 U"/>
    <x v="50"/>
  </r>
  <r>
    <n v="3353"/>
    <x v="2785"/>
    <x v="570"/>
    <n v="110"/>
    <n v="70"/>
    <s v="250 gm"/>
    <x v="50"/>
  </r>
  <r>
    <n v="3354"/>
    <x v="2786"/>
    <x v="565"/>
    <n v="24"/>
    <n v="18"/>
    <s v="24 U"/>
    <x v="50"/>
  </r>
  <r>
    <n v="3355"/>
    <x v="2787"/>
    <x v="571"/>
    <n v="120"/>
    <n v="95"/>
    <s v="225 gm"/>
    <x v="50"/>
  </r>
  <r>
    <n v="3356"/>
    <x v="2788"/>
    <x v="572"/>
    <n v="115"/>
    <n v="57"/>
    <s v="235 gm"/>
    <x v="50"/>
  </r>
  <r>
    <n v="3357"/>
    <x v="2789"/>
    <x v="570"/>
    <n v="65"/>
    <n v="32"/>
    <s v="75 gm"/>
    <x v="50"/>
  </r>
  <r>
    <n v="3358"/>
    <x v="2790"/>
    <x v="570"/>
    <n v="115"/>
    <n v="75"/>
    <s v="235 gm"/>
    <x v="50"/>
  </r>
  <r>
    <n v="3359"/>
    <x v="2791"/>
    <x v="570"/>
    <n v="110"/>
    <n v="70"/>
    <s v="250 gm"/>
    <x v="50"/>
  </r>
  <r>
    <n v="3360"/>
    <x v="2792"/>
    <x v="573"/>
    <n v="18"/>
    <n v="15"/>
    <s v="8 U"/>
    <x v="50"/>
  </r>
  <r>
    <n v="3361"/>
    <x v="2793"/>
    <x v="572"/>
    <n v="115"/>
    <n v="57"/>
    <s v="235 gm"/>
    <x v="50"/>
  </r>
  <r>
    <n v="3362"/>
    <x v="2794"/>
    <x v="567"/>
    <n v="70"/>
    <n v="35"/>
    <s v="130 U"/>
    <x v="50"/>
  </r>
  <r>
    <n v="3363"/>
    <x v="2795"/>
    <x v="574"/>
    <n v="110"/>
    <n v="55"/>
    <s v="250 gm"/>
    <x v="50"/>
  </r>
  <r>
    <n v="3364"/>
    <x v="2796"/>
    <x v="574"/>
    <n v="110"/>
    <n v="55"/>
    <s v="250 gm"/>
    <x v="50"/>
  </r>
  <r>
    <n v="3365"/>
    <x v="2797"/>
    <x v="574"/>
    <n v="110"/>
    <n v="55"/>
    <s v="250 gm"/>
    <x v="50"/>
  </r>
  <r>
    <n v="3366"/>
    <x v="2798"/>
    <x v="570"/>
    <n v="110"/>
    <n v="75"/>
    <s v="250 gm"/>
    <x v="50"/>
  </r>
  <r>
    <n v="3367"/>
    <x v="2799"/>
    <x v="570"/>
    <n v="70"/>
    <n v="35"/>
    <s v="135 gm"/>
    <x v="50"/>
  </r>
  <r>
    <n v="3368"/>
    <x v="2800"/>
    <x v="567"/>
    <n v="70"/>
    <n v="35"/>
    <s v="130 U"/>
    <x v="50"/>
  </r>
  <r>
    <n v="3369"/>
    <x v="2801"/>
    <x v="575"/>
    <n v="65"/>
    <n v="32"/>
    <s v="150 gm"/>
    <x v="50"/>
  </r>
  <r>
    <n v="3370"/>
    <x v="2802"/>
    <x v="574"/>
    <n v="110"/>
    <n v="55"/>
    <s v="250 gm"/>
    <x v="50"/>
  </r>
  <r>
    <n v="3371"/>
    <x v="2803"/>
    <x v="576"/>
    <n v="70"/>
    <n v="35"/>
    <s v="140 gm"/>
    <x v="50"/>
  </r>
  <r>
    <n v="3372"/>
    <x v="2804"/>
    <x v="457"/>
    <n v="210"/>
    <n v="149"/>
    <s v="900 ml"/>
    <x v="50"/>
  </r>
  <r>
    <n v="3373"/>
    <x v="2805"/>
    <x v="577"/>
    <n v="245"/>
    <n v="190"/>
    <s v="1 L"/>
    <x v="50"/>
  </r>
  <r>
    <n v="3374"/>
    <x v="2806"/>
    <x v="578"/>
    <n v="210"/>
    <n v="180"/>
    <s v="900 ml"/>
    <x v="50"/>
  </r>
  <r>
    <n v="3375"/>
    <x v="2807"/>
    <x v="565"/>
    <n v="250"/>
    <n v="179"/>
    <s v="1 L"/>
    <x v="50"/>
  </r>
  <r>
    <n v="3376"/>
    <x v="2808"/>
    <x v="579"/>
    <n v="245"/>
    <n v="175"/>
    <s v="1 L"/>
    <x v="50"/>
  </r>
  <r>
    <n v="3377"/>
    <x v="2809"/>
    <x v="580"/>
    <n v="10"/>
    <n v="8"/>
    <s v="1 U"/>
    <x v="50"/>
  </r>
  <r>
    <n v="3378"/>
    <x v="2810"/>
    <x v="581"/>
    <n v="30"/>
    <n v="25"/>
    <s v="20 U"/>
    <x v="50"/>
  </r>
  <r>
    <n v="3379"/>
    <x v="2811"/>
    <x v="582"/>
    <n v="10"/>
    <n v="9"/>
    <s v="1 U"/>
    <x v="50"/>
  </r>
  <r>
    <n v="3380"/>
    <x v="2812"/>
    <x v="583"/>
    <n v="90"/>
    <n v="70"/>
    <s v="25 U"/>
    <x v="50"/>
  </r>
  <r>
    <n v="3381"/>
    <x v="2813"/>
    <x v="584"/>
    <n v="65"/>
    <n v="32"/>
    <s v="150 gm"/>
    <x v="50"/>
  </r>
  <r>
    <n v="3382"/>
    <x v="2814"/>
    <x v="585"/>
    <n v="39"/>
    <n v="28"/>
    <s v="30 gm"/>
    <x v="50"/>
  </r>
  <r>
    <n v="3383"/>
    <x v="2815"/>
    <x v="583"/>
    <n v="56"/>
    <n v="41"/>
    <s v="25 U"/>
    <x v="50"/>
  </r>
  <r>
    <n v="3384"/>
    <x v="2816"/>
    <x v="565"/>
    <n v="15"/>
    <n v="13"/>
    <s v="60 U"/>
    <x v="50"/>
  </r>
  <r>
    <n v="3385"/>
    <x v="2817"/>
    <x v="585"/>
    <n v="27"/>
    <n v="16"/>
    <s v="30 gm"/>
    <x v="50"/>
  </r>
  <r>
    <n v="3386"/>
    <x v="2818"/>
    <x v="585"/>
    <n v="27"/>
    <n v="18"/>
    <s v="10 gm"/>
    <x v="50"/>
  </r>
  <r>
    <n v="3387"/>
    <x v="2819"/>
    <x v="570"/>
    <n v="70"/>
    <n v="35"/>
    <s v="140 gm"/>
    <x v="50"/>
  </r>
  <r>
    <n v="3388"/>
    <x v="2820"/>
    <x v="586"/>
    <n v="150"/>
    <n v="119"/>
    <s v="Lemon Grass"/>
    <x v="48"/>
  </r>
  <r>
    <n v="3389"/>
    <x v="2820"/>
    <x v="586"/>
    <n v="125"/>
    <n v="105"/>
    <s v="Orchid Blossom"/>
    <x v="48"/>
  </r>
  <r>
    <n v="3390"/>
    <x v="2820"/>
    <x v="586"/>
    <n v="125"/>
    <n v="105"/>
    <s v="Fresh Lavender"/>
    <x v="48"/>
  </r>
  <r>
    <n v="3391"/>
    <x v="2821"/>
    <x v="585"/>
    <n v="61"/>
    <n v="30"/>
    <s v="70 gm"/>
    <x v="50"/>
  </r>
  <r>
    <n v="3392"/>
    <x v="2822"/>
    <x v="587"/>
    <n v="28"/>
    <n v="22"/>
    <s v="20 gm"/>
    <x v="50"/>
  </r>
  <r>
    <n v="3393"/>
    <x v="2823"/>
    <x v="585"/>
    <n v="21"/>
    <n v="14"/>
    <s v="10 gm"/>
    <x v="50"/>
  </r>
  <r>
    <n v="3394"/>
    <x v="2824"/>
    <x v="588"/>
    <n v="24"/>
    <n v="18"/>
    <s v="15 U"/>
    <x v="50"/>
  </r>
  <r>
    <n v="3395"/>
    <x v="2825"/>
    <x v="570"/>
    <n v="100"/>
    <n v="50"/>
    <s v="165 gm"/>
    <x v="50"/>
  </r>
  <r>
    <n v="3396"/>
    <x v="2826"/>
    <x v="584"/>
    <n v="449"/>
    <n v="349"/>
    <s v="1 U"/>
    <x v="50"/>
  </r>
  <r>
    <n v="3397"/>
    <x v="2827"/>
    <x v="585"/>
    <n v="12"/>
    <n v="8"/>
    <s v="10 Pcs"/>
    <x v="50"/>
  </r>
  <r>
    <n v="3398"/>
    <x v="2828"/>
    <x v="584"/>
    <n v="90"/>
    <n v="59"/>
    <s v="1 Unit"/>
    <x v="50"/>
  </r>
  <r>
    <n v="3399"/>
    <x v="2829"/>
    <x v="585"/>
    <n v="15"/>
    <n v="12"/>
    <s v="7 gm"/>
    <x v="50"/>
  </r>
  <r>
    <n v="3400"/>
    <x v="2830"/>
    <x v="586"/>
    <n v="125"/>
    <n v="99"/>
    <s v="Pink"/>
    <x v="50"/>
  </r>
  <r>
    <n v="3401"/>
    <x v="2831"/>
    <x v="585"/>
    <n v="221"/>
    <n v="140"/>
    <s v="18 U"/>
    <x v="50"/>
  </r>
  <r>
    <n v="3402"/>
    <x v="2832"/>
    <x v="589"/>
    <n v="180"/>
    <n v="125"/>
    <s v="10 Pieces"/>
    <x v="51"/>
  </r>
  <r>
    <n v="3403"/>
    <x v="2833"/>
    <x v="589"/>
    <n v="180"/>
    <n v="125"/>
    <s v="10 Pieces"/>
    <x v="51"/>
  </r>
  <r>
    <n v="3404"/>
    <x v="2834"/>
    <x v="479"/>
    <n v="170"/>
    <n v="109"/>
    <s v="10 Pieces"/>
    <x v="51"/>
  </r>
  <r>
    <n v="3405"/>
    <x v="2835"/>
    <x v="590"/>
    <n v="449"/>
    <n v="199"/>
    <s v="20 Watts"/>
    <x v="31"/>
  </r>
  <r>
    <n v="3406"/>
    <x v="2836"/>
    <x v="479"/>
    <n v="170"/>
    <n v="109"/>
    <s v="10 Pieces"/>
    <x v="51"/>
  </r>
  <r>
    <n v="3407"/>
    <x v="2837"/>
    <x v="591"/>
    <n v="90"/>
    <n v="80"/>
    <s v="2 Pieces"/>
    <x v="51"/>
  </r>
  <r>
    <n v="3408"/>
    <x v="2837"/>
    <x v="591"/>
    <n v="170"/>
    <n v="155"/>
    <s v="4 Pieces"/>
    <x v="51"/>
  </r>
  <r>
    <n v="3409"/>
    <x v="2837"/>
    <x v="591"/>
    <n v="270"/>
    <n v="249"/>
    <s v="6 Pieces"/>
    <x v="51"/>
  </r>
  <r>
    <n v="3410"/>
    <x v="2838"/>
    <x v="591"/>
    <n v="270"/>
    <n v="249"/>
    <s v="6 Pieces"/>
    <x v="51"/>
  </r>
  <r>
    <n v="3411"/>
    <x v="2838"/>
    <x v="591"/>
    <n v="90"/>
    <n v="80"/>
    <s v="2 Pieces"/>
    <x v="51"/>
  </r>
  <r>
    <n v="3412"/>
    <x v="2838"/>
    <x v="591"/>
    <n v="170"/>
    <n v="155"/>
    <s v="4 Pieces"/>
    <x v="51"/>
  </r>
  <r>
    <n v="3413"/>
    <x v="2839"/>
    <x v="590"/>
    <n v="429"/>
    <n v="155"/>
    <s v="12 Watts"/>
    <x v="31"/>
  </r>
  <r>
    <n v="3414"/>
    <x v="2839"/>
    <x v="590"/>
    <n v="559"/>
    <n v="199"/>
    <s v="18 Watts"/>
    <x v="31"/>
  </r>
  <r>
    <n v="3415"/>
    <x v="2839"/>
    <x v="590"/>
    <n v="329"/>
    <n v="73"/>
    <s v="7 Watts"/>
    <x v="31"/>
  </r>
  <r>
    <n v="3416"/>
    <x v="2840"/>
    <x v="520"/>
    <n v="159"/>
    <n v="69"/>
    <s v="9 Watts"/>
    <x v="51"/>
  </r>
  <r>
    <n v="3417"/>
    <x v="2841"/>
    <x v="592"/>
    <n v="155"/>
    <n v="79"/>
    <s v="9 Watts"/>
    <x v="51"/>
  </r>
  <r>
    <n v="3418"/>
    <x v="2842"/>
    <x v="590"/>
    <n v="699"/>
    <n v="379"/>
    <s v="9 Watts"/>
    <x v="31"/>
  </r>
  <r>
    <n v="3419"/>
    <x v="2843"/>
    <x v="593"/>
    <n v="475"/>
    <n v="169"/>
    <s v="10 Watts"/>
    <x v="51"/>
  </r>
  <r>
    <n v="3420"/>
    <x v="2844"/>
    <x v="498"/>
    <n v="500"/>
    <n v="369"/>
    <s v="18 Watts"/>
    <x v="51"/>
  </r>
  <r>
    <n v="3421"/>
    <x v="2845"/>
    <x v="520"/>
    <n v="645"/>
    <n v="179"/>
    <s v="20 Watts"/>
    <x v="31"/>
  </r>
  <r>
    <n v="3422"/>
    <x v="2846"/>
    <x v="498"/>
    <n v="499"/>
    <n v="209"/>
    <s v="20 Watts"/>
    <x v="31"/>
  </r>
  <r>
    <n v="3423"/>
    <x v="2847"/>
    <x v="593"/>
    <n v="145"/>
    <n v="65"/>
    <s v="9 Watts"/>
    <x v="51"/>
  </r>
  <r>
    <n v="3424"/>
    <x v="2848"/>
    <x v="498"/>
    <n v="400"/>
    <n v="209"/>
    <s v="18 Watts"/>
    <x v="31"/>
  </r>
  <r>
    <n v="3425"/>
    <x v="2849"/>
    <x v="592"/>
    <n v="150"/>
    <n v="77"/>
    <s v="7 Watts"/>
    <x v="51"/>
  </r>
  <r>
    <n v="3426"/>
    <x v="2850"/>
    <x v="498"/>
    <n v="450"/>
    <n v="359"/>
    <s v="23 Watts"/>
    <x v="51"/>
  </r>
  <r>
    <n v="3427"/>
    <x v="2851"/>
    <x v="498"/>
    <n v="310"/>
    <n v="179"/>
    <s v="10 Watts"/>
    <x v="51"/>
  </r>
  <r>
    <n v="3428"/>
    <x v="2852"/>
    <x v="498"/>
    <n v="120"/>
    <n v="41"/>
    <s v="0.5 Watts"/>
    <x v="31"/>
  </r>
  <r>
    <n v="3429"/>
    <x v="2853"/>
    <x v="520"/>
    <n v="549"/>
    <n v="349"/>
    <s v="9 Watts"/>
    <x v="51"/>
  </r>
  <r>
    <n v="3430"/>
    <x v="2854"/>
    <x v="498"/>
    <n v="155"/>
    <n v="95"/>
    <s v="9 Watt"/>
    <x v="51"/>
  </r>
  <r>
    <n v="3431"/>
    <x v="2855"/>
    <x v="498"/>
    <n v="1999"/>
    <n v="999"/>
    <s v="1 U"/>
    <x v="51"/>
  </r>
  <r>
    <n v="3432"/>
    <x v="2856"/>
    <x v="498"/>
    <n v="599"/>
    <n v="449"/>
    <s v="25 Watts"/>
    <x v="51"/>
  </r>
  <r>
    <n v="3433"/>
    <x v="2857"/>
    <x v="498"/>
    <n v="649"/>
    <n v="529"/>
    <s v="12 W"/>
    <x v="51"/>
  </r>
  <r>
    <n v="3434"/>
    <x v="2851"/>
    <x v="498"/>
    <n v="450"/>
    <n v="319"/>
    <s v="14 Watts"/>
    <x v="51"/>
  </r>
  <r>
    <n v="3435"/>
    <x v="2858"/>
    <x v="2"/>
    <n v="190"/>
    <n v="169"/>
    <s v="1 U"/>
    <x v="51"/>
  </r>
  <r>
    <n v="3436"/>
    <x v="2859"/>
    <x v="2"/>
    <n v="666"/>
    <n v="599"/>
    <s v="1 U"/>
    <x v="51"/>
  </r>
  <r>
    <n v="3437"/>
    <x v="2860"/>
    <x v="2"/>
    <n v="245"/>
    <n v="219"/>
    <s v="1 U"/>
    <x v="51"/>
  </r>
  <r>
    <n v="3438"/>
    <x v="2861"/>
    <x v="589"/>
    <n v="210"/>
    <n v="159"/>
    <s v="6 Unit"/>
    <x v="51"/>
  </r>
  <r>
    <n v="3439"/>
    <x v="2862"/>
    <x v="498"/>
    <n v="1999"/>
    <n v="999"/>
    <s v="1 U"/>
    <x v="51"/>
  </r>
  <r>
    <n v="3440"/>
    <x v="2863"/>
    <x v="594"/>
    <n v="2499"/>
    <n v="799"/>
    <s v="1 U"/>
    <x v="51"/>
  </r>
  <r>
    <n v="3441"/>
    <x v="2864"/>
    <x v="2"/>
    <n v="200"/>
    <n v="179"/>
    <s v="1 U"/>
    <x v="51"/>
  </r>
  <r>
    <n v="3442"/>
    <x v="2865"/>
    <x v="2"/>
    <n v="840"/>
    <n v="749"/>
    <s v="1 U"/>
    <x v="51"/>
  </r>
  <r>
    <n v="3443"/>
    <x v="2866"/>
    <x v="591"/>
    <n v="315"/>
    <n v="239"/>
    <s v="8 U"/>
    <x v="51"/>
  </r>
  <r>
    <n v="3444"/>
    <x v="2867"/>
    <x v="589"/>
    <n v="325"/>
    <n v="215"/>
    <s v="18 Watts"/>
    <x v="51"/>
  </r>
  <r>
    <n v="3445"/>
    <x v="2868"/>
    <x v="2"/>
    <n v="170"/>
    <n v="149"/>
    <s v="1 U"/>
    <x v="51"/>
  </r>
  <r>
    <n v="3446"/>
    <x v="2869"/>
    <x v="2"/>
    <n v="145"/>
    <n v="129"/>
    <s v="1 U"/>
    <x v="51"/>
  </r>
  <r>
    <n v="3447"/>
    <x v="2870"/>
    <x v="498"/>
    <n v="799"/>
    <n v="699"/>
    <s v="1 U"/>
    <x v="51"/>
  </r>
  <r>
    <n v="3448"/>
    <x v="2871"/>
    <x v="2"/>
    <n v="170"/>
    <n v="149"/>
    <s v="1 U"/>
    <x v="51"/>
  </r>
  <r>
    <n v="3449"/>
    <x v="2872"/>
    <x v="498"/>
    <n v="2399"/>
    <n v="1099"/>
    <s v="1 U"/>
    <x v="51"/>
  </r>
  <r>
    <n v="3450"/>
    <x v="2873"/>
    <x v="498"/>
    <n v="1399"/>
    <n v="999"/>
    <s v="1 U"/>
    <x v="51"/>
  </r>
  <r>
    <n v="3451"/>
    <x v="2874"/>
    <x v="498"/>
    <n v="1999"/>
    <n v="799"/>
    <s v="1 U"/>
    <x v="51"/>
  </r>
  <r>
    <n v="3452"/>
    <x v="2875"/>
    <x v="498"/>
    <n v="2049"/>
    <n v="999"/>
    <s v="1 U"/>
    <x v="51"/>
  </r>
  <r>
    <n v="3453"/>
    <x v="2876"/>
    <x v="476"/>
    <n v="2450"/>
    <n v="2195"/>
    <s v="1 Unit"/>
    <x v="43"/>
  </r>
  <r>
    <n v="3454"/>
    <x v="2877"/>
    <x v="476"/>
    <n v="3600"/>
    <n v="2895"/>
    <s v="1 Unit"/>
    <x v="43"/>
  </r>
  <r>
    <n v="3455"/>
    <x v="2878"/>
    <x v="476"/>
    <n v="2000"/>
    <n v="1695"/>
    <s v="1 U"/>
    <x v="43"/>
  </r>
  <r>
    <n v="3456"/>
    <x v="2879"/>
    <x v="2"/>
    <n v="88"/>
    <n v="79"/>
    <s v="Pack of 20"/>
    <x v="43"/>
  </r>
  <r>
    <n v="3457"/>
    <x v="2880"/>
    <x v="2"/>
    <n v="73"/>
    <n v="65"/>
    <s v="1 U"/>
    <x v="43"/>
  </r>
  <r>
    <n v="3458"/>
    <x v="2881"/>
    <x v="2"/>
    <n v="22"/>
    <n v="18"/>
    <s v="20 Pcs"/>
    <x v="43"/>
  </r>
  <r>
    <n v="3459"/>
    <x v="2882"/>
    <x v="42"/>
    <n v="7669"/>
    <n v="4999"/>
    <s v="1 U"/>
    <x v="43"/>
  </r>
  <r>
    <n v="3460"/>
    <x v="2883"/>
    <x v="595"/>
    <n v="620"/>
    <n v="399"/>
    <s v="1 Unit"/>
    <x v="51"/>
  </r>
  <r>
    <n v="3461"/>
    <x v="2884"/>
    <x v="596"/>
    <n v="205"/>
    <n v="99"/>
    <s v="1 U"/>
    <x v="52"/>
  </r>
  <r>
    <n v="3462"/>
    <x v="2885"/>
    <x v="595"/>
    <n v="410"/>
    <n v="299"/>
    <s v="5 Metres"/>
    <x v="51"/>
  </r>
  <r>
    <n v="3463"/>
    <x v="2886"/>
    <x v="596"/>
    <n v="299"/>
    <n v="49"/>
    <s v="1 U"/>
    <x v="52"/>
  </r>
  <r>
    <n v="3464"/>
    <x v="2887"/>
    <x v="596"/>
    <n v="360"/>
    <n v="179"/>
    <s v="4 Metres"/>
    <x v="52"/>
  </r>
  <r>
    <n v="3465"/>
    <x v="2888"/>
    <x v="597"/>
    <n v="349"/>
    <n v="99"/>
    <s v="1 U"/>
    <x v="53"/>
  </r>
  <r>
    <n v="3466"/>
    <x v="2889"/>
    <x v="598"/>
    <n v="1299"/>
    <n v="499"/>
    <s v="1 U"/>
    <x v="51"/>
  </r>
  <r>
    <n v="3467"/>
    <x v="2890"/>
    <x v="597"/>
    <n v="399"/>
    <n v="199"/>
    <s v="1 U"/>
    <x v="51"/>
  </r>
  <r>
    <n v="3468"/>
    <x v="2891"/>
    <x v="599"/>
    <n v="190"/>
    <n v="139"/>
    <s v="1 Unit"/>
    <x v="51"/>
  </r>
  <r>
    <n v="3469"/>
    <x v="2892"/>
    <x v="598"/>
    <n v="1999"/>
    <n v="699"/>
    <s v="1 U"/>
    <x v="51"/>
  </r>
  <r>
    <n v="3470"/>
    <x v="2893"/>
    <x v="2"/>
    <n v="249"/>
    <n v="49"/>
    <s v="1 Unit"/>
    <x v="51"/>
  </r>
  <r>
    <n v="3471"/>
    <x v="2894"/>
    <x v="594"/>
    <n v="999"/>
    <n v="399"/>
    <s v="1 U"/>
    <x v="51"/>
  </r>
  <r>
    <n v="3472"/>
    <x v="2895"/>
    <x v="594"/>
    <n v="599"/>
    <n v="325"/>
    <s v="1 U"/>
    <x v="51"/>
  </r>
  <r>
    <n v="3473"/>
    <x v="2896"/>
    <x v="594"/>
    <n v="699"/>
    <n v="299"/>
    <s v="1 U"/>
    <x v="51"/>
  </r>
  <r>
    <n v="3474"/>
    <x v="2897"/>
    <x v="594"/>
    <n v="349"/>
    <n v="99"/>
    <s v="1 U"/>
    <x v="51"/>
  </r>
  <r>
    <n v="3475"/>
    <x v="2898"/>
    <x v="600"/>
    <n v="600"/>
    <n v="450"/>
    <s v="1 U"/>
    <x v="51"/>
  </r>
  <r>
    <n v="3476"/>
    <x v="2899"/>
    <x v="601"/>
    <n v="515"/>
    <n v="386"/>
    <s v="1 U"/>
    <x v="51"/>
  </r>
  <r>
    <n v="3477"/>
    <x v="2900"/>
    <x v="601"/>
    <n v="80"/>
    <n v="60"/>
    <s v="1 U"/>
    <x v="51"/>
  </r>
  <r>
    <n v="3478"/>
    <x v="2901"/>
    <x v="601"/>
    <n v="70"/>
    <n v="52"/>
    <s v="1 U"/>
    <x v="51"/>
  </r>
  <r>
    <n v="3479"/>
    <x v="2902"/>
    <x v="601"/>
    <n v="330"/>
    <n v="247"/>
    <s v="1 U"/>
    <x v="51"/>
  </r>
  <r>
    <n v="3480"/>
    <x v="2903"/>
    <x v="462"/>
    <n v="50"/>
    <n v="45"/>
    <s v="100 gm"/>
    <x v="43"/>
  </r>
  <r>
    <n v="3481"/>
    <x v="2904"/>
    <x v="462"/>
    <n v="35"/>
    <n v="32"/>
    <s v="20 ml"/>
    <x v="43"/>
  </r>
  <r>
    <n v="3482"/>
    <x v="2905"/>
    <x v="602"/>
    <n v="75"/>
    <n v="55"/>
    <s v="1 U"/>
    <x v="43"/>
  </r>
  <r>
    <n v="3483"/>
    <x v="2906"/>
    <x v="602"/>
    <n v="45"/>
    <n v="35"/>
    <s v="24 x 50 Meters"/>
    <x v="43"/>
  </r>
  <r>
    <n v="3484"/>
    <x v="2906"/>
    <x v="602"/>
    <n v="75"/>
    <n v="55"/>
    <s v="1 U"/>
    <x v="43"/>
  </r>
  <r>
    <n v="3485"/>
    <x v="2907"/>
    <x v="462"/>
    <n v="30"/>
    <n v="27"/>
    <s v="3 gm"/>
    <x v="43"/>
  </r>
  <r>
    <n v="3486"/>
    <x v="2908"/>
    <x v="462"/>
    <n v="30"/>
    <n v="27"/>
    <s v="90 gm"/>
    <x v="43"/>
  </r>
  <r>
    <n v="3487"/>
    <x v="2909"/>
    <x v="462"/>
    <n v="99"/>
    <n v="89"/>
    <s v="1 U"/>
    <x v="43"/>
  </r>
  <r>
    <n v="3488"/>
    <x v="2903"/>
    <x v="462"/>
    <n v="85"/>
    <n v="76"/>
    <s v="200 gm"/>
    <x v="43"/>
  </r>
  <r>
    <n v="3489"/>
    <x v="2910"/>
    <x v="2"/>
    <n v="300"/>
    <n v="199"/>
    <s v="1.2 L"/>
    <x v="43"/>
  </r>
  <r>
    <n v="3490"/>
    <x v="2911"/>
    <x v="603"/>
    <n v="6799"/>
    <n v="4149"/>
    <s v="1 U"/>
    <x v="43"/>
  </r>
  <r>
    <n v="3491"/>
    <x v="2912"/>
    <x v="603"/>
    <n v="8999"/>
    <n v="4699"/>
    <s v="1 U"/>
    <x v="43"/>
  </r>
  <r>
    <n v="3492"/>
    <x v="2913"/>
    <x v="604"/>
    <n v="725"/>
    <n v="665"/>
    <s v="3 kg"/>
    <x v="31"/>
  </r>
  <r>
    <n v="3493"/>
    <x v="2914"/>
    <x v="605"/>
    <n v="40"/>
    <n v="36"/>
    <s v="85 gm"/>
    <x v="32"/>
  </r>
  <r>
    <n v="3494"/>
    <x v="2915"/>
    <x v="604"/>
    <n v="40"/>
    <n v="36"/>
    <s v="70 gm"/>
    <x v="31"/>
  </r>
  <r>
    <n v="3495"/>
    <x v="2916"/>
    <x v="605"/>
    <n v="465"/>
    <n v="350"/>
    <s v="1.2 kg"/>
    <x v="32"/>
  </r>
  <r>
    <n v="3496"/>
    <x v="2917"/>
    <x v="604"/>
    <n v="760"/>
    <n v="684"/>
    <s v="3 kg"/>
    <x v="31"/>
  </r>
  <r>
    <n v="3497"/>
    <x v="2918"/>
    <x v="606"/>
    <n v="100"/>
    <n v="86"/>
    <s v="125 gm"/>
    <x v="54"/>
  </r>
  <r>
    <n v="3498"/>
    <x v="2918"/>
    <x v="606"/>
    <n v="252"/>
    <n v="206"/>
    <s v="3x125 gm"/>
    <x v="54"/>
  </r>
  <r>
    <n v="3499"/>
    <x v="2918"/>
    <x v="606"/>
    <n v="392"/>
    <n v="312"/>
    <s v="4x125 gm"/>
    <x v="54"/>
  </r>
  <r>
    <n v="3500"/>
    <x v="2919"/>
    <x v="607"/>
    <n v="235"/>
    <n v="117"/>
    <s v="3x125 gm"/>
    <x v="54"/>
  </r>
  <r>
    <n v="3501"/>
    <x v="2919"/>
    <x v="607"/>
    <n v="315"/>
    <n v="157"/>
    <s v="5x100 gm"/>
    <x v="54"/>
  </r>
  <r>
    <n v="3502"/>
    <x v="2920"/>
    <x v="608"/>
    <n v="64"/>
    <n v="59"/>
    <s v="75 gm"/>
    <x v="54"/>
  </r>
  <r>
    <n v="3503"/>
    <x v="2920"/>
    <x v="608"/>
    <n v="280"/>
    <n v="222"/>
    <s v="3x125 gm"/>
    <x v="54"/>
  </r>
  <r>
    <n v="3504"/>
    <x v="2920"/>
    <x v="608"/>
    <n v="472"/>
    <n v="387"/>
    <s v="4x125 gm"/>
    <x v="54"/>
  </r>
  <r>
    <n v="3505"/>
    <x v="2921"/>
    <x v="609"/>
    <n v="155"/>
    <n v="130"/>
    <s v="3x125 gm"/>
    <x v="54"/>
  </r>
  <r>
    <n v="3506"/>
    <x v="2921"/>
    <x v="609"/>
    <n v="220"/>
    <n v="179"/>
    <s v="4x125 gm"/>
    <x v="54"/>
  </r>
  <r>
    <n v="3507"/>
    <x v="2922"/>
    <x v="610"/>
    <n v="82"/>
    <n v="70"/>
    <s v="150 gm"/>
    <x v="54"/>
  </r>
  <r>
    <n v="3508"/>
    <x v="2922"/>
    <x v="610"/>
    <n v="243"/>
    <n v="218"/>
    <s v="3x150 gm"/>
    <x v="54"/>
  </r>
  <r>
    <n v="3509"/>
    <x v="2923"/>
    <x v="611"/>
    <n v="198"/>
    <n v="163"/>
    <s v="3x150 gm"/>
    <x v="54"/>
  </r>
  <r>
    <n v="3510"/>
    <x v="2924"/>
    <x v="612"/>
    <n v="150"/>
    <n v="89"/>
    <s v="450 gm"/>
    <x v="54"/>
  </r>
  <r>
    <n v="3511"/>
    <x v="2925"/>
    <x v="611"/>
    <n v="198"/>
    <n v="163"/>
    <s v="3x150 gm"/>
    <x v="54"/>
  </r>
  <r>
    <n v="3512"/>
    <x v="2926"/>
    <x v="612"/>
    <n v="150"/>
    <n v="89"/>
    <s v="3x150 gm"/>
    <x v="54"/>
  </r>
  <r>
    <n v="3513"/>
    <x v="2927"/>
    <x v="447"/>
    <n v="150"/>
    <n v="136"/>
    <s v="3x75 gm"/>
    <x v="54"/>
  </r>
  <r>
    <n v="3514"/>
    <x v="2927"/>
    <x v="447"/>
    <n v="322"/>
    <n v="302"/>
    <s v="5x125 gm"/>
    <x v="54"/>
  </r>
  <r>
    <n v="3515"/>
    <x v="2928"/>
    <x v="613"/>
    <n v="235"/>
    <n v="189"/>
    <s v="3x125 gm"/>
    <x v="54"/>
  </r>
  <r>
    <n v="3516"/>
    <x v="2929"/>
    <x v="614"/>
    <n v="150"/>
    <n v="135"/>
    <s v="4x100 gm"/>
    <x v="54"/>
  </r>
  <r>
    <n v="3517"/>
    <x v="2929"/>
    <x v="614"/>
    <n v="222"/>
    <n v="182"/>
    <s v="4x125 gm"/>
    <x v="54"/>
  </r>
  <r>
    <n v="3518"/>
    <x v="2929"/>
    <x v="614"/>
    <n v="250"/>
    <n v="206"/>
    <s v="4x150 gm"/>
    <x v="54"/>
  </r>
  <r>
    <n v="3519"/>
    <x v="2930"/>
    <x v="447"/>
    <n v="322"/>
    <n v="289"/>
    <s v="4x125 gm"/>
    <x v="54"/>
  </r>
  <r>
    <n v="3520"/>
    <x v="2931"/>
    <x v="615"/>
    <n v="243"/>
    <n v="215"/>
    <s v="600 gm"/>
    <x v="54"/>
  </r>
  <r>
    <n v="3521"/>
    <x v="2932"/>
    <x v="608"/>
    <n v="296"/>
    <n v="272"/>
    <s v="4x100 gm"/>
    <x v="54"/>
  </r>
  <r>
    <n v="3522"/>
    <x v="2933"/>
    <x v="616"/>
    <n v="140"/>
    <n v="126"/>
    <s v="4x125 gm"/>
    <x v="54"/>
  </r>
  <r>
    <n v="3523"/>
    <x v="2934"/>
    <x v="609"/>
    <n v="260"/>
    <n v="219"/>
    <s v="4x125 gm"/>
    <x v="54"/>
  </r>
  <r>
    <n v="3524"/>
    <x v="2931"/>
    <x v="615"/>
    <n v="109"/>
    <n v="101"/>
    <s v="4x75 gm"/>
    <x v="54"/>
  </r>
  <r>
    <n v="3525"/>
    <x v="2931"/>
    <x v="615"/>
    <n v="204"/>
    <n v="178"/>
    <s v="4x100 gm"/>
    <x v="54"/>
  </r>
  <r>
    <n v="3526"/>
    <x v="2935"/>
    <x v="612"/>
    <n v="150"/>
    <n v="89"/>
    <s v="450 gm"/>
    <x v="54"/>
  </r>
  <r>
    <n v="3527"/>
    <x v="2936"/>
    <x v="42"/>
    <n v="189"/>
    <n v="149"/>
    <s v="3x150 gm"/>
    <x v="54"/>
  </r>
  <r>
    <n v="3528"/>
    <x v="2937"/>
    <x v="617"/>
    <n v="172"/>
    <n v="127"/>
    <s v="4x150 gm"/>
    <x v="54"/>
  </r>
  <r>
    <n v="3529"/>
    <x v="2938"/>
    <x v="447"/>
    <n v="322"/>
    <n v="286"/>
    <s v="4x125 gm"/>
    <x v="54"/>
  </r>
  <r>
    <n v="3530"/>
    <x v="2938"/>
    <x v="447"/>
    <n v="150"/>
    <n v="135"/>
    <s v="3x75 gm"/>
    <x v="54"/>
  </r>
  <r>
    <n v="3531"/>
    <x v="2939"/>
    <x v="42"/>
    <n v="224"/>
    <n v="196"/>
    <s v="4x100 gm"/>
    <x v="54"/>
  </r>
  <r>
    <n v="3532"/>
    <x v="2940"/>
    <x v="606"/>
    <n v="339"/>
    <n v="279"/>
    <s v="4x125 gm"/>
    <x v="54"/>
  </r>
  <r>
    <n v="3533"/>
    <x v="2941"/>
    <x v="607"/>
    <n v="235"/>
    <n v="117"/>
    <s v="3x125 gm"/>
    <x v="54"/>
  </r>
  <r>
    <n v="3534"/>
    <x v="2942"/>
    <x v="615"/>
    <n v="42"/>
    <n v="38"/>
    <s v="100 gm"/>
    <x v="54"/>
  </r>
  <r>
    <n v="3535"/>
    <x v="2942"/>
    <x v="615"/>
    <n v="163"/>
    <n v="151"/>
    <s v="4x100 gm"/>
    <x v="54"/>
  </r>
  <r>
    <n v="3536"/>
    <x v="2943"/>
    <x v="609"/>
    <n v="220"/>
    <n v="198"/>
    <s v="4x125 gm"/>
    <x v="54"/>
  </r>
  <r>
    <n v="3537"/>
    <x v="2944"/>
    <x v="616"/>
    <n v="270"/>
    <n v="240"/>
    <s v=" 5x125 gm"/>
    <x v="54"/>
  </r>
  <r>
    <n v="3538"/>
    <x v="2945"/>
    <x v="618"/>
    <n v="135"/>
    <n v="111"/>
    <s v="3x125 gm"/>
    <x v="54"/>
  </r>
  <r>
    <n v="3539"/>
    <x v="2930"/>
    <x v="447"/>
    <n v="150"/>
    <n v="138"/>
    <s v="3x75 gm"/>
    <x v="54"/>
  </r>
  <r>
    <n v="3540"/>
    <x v="2946"/>
    <x v="610"/>
    <n v="220"/>
    <n v="195"/>
    <s v="3x150 gm"/>
    <x v="54"/>
  </r>
  <r>
    <n v="3541"/>
    <x v="2947"/>
    <x v="611"/>
    <n v="198"/>
    <n v="178"/>
    <s v="3x150 gm"/>
    <x v="54"/>
  </r>
  <r>
    <n v="3542"/>
    <x v="2948"/>
    <x v="614"/>
    <n v="222"/>
    <n v="184"/>
    <s v="4x125 gm"/>
    <x v="54"/>
  </r>
  <r>
    <n v="3543"/>
    <x v="2949"/>
    <x v="42"/>
    <n v="155"/>
    <n v="144"/>
    <s v="4x100 gm"/>
    <x v="54"/>
  </r>
  <r>
    <n v="3544"/>
    <x v="2950"/>
    <x v="619"/>
    <n v="80"/>
    <n v="40"/>
    <s v="125 gm"/>
    <x v="54"/>
  </r>
  <r>
    <n v="3545"/>
    <x v="2951"/>
    <x v="42"/>
    <n v="189"/>
    <n v="149"/>
    <s v="3x150 gm"/>
    <x v="54"/>
  </r>
  <r>
    <n v="3546"/>
    <x v="2952"/>
    <x v="620"/>
    <n v="80"/>
    <n v="40"/>
    <s v="125 gm"/>
    <x v="54"/>
  </r>
  <r>
    <n v="3547"/>
    <x v="2953"/>
    <x v="619"/>
    <n v="80"/>
    <n v="40"/>
    <s v="125 gm"/>
    <x v="54"/>
  </r>
  <r>
    <n v="3548"/>
    <x v="2954"/>
    <x v="608"/>
    <n v="357"/>
    <n v="312"/>
    <s v="3x100 gm"/>
    <x v="54"/>
  </r>
  <r>
    <n v="3549"/>
    <x v="2955"/>
    <x v="621"/>
    <n v="280"/>
    <n v="190"/>
    <s v="4x125 gm"/>
    <x v="54"/>
  </r>
  <r>
    <n v="3550"/>
    <x v="2956"/>
    <x v="619"/>
    <n v="80"/>
    <n v="40"/>
    <s v="125 gm"/>
    <x v="54"/>
  </r>
  <r>
    <n v="3551"/>
    <x v="2957"/>
    <x v="611"/>
    <n v="330"/>
    <n v="255"/>
    <s v="4x125 gm"/>
    <x v="54"/>
  </r>
  <r>
    <n v="3552"/>
    <x v="2958"/>
    <x v="619"/>
    <n v="80"/>
    <n v="40"/>
    <s v="125 gm"/>
    <x v="54"/>
  </r>
  <r>
    <n v="3553"/>
    <x v="2959"/>
    <x v="617"/>
    <n v="172"/>
    <n v="132"/>
    <s v="4x150 gm"/>
    <x v="54"/>
  </r>
  <r>
    <n v="3554"/>
    <x v="2960"/>
    <x v="622"/>
    <n v="160"/>
    <n v="145"/>
    <s v="4x100 gm"/>
    <x v="54"/>
  </r>
  <r>
    <n v="3555"/>
    <x v="2961"/>
    <x v="614"/>
    <n v="209"/>
    <n v="185"/>
    <s v="4x125 gm"/>
    <x v="54"/>
  </r>
  <r>
    <n v="3556"/>
    <x v="2962"/>
    <x v="621"/>
    <n v="340"/>
    <n v="259"/>
    <s v="4x125 gm"/>
    <x v="54"/>
  </r>
  <r>
    <n v="3557"/>
    <x v="2963"/>
    <x v="619"/>
    <n v="80"/>
    <n v="40"/>
    <s v="125 gm"/>
    <x v="54"/>
  </r>
  <r>
    <n v="3558"/>
    <x v="2964"/>
    <x v="42"/>
    <n v="189"/>
    <n v="149"/>
    <s v="3x150 gm"/>
    <x v="54"/>
  </r>
  <r>
    <n v="3559"/>
    <x v="2965"/>
    <x v="608"/>
    <n v="490"/>
    <n v="425"/>
    <s v="400 gm"/>
    <x v="54"/>
  </r>
  <r>
    <n v="3560"/>
    <x v="2966"/>
    <x v="614"/>
    <n v="270"/>
    <n v="135"/>
    <s v="3x125 gm"/>
    <x v="54"/>
  </r>
  <r>
    <n v="3561"/>
    <x v="2967"/>
    <x v="42"/>
    <n v="250"/>
    <n v="225"/>
    <s v="4x150 gm"/>
    <x v="54"/>
  </r>
  <r>
    <n v="3562"/>
    <x v="2968"/>
    <x v="610"/>
    <n v="90"/>
    <n v="76"/>
    <s v="125 gm"/>
    <x v="54"/>
  </r>
  <r>
    <n v="3563"/>
    <x v="2969"/>
    <x v="623"/>
    <n v="65"/>
    <n v="60"/>
    <s v="150 gm"/>
    <x v="54"/>
  </r>
  <r>
    <n v="3564"/>
    <x v="2970"/>
    <x v="624"/>
    <n v="200"/>
    <n v="115"/>
    <s v="4x150 gm"/>
    <x v="54"/>
  </r>
  <r>
    <n v="3565"/>
    <x v="2971"/>
    <x v="620"/>
    <n v="80"/>
    <n v="40"/>
    <s v="125 gm"/>
    <x v="54"/>
  </r>
  <r>
    <n v="3566"/>
    <x v="2972"/>
    <x v="58"/>
    <n v="23"/>
    <n v="21"/>
    <s v="75 gm"/>
    <x v="54"/>
  </r>
  <r>
    <n v="3567"/>
    <x v="2973"/>
    <x v="42"/>
    <n v="224"/>
    <n v="193"/>
    <s v="400 gm"/>
    <x v="54"/>
  </r>
  <r>
    <n v="3568"/>
    <x v="2974"/>
    <x v="619"/>
    <n v="80"/>
    <n v="40"/>
    <s v="125 gm"/>
    <x v="54"/>
  </r>
  <r>
    <n v="3569"/>
    <x v="2975"/>
    <x v="617"/>
    <n v="172"/>
    <n v="130"/>
    <s v="600 gm"/>
    <x v="54"/>
  </r>
  <r>
    <n v="3570"/>
    <x v="2976"/>
    <x v="42"/>
    <n v="145"/>
    <n v="129"/>
    <s v="3x100 gm"/>
    <x v="54"/>
  </r>
  <r>
    <n v="3571"/>
    <x v="2977"/>
    <x v="2"/>
    <n v="196"/>
    <n v="155"/>
    <s v="4X125 gm"/>
    <x v="54"/>
  </r>
  <r>
    <n v="3572"/>
    <x v="2978"/>
    <x v="606"/>
    <n v="63"/>
    <n v="58"/>
    <s v="75 gm"/>
    <x v="54"/>
  </r>
  <r>
    <n v="3573"/>
    <x v="2979"/>
    <x v="58"/>
    <n v="22"/>
    <n v="21"/>
    <s v="75 gm"/>
    <x v="54"/>
  </r>
  <r>
    <n v="3574"/>
    <x v="2980"/>
    <x v="625"/>
    <n v="150"/>
    <n v="129"/>
    <s v="3x125 gm"/>
    <x v="54"/>
  </r>
  <r>
    <n v="3575"/>
    <x v="2981"/>
    <x v="626"/>
    <n v="75"/>
    <n v="67"/>
    <s v="150 gm"/>
    <x v="54"/>
  </r>
  <r>
    <n v="3576"/>
    <x v="2982"/>
    <x v="58"/>
    <n v="23"/>
    <n v="21"/>
    <s v="75 gm"/>
    <x v="54"/>
  </r>
  <r>
    <n v="3577"/>
    <x v="2983"/>
    <x v="611"/>
    <n v="83"/>
    <n v="77"/>
    <s v="125 gm"/>
    <x v="54"/>
  </r>
  <r>
    <n v="3578"/>
    <x v="2984"/>
    <x v="616"/>
    <n v="148"/>
    <n v="130"/>
    <s v="4x100 gm"/>
    <x v="54"/>
  </r>
  <r>
    <n v="3579"/>
    <x v="2985"/>
    <x v="608"/>
    <n v="70"/>
    <n v="65"/>
    <s v="75 gm"/>
    <x v="54"/>
  </r>
  <r>
    <n v="3580"/>
    <x v="2986"/>
    <x v="606"/>
    <n v="54"/>
    <n v="49"/>
    <s v="75 gm"/>
    <x v="54"/>
  </r>
  <r>
    <n v="3581"/>
    <x v="2987"/>
    <x v="608"/>
    <n v="75"/>
    <n v="67"/>
    <s v="75 gm"/>
    <x v="54"/>
  </r>
  <r>
    <n v="3582"/>
    <x v="2988"/>
    <x v="627"/>
    <n v="190"/>
    <n v="95"/>
    <s v="450 gm"/>
    <x v="54"/>
  </r>
  <r>
    <n v="3583"/>
    <x v="2989"/>
    <x v="616"/>
    <n v="270"/>
    <n v="215"/>
    <s v="5x125 gm"/>
    <x v="54"/>
  </r>
  <r>
    <n v="3584"/>
    <x v="2990"/>
    <x v="42"/>
    <n v="140"/>
    <n v="125"/>
    <s v="3x100 gm"/>
    <x v="54"/>
  </r>
  <r>
    <n v="3585"/>
    <x v="2991"/>
    <x v="42"/>
    <n v="10"/>
    <n v="9"/>
    <s v="45 gm"/>
    <x v="54"/>
  </r>
  <r>
    <n v="3586"/>
    <x v="2931"/>
    <x v="615"/>
    <n v="40"/>
    <n v="37"/>
    <s v="100 gm"/>
    <x v="54"/>
  </r>
  <r>
    <n v="3587"/>
    <x v="2923"/>
    <x v="611"/>
    <n v="260"/>
    <n v="235"/>
    <s v="4x150 gm"/>
    <x v="54"/>
  </r>
  <r>
    <n v="3588"/>
    <x v="2925"/>
    <x v="611"/>
    <n v="260"/>
    <n v="239"/>
    <s v="4x150 gm"/>
    <x v="54"/>
  </r>
  <r>
    <n v="3589"/>
    <x v="2992"/>
    <x v="628"/>
    <n v="450"/>
    <n v="225"/>
    <s v="500 gm"/>
    <x v="54"/>
  </r>
  <r>
    <n v="3590"/>
    <x v="2993"/>
    <x v="629"/>
    <n v="335"/>
    <n v="295"/>
    <s v="400 ml"/>
    <x v="54"/>
  </r>
  <r>
    <n v="3591"/>
    <x v="2993"/>
    <x v="629"/>
    <n v="499"/>
    <n v="459"/>
    <s v="600 ml"/>
    <x v="54"/>
  </r>
  <r>
    <n v="3592"/>
    <x v="2994"/>
    <x v="630"/>
    <n v="399"/>
    <n v="289"/>
    <s v="400 ml"/>
    <x v="54"/>
  </r>
  <r>
    <n v="3593"/>
    <x v="2995"/>
    <x v="630"/>
    <n v="429"/>
    <n v="329"/>
    <s v="300 ml"/>
    <x v="55"/>
  </r>
  <r>
    <n v="3594"/>
    <x v="2996"/>
    <x v="630"/>
    <n v="559"/>
    <n v="349"/>
    <s v="600 ml"/>
    <x v="54"/>
  </r>
  <r>
    <n v="3595"/>
    <x v="2996"/>
    <x v="630"/>
    <n v="425"/>
    <n v="315"/>
    <s v="400 ml"/>
    <x v="54"/>
  </r>
  <r>
    <n v="3596"/>
    <x v="2996"/>
    <x v="630"/>
    <n v="275"/>
    <n v="245"/>
    <s v="200 ml"/>
    <x v="54"/>
  </r>
  <r>
    <n v="3597"/>
    <x v="2997"/>
    <x v="629"/>
    <n v="460"/>
    <n v="299"/>
    <s v="400 ml"/>
    <x v="54"/>
  </r>
  <r>
    <n v="3598"/>
    <x v="2998"/>
    <x v="630"/>
    <n v="425"/>
    <n v="375"/>
    <s v="400 ml"/>
    <x v="54"/>
  </r>
  <r>
    <n v="3599"/>
    <x v="2999"/>
    <x v="631"/>
    <n v="198"/>
    <n v="173"/>
    <s v="50 gm"/>
    <x v="55"/>
  </r>
  <r>
    <n v="3600"/>
    <x v="2999"/>
    <x v="631"/>
    <n v="245"/>
    <n v="215"/>
    <s v="70 gm"/>
    <x v="55"/>
  </r>
  <r>
    <n v="3601"/>
    <x v="3000"/>
    <x v="358"/>
    <n v="465"/>
    <n v="330"/>
    <s v="100 gm"/>
    <x v="54"/>
  </r>
  <r>
    <n v="3602"/>
    <x v="3001"/>
    <x v="629"/>
    <n v="435"/>
    <n v="357"/>
    <s v="400 ml"/>
    <x v="54"/>
  </r>
  <r>
    <n v="3603"/>
    <x v="3002"/>
    <x v="358"/>
    <n v="395"/>
    <n v="245"/>
    <s v="100 gm"/>
    <x v="54"/>
  </r>
  <r>
    <n v="3604"/>
    <x v="3003"/>
    <x v="632"/>
    <n v="299"/>
    <n v="260"/>
    <s v="275 ml"/>
    <x v="54"/>
  </r>
  <r>
    <n v="3605"/>
    <x v="3004"/>
    <x v="631"/>
    <n v="130"/>
    <n v="115"/>
    <s v="30 gm"/>
    <x v="54"/>
  </r>
  <r>
    <n v="3606"/>
    <x v="3005"/>
    <x v="630"/>
    <n v="199"/>
    <n v="165"/>
    <s v="100 ml"/>
    <x v="55"/>
  </r>
  <r>
    <n v="3607"/>
    <x v="3006"/>
    <x v="632"/>
    <n v="90"/>
    <n v="75"/>
    <s v="23 gm"/>
    <x v="54"/>
  </r>
  <r>
    <n v="3608"/>
    <x v="3007"/>
    <x v="633"/>
    <n v="230"/>
    <n v="115"/>
    <s v="300 ml"/>
    <x v="54"/>
  </r>
  <r>
    <n v="3609"/>
    <x v="3008"/>
    <x v="634"/>
    <n v="225"/>
    <n v="205"/>
    <s v="50 ml"/>
    <x v="54"/>
  </r>
  <r>
    <n v="3610"/>
    <x v="3009"/>
    <x v="633"/>
    <n v="230"/>
    <n v="115"/>
    <s v="300 ml"/>
    <x v="54"/>
  </r>
  <r>
    <n v="3611"/>
    <x v="3010"/>
    <x v="630"/>
    <n v="99"/>
    <n v="79"/>
    <s v="120 ml"/>
    <x v="54"/>
  </r>
  <r>
    <n v="3612"/>
    <x v="3011"/>
    <x v="635"/>
    <n v="220"/>
    <n v="195"/>
    <s v="120 ml"/>
    <x v="54"/>
  </r>
  <r>
    <n v="3613"/>
    <x v="3012"/>
    <x v="630"/>
    <n v="325"/>
    <n v="249"/>
    <s v="200 ml"/>
    <x v="54"/>
  </r>
  <r>
    <n v="3614"/>
    <x v="3013"/>
    <x v="633"/>
    <n v="175"/>
    <n v="74"/>
    <s v="200 ml"/>
    <x v="54"/>
  </r>
  <r>
    <n v="3615"/>
    <x v="3014"/>
    <x v="633"/>
    <n v="185"/>
    <n v="92"/>
    <s v="200 ml"/>
    <x v="54"/>
  </r>
  <r>
    <n v="3616"/>
    <x v="3015"/>
    <x v="358"/>
    <n v="375"/>
    <n v="285"/>
    <s v="100 gm"/>
    <x v="54"/>
  </r>
  <r>
    <n v="3617"/>
    <x v="3016"/>
    <x v="636"/>
    <n v="120"/>
    <n v="74"/>
    <s v="120 gm"/>
    <x v="54"/>
  </r>
  <r>
    <n v="3618"/>
    <x v="3017"/>
    <x v="358"/>
    <n v="315"/>
    <n v="225"/>
    <s v="100 gm"/>
    <x v="54"/>
  </r>
  <r>
    <n v="3619"/>
    <x v="3018"/>
    <x v="637"/>
    <n v="490"/>
    <n v="415"/>
    <s v="60 ml"/>
    <x v="54"/>
  </r>
  <r>
    <n v="3620"/>
    <x v="3019"/>
    <x v="638"/>
    <n v="249"/>
    <n v="218"/>
    <s v="45 gm"/>
    <x v="54"/>
  </r>
  <r>
    <n v="3621"/>
    <x v="3020"/>
    <x v="633"/>
    <n v="175"/>
    <n v="87"/>
    <s v="200 ml"/>
    <x v="54"/>
  </r>
  <r>
    <n v="3622"/>
    <x v="3021"/>
    <x v="630"/>
    <n v="299"/>
    <n v="239"/>
    <s v="200 ml"/>
    <x v="54"/>
  </r>
  <r>
    <n v="3623"/>
    <x v="3022"/>
    <x v="639"/>
    <n v="349"/>
    <n v="279"/>
    <s v="200 gm"/>
    <x v="54"/>
  </r>
  <r>
    <n v="3624"/>
    <x v="3023"/>
    <x v="358"/>
    <n v="680"/>
    <n v="544"/>
    <s v="60 gm"/>
    <x v="55"/>
  </r>
  <r>
    <n v="3625"/>
    <x v="3024"/>
    <x v="639"/>
    <n v="349"/>
    <n v="279"/>
    <s v="200 gm"/>
    <x v="54"/>
  </r>
  <r>
    <n v="3626"/>
    <x v="3025"/>
    <x v="640"/>
    <n v="299"/>
    <n v="199"/>
    <s v="200 ml"/>
    <x v="54"/>
  </r>
  <r>
    <n v="3627"/>
    <x v="3026"/>
    <x v="638"/>
    <n v="275"/>
    <n v="175"/>
    <s v="250 ml"/>
    <x v="54"/>
  </r>
  <r>
    <n v="3628"/>
    <x v="3027"/>
    <x v="640"/>
    <n v="299"/>
    <n v="199"/>
    <s v="200 ml"/>
    <x v="54"/>
  </r>
  <r>
    <n v="3629"/>
    <x v="3028"/>
    <x v="641"/>
    <n v="90"/>
    <n v="80"/>
    <s v="25 gm"/>
    <x v="54"/>
  </r>
  <r>
    <n v="3630"/>
    <x v="3029"/>
    <x v="642"/>
    <n v="455"/>
    <n v="360"/>
    <s v="60 gm"/>
    <x v="54"/>
  </r>
  <r>
    <n v="3631"/>
    <x v="3030"/>
    <x v="633"/>
    <n v="220"/>
    <n v="110"/>
    <s v="300 ml"/>
    <x v="54"/>
  </r>
  <r>
    <n v="3632"/>
    <x v="3031"/>
    <x v="633"/>
    <n v="270"/>
    <n v="135"/>
    <s v="300 ml"/>
    <x v="54"/>
  </r>
  <r>
    <n v="3633"/>
    <x v="3032"/>
    <x v="632"/>
    <n v="699"/>
    <n v="519"/>
    <s v="50 gm"/>
    <x v="55"/>
  </r>
  <r>
    <n v="3634"/>
    <x v="3033"/>
    <x v="636"/>
    <n v="120"/>
    <n v="74"/>
    <s v="120 gm"/>
    <x v="54"/>
  </r>
  <r>
    <n v="3635"/>
    <x v="3034"/>
    <x v="58"/>
    <n v="110"/>
    <n v="95"/>
    <s v="150 ml"/>
    <x v="54"/>
  </r>
  <r>
    <n v="3636"/>
    <x v="3035"/>
    <x v="643"/>
    <n v="80"/>
    <n v="68"/>
    <s v="100 gm"/>
    <x v="54"/>
  </r>
  <r>
    <n v="3637"/>
    <x v="3036"/>
    <x v="630"/>
    <n v="130"/>
    <n v="89"/>
    <s v="120 ml"/>
    <x v="54"/>
  </r>
  <r>
    <n v="3638"/>
    <x v="3037"/>
    <x v="644"/>
    <n v="599"/>
    <n v="399"/>
    <s v="35 gm"/>
    <x v="55"/>
  </r>
  <r>
    <n v="3639"/>
    <x v="3038"/>
    <x v="358"/>
    <n v="455"/>
    <n v="341"/>
    <s v="50 gm"/>
    <x v="54"/>
  </r>
  <r>
    <n v="3640"/>
    <x v="3039"/>
    <x v="634"/>
    <n v="749"/>
    <n v="599"/>
    <s v="50 gm"/>
    <x v="54"/>
  </r>
  <r>
    <n v="3641"/>
    <x v="3040"/>
    <x v="644"/>
    <n v="599"/>
    <n v="335"/>
    <s v="100 ml"/>
    <x v="55"/>
  </r>
  <r>
    <n v="3642"/>
    <x v="3041"/>
    <x v="632"/>
    <n v="530"/>
    <n v="344"/>
    <s v="130 ml"/>
    <x v="54"/>
  </r>
  <r>
    <n v="3643"/>
    <x v="3042"/>
    <x v="634"/>
    <n v="999"/>
    <n v="643"/>
    <s v="50 gm"/>
    <x v="54"/>
  </r>
  <r>
    <n v="3644"/>
    <x v="3043"/>
    <x v="645"/>
    <n v="189"/>
    <n v="170"/>
    <s v="40 gm"/>
    <x v="55"/>
  </r>
  <r>
    <n v="3645"/>
    <x v="3044"/>
    <x v="645"/>
    <n v="899"/>
    <n v="825"/>
    <s v="50 gm"/>
    <x v="55"/>
  </r>
  <r>
    <n v="3646"/>
    <x v="3045"/>
    <x v="645"/>
    <n v="899"/>
    <n v="719"/>
    <s v="50 gm"/>
    <x v="54"/>
  </r>
  <r>
    <n v="3647"/>
    <x v="3046"/>
    <x v="619"/>
    <n v="210"/>
    <n v="129"/>
    <s v="210 ml"/>
    <x v="54"/>
  </r>
  <r>
    <n v="3648"/>
    <x v="3047"/>
    <x v="619"/>
    <n v="275"/>
    <n v="209"/>
    <s v="210 ml"/>
    <x v="54"/>
  </r>
  <r>
    <n v="3649"/>
    <x v="3048"/>
    <x v="628"/>
    <n v="700"/>
    <n v="350"/>
    <s v="50 gm"/>
    <x v="54"/>
  </r>
  <r>
    <n v="3650"/>
    <x v="3049"/>
    <x v="646"/>
    <n v="210"/>
    <n v="180"/>
    <s v="200 ml"/>
    <x v="55"/>
  </r>
  <r>
    <n v="3651"/>
    <x v="3049"/>
    <x v="646"/>
    <n v="170"/>
    <n v="140"/>
    <s v="150 ml"/>
    <x v="55"/>
  </r>
  <r>
    <n v="3652"/>
    <x v="3049"/>
    <x v="646"/>
    <n v="130"/>
    <n v="115"/>
    <s v="100 ml"/>
    <x v="55"/>
  </r>
  <r>
    <n v="3653"/>
    <x v="3050"/>
    <x v="647"/>
    <n v="140"/>
    <n v="125"/>
    <s v="100 ml"/>
    <x v="55"/>
  </r>
  <r>
    <n v="3654"/>
    <x v="3050"/>
    <x v="647"/>
    <n v="195"/>
    <n v="165"/>
    <s v="150 ml"/>
    <x v="55"/>
  </r>
  <r>
    <n v="3655"/>
    <x v="3051"/>
    <x v="632"/>
    <n v="349"/>
    <n v="189"/>
    <s v="200 gm"/>
    <x v="55"/>
  </r>
  <r>
    <n v="3656"/>
    <x v="3052"/>
    <x v="58"/>
    <n v="90"/>
    <n v="83"/>
    <s v="150 ml"/>
    <x v="54"/>
  </r>
  <r>
    <n v="3657"/>
    <x v="3053"/>
    <x v="632"/>
    <n v="425"/>
    <n v="212"/>
    <s v="200 gm"/>
    <x v="55"/>
  </r>
  <r>
    <n v="3658"/>
    <x v="3054"/>
    <x v="648"/>
    <n v="150"/>
    <n v="75"/>
    <s v="150 gm"/>
    <x v="20"/>
  </r>
  <r>
    <n v="3659"/>
    <x v="3055"/>
    <x v="638"/>
    <n v="225"/>
    <n v="170"/>
    <s v="100 gm"/>
    <x v="55"/>
  </r>
  <r>
    <n v="3660"/>
    <x v="3056"/>
    <x v="638"/>
    <n v="225"/>
    <n v="170"/>
    <s v="100 gm"/>
    <x v="55"/>
  </r>
  <r>
    <n v="3661"/>
    <x v="3057"/>
    <x v="638"/>
    <n v="225"/>
    <n v="175"/>
    <s v="100 gm"/>
    <x v="55"/>
  </r>
  <r>
    <n v="3662"/>
    <x v="3058"/>
    <x v="648"/>
    <n v="225"/>
    <n v="185"/>
    <s v="200 gm"/>
    <x v="54"/>
  </r>
  <r>
    <n v="3663"/>
    <x v="3059"/>
    <x v="630"/>
    <n v="250"/>
    <n v="175"/>
    <s v="100 gm"/>
    <x v="55"/>
  </r>
  <r>
    <n v="3664"/>
    <x v="3060"/>
    <x v="638"/>
    <n v="189"/>
    <n v="134"/>
    <s v="100 gm"/>
    <x v="55"/>
  </r>
  <r>
    <n v="3665"/>
    <x v="3061"/>
    <x v="648"/>
    <n v="165"/>
    <n v="82"/>
    <s v="150 gm"/>
    <x v="55"/>
  </r>
  <r>
    <n v="3666"/>
    <x v="3062"/>
    <x v="606"/>
    <n v="160"/>
    <n v="148"/>
    <s v="60 gm"/>
    <x v="55"/>
  </r>
  <r>
    <n v="3667"/>
    <x v="3063"/>
    <x v="649"/>
    <n v="99"/>
    <n v="49"/>
    <s v="25 ml"/>
    <x v="54"/>
  </r>
  <r>
    <n v="3668"/>
    <x v="3064"/>
    <x v="630"/>
    <n v="225"/>
    <n v="144"/>
    <s v="100 gm"/>
    <x v="55"/>
  </r>
  <r>
    <n v="3669"/>
    <x v="3065"/>
    <x v="638"/>
    <n v="99"/>
    <n v="66"/>
    <s v="28 gm"/>
    <x v="54"/>
  </r>
  <r>
    <n v="3670"/>
    <x v="3066"/>
    <x v="638"/>
    <n v="225"/>
    <n v="199"/>
    <s v="100 gm"/>
    <x v="55"/>
  </r>
  <r>
    <n v="3671"/>
    <x v="3067"/>
    <x v="650"/>
    <n v="155"/>
    <n v="135"/>
    <s v="60 gm"/>
    <x v="55"/>
  </r>
  <r>
    <n v="3672"/>
    <x v="3068"/>
    <x v="359"/>
    <n v="50"/>
    <n v="46"/>
    <s v="120 ml"/>
    <x v="54"/>
  </r>
  <r>
    <n v="3673"/>
    <x v="3069"/>
    <x v="649"/>
    <n v="99"/>
    <n v="49"/>
    <s v="25 ml"/>
    <x v="54"/>
  </r>
  <r>
    <n v="3674"/>
    <x v="3070"/>
    <x v="630"/>
    <n v="199"/>
    <n v="144"/>
    <s v="100 gm"/>
    <x v="55"/>
  </r>
  <r>
    <n v="3675"/>
    <x v="3071"/>
    <x v="638"/>
    <n v="99"/>
    <n v="66"/>
    <s v="28 gm"/>
    <x v="54"/>
  </r>
  <r>
    <n v="3676"/>
    <x v="3072"/>
    <x v="649"/>
    <n v="99"/>
    <n v="49"/>
    <s v="25 ml"/>
    <x v="54"/>
  </r>
  <r>
    <n v="3677"/>
    <x v="3073"/>
    <x v="638"/>
    <n v="99"/>
    <n v="66"/>
    <s v="28 gm"/>
    <x v="54"/>
  </r>
  <r>
    <n v="3678"/>
    <x v="3074"/>
    <x v="639"/>
    <n v="599"/>
    <n v="479"/>
    <s v="30 gm"/>
    <x v="54"/>
  </r>
  <r>
    <n v="3679"/>
    <x v="3075"/>
    <x v="649"/>
    <n v="129"/>
    <n v="64"/>
    <s v="25 ml"/>
    <x v="54"/>
  </r>
  <r>
    <n v="3680"/>
    <x v="3076"/>
    <x v="632"/>
    <n v="225"/>
    <n v="155"/>
    <s v="100 gm"/>
    <x v="54"/>
  </r>
  <r>
    <n v="3681"/>
    <x v="3077"/>
    <x v="358"/>
    <n v="165"/>
    <n v="125"/>
    <s v="50 gm"/>
    <x v="54"/>
  </r>
  <r>
    <n v="3682"/>
    <x v="3078"/>
    <x v="358"/>
    <n v="270"/>
    <n v="220"/>
    <s v="100 gm"/>
    <x v="54"/>
  </r>
  <r>
    <n v="3683"/>
    <x v="3079"/>
    <x v="649"/>
    <n v="149"/>
    <n v="74"/>
    <s v="25 ml"/>
    <x v="54"/>
  </r>
  <r>
    <n v="3684"/>
    <x v="3080"/>
    <x v="642"/>
    <n v="205"/>
    <n v="142"/>
    <s v="100 gm"/>
    <x v="54"/>
  </r>
  <r>
    <n v="3685"/>
    <x v="3081"/>
    <x v="649"/>
    <n v="99"/>
    <n v="49"/>
    <s v="25 ml"/>
    <x v="54"/>
  </r>
  <r>
    <n v="3686"/>
    <x v="3082"/>
    <x v="632"/>
    <n v="330"/>
    <n v="210"/>
    <s v="275 ml"/>
    <x v="55"/>
  </r>
  <r>
    <n v="3687"/>
    <x v="3083"/>
    <x v="645"/>
    <n v="399"/>
    <n v="355"/>
    <s v="50 gm"/>
    <x v="55"/>
  </r>
  <r>
    <n v="3688"/>
    <x v="3084"/>
    <x v="651"/>
    <n v="275"/>
    <n v="220"/>
    <s v="100 ml"/>
    <x v="55"/>
  </r>
  <r>
    <n v="3689"/>
    <x v="3085"/>
    <x v="632"/>
    <n v="110"/>
    <n v="97"/>
    <s v="100 gm"/>
    <x v="54"/>
  </r>
  <r>
    <n v="3690"/>
    <x v="3085"/>
    <x v="632"/>
    <n v="215"/>
    <n v="175"/>
    <s v="200 gm"/>
    <x v="54"/>
  </r>
  <r>
    <n v="3691"/>
    <x v="3085"/>
    <x v="632"/>
    <n v="340"/>
    <n v="279"/>
    <s v="400 gm"/>
    <x v="54"/>
  </r>
  <r>
    <n v="3692"/>
    <x v="3086"/>
    <x v="612"/>
    <n v="179"/>
    <n v="89"/>
    <s v="400 gm"/>
    <x v="54"/>
  </r>
  <r>
    <n v="3693"/>
    <x v="3086"/>
    <x v="612"/>
    <n v="109"/>
    <n v="54"/>
    <s v="200 gm"/>
    <x v="54"/>
  </r>
  <r>
    <n v="3694"/>
    <x v="3087"/>
    <x v="632"/>
    <n v="135"/>
    <n v="115"/>
    <s v="100 gm"/>
    <x v="54"/>
  </r>
  <r>
    <n v="3695"/>
    <x v="3088"/>
    <x v="2"/>
    <n v="125"/>
    <n v="85"/>
    <s v="75 gm"/>
    <x v="54"/>
  </r>
  <r>
    <n v="3696"/>
    <x v="3089"/>
    <x v="652"/>
    <n v="230"/>
    <n v="165"/>
    <s v="250 gm"/>
    <x v="54"/>
  </r>
  <r>
    <n v="3697"/>
    <x v="3090"/>
    <x v="652"/>
    <n v="230"/>
    <n v="165"/>
    <s v="250 gm"/>
    <x v="54"/>
  </r>
  <r>
    <n v="3698"/>
    <x v="3091"/>
    <x v="632"/>
    <n v="135"/>
    <n v="123"/>
    <s v="100 gm"/>
    <x v="54"/>
  </r>
  <r>
    <n v="3699"/>
    <x v="3092"/>
    <x v="612"/>
    <n v="109"/>
    <n v="54"/>
    <s v="200 gm"/>
    <x v="54"/>
  </r>
  <r>
    <n v="3700"/>
    <x v="3093"/>
    <x v="612"/>
    <n v="109"/>
    <n v="54"/>
    <s v="200 gm"/>
    <x v="54"/>
  </r>
  <r>
    <n v="3701"/>
    <x v="3094"/>
    <x v="653"/>
    <n v="129"/>
    <n v="64"/>
    <s v="100 gm"/>
    <x v="54"/>
  </r>
  <r>
    <n v="3702"/>
    <x v="3095"/>
    <x v="630"/>
    <n v="499"/>
    <n v="309"/>
    <s v="500 ml"/>
    <x v="54"/>
  </r>
  <r>
    <n v="3703"/>
    <x v="3096"/>
    <x v="654"/>
    <n v="449"/>
    <n v="289"/>
    <s v="500 ml"/>
    <x v="54"/>
  </r>
  <r>
    <n v="3704"/>
    <x v="3097"/>
    <x v="630"/>
    <n v="199"/>
    <n v="134"/>
    <s v="250 ml"/>
    <x v="54"/>
  </r>
  <r>
    <n v="3705"/>
    <x v="3098"/>
    <x v="630"/>
    <n v="499"/>
    <n v="374"/>
    <s v="500 ml"/>
    <x v="54"/>
  </r>
  <r>
    <n v="3706"/>
    <x v="3099"/>
    <x v="654"/>
    <n v="449"/>
    <n v="249"/>
    <s v="500 ml"/>
    <x v="54"/>
  </r>
  <r>
    <n v="3707"/>
    <x v="3100"/>
    <x v="655"/>
    <n v="539"/>
    <n v="324"/>
    <s v="750 ml"/>
    <x v="54"/>
  </r>
  <r>
    <n v="3708"/>
    <x v="3101"/>
    <x v="639"/>
    <n v="349"/>
    <n v="239"/>
    <s v="300 ml"/>
    <x v="54"/>
  </r>
  <r>
    <n v="3709"/>
    <x v="3102"/>
    <x v="630"/>
    <n v="225"/>
    <n v="139"/>
    <s v="250 ml"/>
    <x v="54"/>
  </r>
  <r>
    <n v="3710"/>
    <x v="3103"/>
    <x v="630"/>
    <n v="225"/>
    <n v="139"/>
    <s v="250 ml"/>
    <x v="54"/>
  </r>
  <r>
    <n v="3711"/>
    <x v="3104"/>
    <x v="612"/>
    <n v="150"/>
    <n v="89"/>
    <s v="250 ml"/>
    <x v="54"/>
  </r>
  <r>
    <n v="3712"/>
    <x v="3105"/>
    <x v="630"/>
    <n v="259"/>
    <n v="155"/>
    <s v="250 ml"/>
    <x v="54"/>
  </r>
  <r>
    <n v="3713"/>
    <x v="3106"/>
    <x v="630"/>
    <n v="199"/>
    <n v="144"/>
    <s v="250 ml"/>
    <x v="54"/>
  </r>
  <r>
    <n v="3714"/>
    <x v="3107"/>
    <x v="612"/>
    <n v="150"/>
    <n v="89"/>
    <s v="250 ml"/>
    <x v="54"/>
  </r>
  <r>
    <n v="3715"/>
    <x v="3108"/>
    <x v="655"/>
    <n v="539"/>
    <n v="350"/>
    <s v="750 ml"/>
    <x v="54"/>
  </r>
  <r>
    <n v="3716"/>
    <x v="3109"/>
    <x v="639"/>
    <n v="299"/>
    <n v="239"/>
    <s v="300 ml"/>
    <x v="54"/>
  </r>
  <r>
    <n v="3717"/>
    <x v="3103"/>
    <x v="630"/>
    <n v="499"/>
    <n v="309"/>
    <s v="500 ml"/>
    <x v="54"/>
  </r>
  <r>
    <n v="3718"/>
    <x v="3110"/>
    <x v="655"/>
    <n v="279"/>
    <n v="174"/>
    <s v="250 ml"/>
    <x v="54"/>
  </r>
  <r>
    <n v="3719"/>
    <x v="3111"/>
    <x v="655"/>
    <n v="249"/>
    <n v="174"/>
    <s v="250 ml"/>
    <x v="54"/>
  </r>
  <r>
    <n v="3720"/>
    <x v="3112"/>
    <x v="656"/>
    <n v="850"/>
    <n v="680"/>
    <s v="473 ml"/>
    <x v="54"/>
  </r>
  <r>
    <n v="3721"/>
    <x v="3113"/>
    <x v="619"/>
    <n v="210"/>
    <n v="145"/>
    <s v="210 ml"/>
    <x v="54"/>
  </r>
  <r>
    <n v="3722"/>
    <x v="3114"/>
    <x v="657"/>
    <n v="380"/>
    <n v="266"/>
    <s v="240 ml"/>
    <x v="54"/>
  </r>
  <r>
    <n v="3723"/>
    <x v="3115"/>
    <x v="657"/>
    <n v="380"/>
    <n v="266"/>
    <s v="240 ml"/>
    <x v="54"/>
  </r>
  <r>
    <n v="3724"/>
    <x v="3116"/>
    <x v="658"/>
    <n v="450"/>
    <n v="315"/>
    <s v="300 ml"/>
    <x v="54"/>
  </r>
  <r>
    <n v="3725"/>
    <x v="3117"/>
    <x v="651"/>
    <n v="299"/>
    <n v="239"/>
    <s v="200 ml"/>
    <x v="54"/>
  </r>
  <r>
    <n v="3726"/>
    <x v="3118"/>
    <x v="606"/>
    <n v="425"/>
    <n v="325"/>
    <s v="750 ml"/>
    <x v="54"/>
  </r>
  <r>
    <n v="3727"/>
    <x v="3118"/>
    <x v="606"/>
    <n v="135"/>
    <n v="119"/>
    <s v="250 ml"/>
    <x v="54"/>
  </r>
  <r>
    <n v="3728"/>
    <x v="3119"/>
    <x v="606"/>
    <n v="410"/>
    <n v="310"/>
    <s v="750 ml"/>
    <x v="54"/>
  </r>
  <r>
    <n v="3729"/>
    <x v="3120"/>
    <x v="655"/>
    <n v="599"/>
    <n v="369"/>
    <s v="750 ml"/>
    <x v="54"/>
  </r>
  <r>
    <n v="3730"/>
    <x v="3121"/>
    <x v="655"/>
    <n v="629"/>
    <n v="389"/>
    <s v="750 ml"/>
    <x v="54"/>
  </r>
  <r>
    <n v="3731"/>
    <x v="3122"/>
    <x v="608"/>
    <n v="125"/>
    <n v="112"/>
    <s v="250 ml"/>
    <x v="54"/>
  </r>
  <r>
    <n v="3732"/>
    <x v="3123"/>
    <x v="358"/>
    <n v="315"/>
    <n v="195"/>
    <s v="50 gm"/>
    <x v="54"/>
  </r>
  <r>
    <n v="3733"/>
    <x v="3124"/>
    <x v="358"/>
    <n v="415"/>
    <n v="279"/>
    <s v="60 gm"/>
    <x v="54"/>
  </r>
  <r>
    <n v="3734"/>
    <x v="3125"/>
    <x v="634"/>
    <n v="449"/>
    <n v="399"/>
    <s v="100 ml"/>
    <x v="54"/>
  </r>
  <r>
    <n v="3735"/>
    <x v="3126"/>
    <x v="358"/>
    <n v="360"/>
    <n v="251"/>
    <s v="50 gm"/>
    <x v="54"/>
  </r>
  <r>
    <n v="3736"/>
    <x v="3127"/>
    <x v="634"/>
    <n v="275"/>
    <n v="255"/>
    <s v="50 ml"/>
    <x v="54"/>
  </r>
  <r>
    <n v="3737"/>
    <x v="3128"/>
    <x v="358"/>
    <n v="265"/>
    <n v="205"/>
    <s v="50 gm"/>
    <x v="54"/>
  </r>
  <r>
    <n v="3738"/>
    <x v="3129"/>
    <x v="632"/>
    <n v="525"/>
    <n v="399"/>
    <s v="100 ml"/>
    <x v="54"/>
  </r>
  <r>
    <n v="3739"/>
    <x v="3130"/>
    <x v="630"/>
    <n v="140"/>
    <n v="110"/>
    <s v="4.8 gm"/>
    <x v="54"/>
  </r>
  <r>
    <n v="3740"/>
    <x v="3131"/>
    <x v="639"/>
    <n v="299"/>
    <n v="239"/>
    <s v="2 gm"/>
    <x v="54"/>
  </r>
  <r>
    <n v="3741"/>
    <x v="3132"/>
    <x v="646"/>
    <n v="150"/>
    <n v="130"/>
    <s v="4.5 gm"/>
    <x v="54"/>
  </r>
  <r>
    <n v="3742"/>
    <x v="3133"/>
    <x v="646"/>
    <n v="150"/>
    <n v="125"/>
    <s v="4.5 gm"/>
    <x v="54"/>
  </r>
  <r>
    <n v="3743"/>
    <x v="3134"/>
    <x v="630"/>
    <n v="425"/>
    <n v="304"/>
    <s v="400 ml"/>
    <x v="54"/>
  </r>
  <r>
    <n v="3744"/>
    <x v="3135"/>
    <x v="645"/>
    <n v="1699"/>
    <n v="1390"/>
    <s v="50 gm"/>
    <x v="54"/>
  </r>
  <r>
    <n v="3745"/>
    <x v="3136"/>
    <x v="358"/>
    <n v="285"/>
    <n v="215"/>
    <s v="1 U"/>
    <x v="54"/>
  </r>
  <r>
    <n v="3746"/>
    <x v="3137"/>
    <x v="358"/>
    <n v="325"/>
    <n v="244"/>
    <s v="1 U"/>
    <x v="54"/>
  </r>
  <r>
    <n v="3747"/>
    <x v="3138"/>
    <x v="358"/>
    <n v="735"/>
    <n v="521"/>
    <s v="50 gm"/>
    <x v="54"/>
  </r>
  <r>
    <n v="3748"/>
    <x v="3139"/>
    <x v="358"/>
    <n v="260"/>
    <n v="180"/>
    <s v="100 gm"/>
    <x v="54"/>
  </r>
  <r>
    <n v="3749"/>
    <x v="3140"/>
    <x v="358"/>
    <n v="775"/>
    <n v="543"/>
    <s v="50 gm"/>
    <x v="54"/>
  </r>
  <r>
    <n v="3750"/>
    <x v="3141"/>
    <x v="645"/>
    <n v="999"/>
    <n v="889"/>
    <s v="50 ml"/>
    <x v="54"/>
  </r>
  <r>
    <n v="3751"/>
    <x v="3142"/>
    <x v="634"/>
    <n v="349"/>
    <n v="279"/>
    <s v="50 gm"/>
    <x v="54"/>
  </r>
  <r>
    <n v="3752"/>
    <x v="3143"/>
    <x v="358"/>
    <n v="315"/>
    <n v="270"/>
    <s v="100 ml"/>
    <x v="54"/>
  </r>
  <r>
    <n v="3753"/>
    <x v="3144"/>
    <x v="645"/>
    <n v="1399"/>
    <n v="999"/>
    <s v="50 gm"/>
    <x v="54"/>
  </r>
  <r>
    <n v="3754"/>
    <x v="3145"/>
    <x v="659"/>
    <n v="499"/>
    <n v="399"/>
    <s v="15 ml"/>
    <x v="54"/>
  </r>
  <r>
    <n v="3755"/>
    <x v="3146"/>
    <x v="358"/>
    <n v="390"/>
    <n v="289"/>
    <s v="30 gm"/>
    <x v="54"/>
  </r>
  <r>
    <n v="3756"/>
    <x v="3147"/>
    <x v="629"/>
    <n v="349"/>
    <n v="249"/>
    <s v="180 ml"/>
    <x v="54"/>
  </r>
  <r>
    <n v="3757"/>
    <x v="3148"/>
    <x v="629"/>
    <n v="299"/>
    <n v="199"/>
    <s v="180 ml"/>
    <x v="54"/>
  </r>
  <r>
    <n v="3758"/>
    <x v="3145"/>
    <x v="659"/>
    <n v="999"/>
    <n v="723"/>
    <s v="50 ml"/>
    <x v="54"/>
  </r>
  <r>
    <n v="3759"/>
    <x v="3149"/>
    <x v="358"/>
    <n v="825"/>
    <n v="468"/>
    <s v="30 ml"/>
    <x v="54"/>
  </r>
  <r>
    <n v="3760"/>
    <x v="3150"/>
    <x v="645"/>
    <n v="1299"/>
    <n v="949"/>
    <s v="30 ml"/>
    <x v="54"/>
  </r>
  <r>
    <n v="3761"/>
    <x v="3151"/>
    <x v="358"/>
    <n v="390"/>
    <n v="275"/>
    <s v="30 gm"/>
    <x v="54"/>
  </r>
  <r>
    <n v="3762"/>
    <x v="3152"/>
    <x v="358"/>
    <n v="475"/>
    <n v="269"/>
    <s v="50 ml"/>
    <x v="54"/>
  </r>
  <r>
    <n v="3763"/>
    <x v="3153"/>
    <x v="645"/>
    <n v="899"/>
    <n v="719"/>
    <s v="50 gm"/>
    <x v="54"/>
  </r>
  <r>
    <n v="3764"/>
    <x v="3154"/>
    <x v="645"/>
    <n v="399"/>
    <n v="365"/>
    <s v="50 gm"/>
    <x v="54"/>
  </r>
  <r>
    <n v="3765"/>
    <x v="3155"/>
    <x v="660"/>
    <n v="299"/>
    <n v="209"/>
    <s v="130 ml"/>
    <x v="54"/>
  </r>
  <r>
    <n v="3766"/>
    <x v="3156"/>
    <x v="657"/>
    <n v="490"/>
    <n v="367"/>
    <s v="60 gm"/>
    <x v="54"/>
  </r>
  <r>
    <n v="3767"/>
    <x v="3157"/>
    <x v="639"/>
    <n v="249"/>
    <n v="199"/>
    <s v="100 ml"/>
    <x v="55"/>
  </r>
  <r>
    <n v="3768"/>
    <x v="3158"/>
    <x v="639"/>
    <n v="249"/>
    <n v="199"/>
    <s v="100 ml"/>
    <x v="55"/>
  </r>
  <r>
    <n v="3769"/>
    <x v="3159"/>
    <x v="639"/>
    <n v="259"/>
    <n v="209"/>
    <s v="100 ml"/>
    <x v="55"/>
  </r>
  <r>
    <n v="3770"/>
    <x v="3160"/>
    <x v="648"/>
    <n v="165"/>
    <n v="82"/>
    <s v="150 gm"/>
    <x v="55"/>
  </r>
  <r>
    <n v="3771"/>
    <x v="3161"/>
    <x v="630"/>
    <n v="185"/>
    <n v="108"/>
    <s v="100 ml"/>
    <x v="55"/>
  </r>
  <r>
    <n v="3772"/>
    <x v="3162"/>
    <x v="630"/>
    <n v="185"/>
    <n v="115"/>
    <s v="100 ml"/>
    <x v="55"/>
  </r>
  <r>
    <n v="3773"/>
    <x v="3163"/>
    <x v="661"/>
    <n v="140"/>
    <n v="125"/>
    <s v="100 gm"/>
    <x v="55"/>
  </r>
  <r>
    <n v="3774"/>
    <x v="3164"/>
    <x v="639"/>
    <n v="259"/>
    <n v="199"/>
    <s v="100 ml"/>
    <x v="55"/>
  </r>
  <r>
    <n v="3775"/>
    <x v="3165"/>
    <x v="639"/>
    <n v="399"/>
    <n v="319"/>
    <s v="150 ml"/>
    <x v="55"/>
  </r>
  <r>
    <n v="3776"/>
    <x v="3166"/>
    <x v="647"/>
    <n v="200"/>
    <n v="175"/>
    <s v="150 ml"/>
    <x v="55"/>
  </r>
  <r>
    <n v="3777"/>
    <x v="3167"/>
    <x v="647"/>
    <n v="200"/>
    <n v="185"/>
    <s v="150 ml"/>
    <x v="55"/>
  </r>
  <r>
    <n v="3778"/>
    <x v="3168"/>
    <x v="630"/>
    <n v="225"/>
    <n v="130"/>
    <s v="100 ml"/>
    <x v="55"/>
  </r>
  <r>
    <n v="3779"/>
    <x v="3169"/>
    <x v="647"/>
    <n v="200"/>
    <n v="165"/>
    <s v="150 ml"/>
    <x v="55"/>
  </r>
  <r>
    <n v="3780"/>
    <x v="3170"/>
    <x v="630"/>
    <n v="199"/>
    <n v="144"/>
    <s v="100 gm"/>
    <x v="55"/>
  </r>
  <r>
    <n v="3781"/>
    <x v="3171"/>
    <x v="358"/>
    <n v="210"/>
    <n v="149"/>
    <s v="120 gm"/>
    <x v="55"/>
  </r>
  <r>
    <n v="3782"/>
    <x v="3172"/>
    <x v="358"/>
    <n v="210"/>
    <n v="149"/>
    <s v="120 gm"/>
    <x v="55"/>
  </r>
  <r>
    <n v="3783"/>
    <x v="3173"/>
    <x v="656"/>
    <n v="475"/>
    <n v="380"/>
    <s v="200 ml"/>
    <x v="54"/>
  </r>
  <r>
    <n v="3784"/>
    <x v="3174"/>
    <x v="656"/>
    <n v="1050"/>
    <n v="840"/>
    <s v="50 gm"/>
    <x v="55"/>
  </r>
  <r>
    <n v="3785"/>
    <x v="3174"/>
    <x v="656"/>
    <n v="450"/>
    <n v="360"/>
    <s v="15 gm"/>
    <x v="55"/>
  </r>
  <r>
    <n v="3786"/>
    <x v="3175"/>
    <x v="358"/>
    <n v="210"/>
    <n v="149"/>
    <s v="120 gm"/>
    <x v="55"/>
  </r>
  <r>
    <n v="3787"/>
    <x v="3176"/>
    <x v="662"/>
    <n v="98"/>
    <n v="70"/>
    <s v="115 ml"/>
    <x v="55"/>
  </r>
  <r>
    <n v="3788"/>
    <x v="3177"/>
    <x v="662"/>
    <n v="98"/>
    <n v="70"/>
    <s v="115 ml"/>
    <x v="55"/>
  </r>
  <r>
    <n v="3789"/>
    <x v="3178"/>
    <x v="656"/>
    <n v="675"/>
    <n v="540"/>
    <s v="175 ml"/>
    <x v="55"/>
  </r>
  <r>
    <n v="3790"/>
    <x v="3179"/>
    <x v="656"/>
    <n v="700"/>
    <n v="560"/>
    <s v="175 ml"/>
    <x v="55"/>
  </r>
  <r>
    <n v="3791"/>
    <x v="3180"/>
    <x v="660"/>
    <n v="249"/>
    <n v="174"/>
    <s v="100 ml"/>
    <x v="55"/>
  </r>
  <r>
    <n v="3792"/>
    <x v="3181"/>
    <x v="619"/>
    <n v="299"/>
    <n v="192"/>
    <s v="210 ml"/>
    <x v="55"/>
  </r>
  <r>
    <n v="3793"/>
    <x v="3182"/>
    <x v="660"/>
    <n v="249"/>
    <n v="174"/>
    <s v="100 ml"/>
    <x v="55"/>
  </r>
  <r>
    <n v="3794"/>
    <x v="3183"/>
    <x v="663"/>
    <n v="95"/>
    <n v="80"/>
    <s v="150 ml"/>
    <x v="55"/>
  </r>
  <r>
    <n v="3795"/>
    <x v="3184"/>
    <x v="657"/>
    <n v="345"/>
    <n v="241"/>
    <s v="75 ml"/>
    <x v="55"/>
  </r>
  <r>
    <n v="3796"/>
    <x v="3185"/>
    <x v="628"/>
    <n v="450"/>
    <n v="225"/>
    <s v="100 ml"/>
    <x v="55"/>
  </r>
  <r>
    <n v="3797"/>
    <x v="3186"/>
    <x v="628"/>
    <n v="350"/>
    <n v="175"/>
    <s v="100 ml"/>
    <x v="55"/>
  </r>
  <r>
    <n v="3798"/>
    <x v="3187"/>
    <x v="639"/>
    <n v="349"/>
    <n v="279"/>
    <s v="100 gm"/>
    <x v="55"/>
  </r>
  <r>
    <n v="3799"/>
    <x v="3188"/>
    <x v="661"/>
    <n v="246"/>
    <n v="206"/>
    <s v="110 gm"/>
    <x v="55"/>
  </r>
  <r>
    <n v="3800"/>
    <x v="3188"/>
    <x v="661"/>
    <n v="186"/>
    <n v="171"/>
    <s v="80 gm"/>
    <x v="55"/>
  </r>
  <r>
    <n v="3801"/>
    <x v="3188"/>
    <x v="661"/>
    <n v="122"/>
    <n v="112"/>
    <s v="50 gm"/>
    <x v="55"/>
  </r>
  <r>
    <n v="3802"/>
    <x v="3188"/>
    <x v="661"/>
    <n v="62"/>
    <n v="56"/>
    <s v="25 gm"/>
    <x v="55"/>
  </r>
  <r>
    <n v="3803"/>
    <x v="3189"/>
    <x v="639"/>
    <n v="449"/>
    <n v="359"/>
    <s v="30 gm"/>
    <x v="55"/>
  </r>
  <r>
    <n v="3804"/>
    <x v="3190"/>
    <x v="638"/>
    <n v="249"/>
    <n v="195"/>
    <s v="15 ml"/>
    <x v="54"/>
  </r>
  <r>
    <n v="3805"/>
    <x v="3190"/>
    <x v="638"/>
    <n v="449"/>
    <n v="371"/>
    <s v="30 ml"/>
    <x v="54"/>
  </r>
  <r>
    <n v="3806"/>
    <x v="3191"/>
    <x v="639"/>
    <n v="599"/>
    <n v="479"/>
    <s v="50 gm"/>
    <x v="55"/>
  </r>
  <r>
    <n v="3807"/>
    <x v="3192"/>
    <x v="638"/>
    <n v="179"/>
    <n v="138"/>
    <s v="45 gm"/>
    <x v="55"/>
  </r>
  <r>
    <n v="3808"/>
    <x v="3193"/>
    <x v="664"/>
    <n v="499"/>
    <n v="399"/>
    <s v="15 ml"/>
    <x v="54"/>
  </r>
  <r>
    <n v="3809"/>
    <x v="3194"/>
    <x v="656"/>
    <n v="675"/>
    <n v="540"/>
    <s v="88 ml"/>
    <x v="54"/>
  </r>
  <r>
    <n v="3810"/>
    <x v="3195"/>
    <x v="638"/>
    <n v="89"/>
    <n v="78"/>
    <s v="23 gm"/>
    <x v="54"/>
  </r>
  <r>
    <n v="3811"/>
    <x v="3196"/>
    <x v="659"/>
    <n v="699"/>
    <n v="508"/>
    <s v="50 ml"/>
    <x v="55"/>
  </r>
  <r>
    <n v="3812"/>
    <x v="3196"/>
    <x v="659"/>
    <n v="299"/>
    <n v="239"/>
    <s v="15 ml"/>
    <x v="55"/>
  </r>
  <r>
    <n v="3813"/>
    <x v="3197"/>
    <x v="664"/>
    <n v="299"/>
    <n v="229"/>
    <s v="22 ml"/>
    <x v="54"/>
  </r>
  <r>
    <n v="3814"/>
    <x v="3197"/>
    <x v="664"/>
    <n v="799"/>
    <n v="579"/>
    <s v="65 ml"/>
    <x v="54"/>
  </r>
  <r>
    <n v="3815"/>
    <x v="3198"/>
    <x v="657"/>
    <n v="395"/>
    <n v="296"/>
    <s v="250 gm"/>
    <x v="55"/>
  </r>
  <r>
    <n v="3816"/>
    <x v="3199"/>
    <x v="657"/>
    <n v="470"/>
    <n v="376"/>
    <s v="50 ml"/>
    <x v="55"/>
  </r>
  <r>
    <n v="3817"/>
    <x v="3200"/>
    <x v="634"/>
    <n v="349"/>
    <n v="249"/>
    <s v="50 gm"/>
    <x v="55"/>
  </r>
  <r>
    <n v="3818"/>
    <x v="3201"/>
    <x v="632"/>
    <n v="200"/>
    <n v="139"/>
    <s v="98 gm"/>
    <x v="55"/>
  </r>
  <r>
    <n v="3819"/>
    <x v="3202"/>
    <x v="632"/>
    <n v="360"/>
    <n v="240"/>
    <s v="200 ml"/>
    <x v="55"/>
  </r>
  <r>
    <n v="3820"/>
    <x v="3203"/>
    <x v="638"/>
    <n v="99"/>
    <n v="66"/>
    <s v="1 U"/>
    <x v="55"/>
  </r>
  <r>
    <n v="3821"/>
    <x v="3204"/>
    <x v="639"/>
    <n v="499"/>
    <n v="399"/>
    <s v="100 gm"/>
    <x v="55"/>
  </r>
  <r>
    <n v="3822"/>
    <x v="3205"/>
    <x v="649"/>
    <n v="159"/>
    <n v="79"/>
    <s v="1 U"/>
    <x v="54"/>
  </r>
  <r>
    <n v="3823"/>
    <x v="3206"/>
    <x v="649"/>
    <n v="159"/>
    <n v="79"/>
    <s v="25 ml"/>
    <x v="54"/>
  </r>
  <r>
    <n v="3824"/>
    <x v="3207"/>
    <x v="639"/>
    <n v="599"/>
    <n v="479"/>
    <s v="100 gm"/>
    <x v="55"/>
  </r>
  <r>
    <n v="3825"/>
    <x v="3208"/>
    <x v="634"/>
    <n v="100"/>
    <n v="50"/>
    <s v="20 ml"/>
    <x v="54"/>
  </r>
  <r>
    <n v="3826"/>
    <x v="3209"/>
    <x v="664"/>
    <n v="150"/>
    <n v="120"/>
    <s v="25 gm"/>
    <x v="54"/>
  </r>
  <r>
    <n v="3827"/>
    <x v="3210"/>
    <x v="638"/>
    <n v="150"/>
    <n v="125"/>
    <s v="28 gm"/>
    <x v="54"/>
  </r>
  <r>
    <n v="3828"/>
    <x v="3211"/>
    <x v="664"/>
    <n v="199"/>
    <n v="159"/>
    <s v="33 gm"/>
    <x v="54"/>
  </r>
  <r>
    <n v="3829"/>
    <x v="3212"/>
    <x v="632"/>
    <n v="75"/>
    <n v="45"/>
    <s v="1 U"/>
    <x v="54"/>
  </r>
  <r>
    <n v="3830"/>
    <x v="3213"/>
    <x v="632"/>
    <n v="75"/>
    <n v="45"/>
    <s v="1 U"/>
    <x v="54"/>
  </r>
  <r>
    <n v="3831"/>
    <x v="3214"/>
    <x v="665"/>
    <n v="249"/>
    <n v="199"/>
    <s v="8 gm"/>
    <x v="55"/>
  </r>
  <r>
    <n v="3832"/>
    <x v="3215"/>
    <x v="644"/>
    <n v="199"/>
    <n v="150"/>
    <s v="9 gm"/>
    <x v="55"/>
  </r>
  <r>
    <n v="3833"/>
    <x v="3216"/>
    <x v="644"/>
    <n v="199"/>
    <n v="150"/>
    <s v="9 gm"/>
    <x v="55"/>
  </r>
  <r>
    <n v="3834"/>
    <x v="3217"/>
    <x v="634"/>
    <n v="185"/>
    <n v="135"/>
    <s v="8 gm"/>
    <x v="55"/>
  </r>
  <r>
    <n v="3835"/>
    <x v="3218"/>
    <x v="665"/>
    <n v="249"/>
    <n v="199"/>
    <s v="8 gm"/>
    <x v="55"/>
  </r>
  <r>
    <n v="3836"/>
    <x v="3219"/>
    <x v="644"/>
    <n v="199"/>
    <n v="150"/>
    <s v="9 gm"/>
    <x v="55"/>
  </r>
  <r>
    <n v="3837"/>
    <x v="3220"/>
    <x v="665"/>
    <n v="249"/>
    <n v="180"/>
    <s v="8 gm"/>
    <x v="55"/>
  </r>
  <r>
    <n v="3838"/>
    <x v="3221"/>
    <x v="665"/>
    <n v="249"/>
    <n v="228"/>
    <s v="8 gm"/>
    <x v="55"/>
  </r>
  <r>
    <n v="3839"/>
    <x v="3222"/>
    <x v="665"/>
    <n v="249"/>
    <n v="179"/>
    <s v="8 gm"/>
    <x v="55"/>
  </r>
  <r>
    <n v="3840"/>
    <x v="3223"/>
    <x v="644"/>
    <n v="199"/>
    <n v="115"/>
    <s v="9 gm"/>
    <x v="55"/>
  </r>
  <r>
    <n v="3841"/>
    <x v="3224"/>
    <x v="358"/>
    <n v="475"/>
    <n v="272"/>
    <s v="10 gm"/>
    <x v="55"/>
  </r>
  <r>
    <n v="3842"/>
    <x v="3225"/>
    <x v="358"/>
    <n v="475"/>
    <n v="272"/>
    <s v="10 gm"/>
    <x v="55"/>
  </r>
  <r>
    <n v="3843"/>
    <x v="3226"/>
    <x v="358"/>
    <n v="475"/>
    <n v="269"/>
    <s v="10 gm"/>
    <x v="55"/>
  </r>
  <r>
    <n v="3844"/>
    <x v="3227"/>
    <x v="358"/>
    <n v="399"/>
    <n v="319"/>
    <s v="9 gm"/>
    <x v="55"/>
  </r>
  <r>
    <n v="3845"/>
    <x v="3228"/>
    <x v="634"/>
    <n v="200"/>
    <n v="165"/>
    <s v="8 gm"/>
    <x v="55"/>
  </r>
  <r>
    <n v="3846"/>
    <x v="3229"/>
    <x v="665"/>
    <n v="299"/>
    <n v="239"/>
    <s v="18 ml"/>
    <x v="55"/>
  </r>
  <r>
    <n v="3847"/>
    <x v="3230"/>
    <x v="644"/>
    <n v="199"/>
    <n v="150"/>
    <s v="18 ml"/>
    <x v="55"/>
  </r>
  <r>
    <n v="3848"/>
    <x v="3231"/>
    <x v="665"/>
    <n v="299"/>
    <n v="239"/>
    <s v="18 ml"/>
    <x v="55"/>
  </r>
  <r>
    <n v="3849"/>
    <x v="3232"/>
    <x v="634"/>
    <n v="155"/>
    <n v="119"/>
    <s v="27 ml"/>
    <x v="55"/>
  </r>
  <r>
    <n v="3850"/>
    <x v="3233"/>
    <x v="644"/>
    <n v="199"/>
    <n v="150"/>
    <s v="18 ml"/>
    <x v="55"/>
  </r>
  <r>
    <n v="3851"/>
    <x v="3234"/>
    <x v="634"/>
    <n v="170"/>
    <n v="139"/>
    <s v="27 ml"/>
    <x v="55"/>
  </r>
  <r>
    <n v="3852"/>
    <x v="3235"/>
    <x v="665"/>
    <n v="299"/>
    <n v="239"/>
    <s v="18 ml"/>
    <x v="55"/>
  </r>
  <r>
    <n v="3853"/>
    <x v="3236"/>
    <x v="666"/>
    <n v="549"/>
    <n v="353"/>
    <s v="30 ml"/>
    <x v="55"/>
  </r>
  <r>
    <n v="3854"/>
    <x v="3237"/>
    <x v="644"/>
    <n v="199"/>
    <n v="139"/>
    <s v="18 ml"/>
    <x v="55"/>
  </r>
  <r>
    <n v="3855"/>
    <x v="3238"/>
    <x v="634"/>
    <n v="160"/>
    <n v="141"/>
    <s v="27 ml"/>
    <x v="55"/>
  </r>
  <r>
    <n v="3856"/>
    <x v="3239"/>
    <x v="665"/>
    <n v="299"/>
    <n v="239"/>
    <s v="18 ml"/>
    <x v="55"/>
  </r>
  <r>
    <n v="3857"/>
    <x v="3240"/>
    <x v="634"/>
    <n v="155"/>
    <n v="119"/>
    <s v="27 ml"/>
    <x v="55"/>
  </r>
  <r>
    <n v="3858"/>
    <x v="3241"/>
    <x v="358"/>
    <n v="695"/>
    <n v="449"/>
    <s v="30 ml"/>
    <x v="55"/>
  </r>
  <r>
    <n v="3859"/>
    <x v="3242"/>
    <x v="644"/>
    <n v="899"/>
    <n v="500"/>
    <s v="15 ml"/>
    <x v="55"/>
  </r>
  <r>
    <n v="3860"/>
    <x v="3243"/>
    <x v="667"/>
    <n v="235"/>
    <n v="135"/>
    <s v="20 ml"/>
    <x v="55"/>
  </r>
  <r>
    <n v="3861"/>
    <x v="3244"/>
    <x v="667"/>
    <n v="185"/>
    <n v="107"/>
    <s v="20 ml"/>
    <x v="55"/>
  </r>
  <r>
    <n v="3862"/>
    <x v="3245"/>
    <x v="644"/>
    <n v="899"/>
    <n v="500"/>
    <s v="15 ml"/>
    <x v="55"/>
  </r>
  <r>
    <n v="3863"/>
    <x v="3246"/>
    <x v="358"/>
    <n v="695"/>
    <n v="395"/>
    <s v="30 ml"/>
    <x v="55"/>
  </r>
  <r>
    <n v="3864"/>
    <x v="3247"/>
    <x v="667"/>
    <n v="235"/>
    <n v="135"/>
    <s v="20 ml"/>
    <x v="55"/>
  </r>
  <r>
    <n v="3865"/>
    <x v="3248"/>
    <x v="667"/>
    <n v="185"/>
    <n v="107"/>
    <s v="20 ml"/>
    <x v="55"/>
  </r>
  <r>
    <n v="3866"/>
    <x v="3249"/>
    <x v="667"/>
    <n v="185"/>
    <n v="107"/>
    <s v="20 ml"/>
    <x v="55"/>
  </r>
  <r>
    <n v="3867"/>
    <x v="3250"/>
    <x v="667"/>
    <n v="235"/>
    <n v="135"/>
    <s v="20 ml"/>
    <x v="55"/>
  </r>
  <r>
    <n v="3868"/>
    <x v="3251"/>
    <x v="634"/>
    <n v="500"/>
    <n v="296"/>
    <s v="25 ml"/>
    <x v="55"/>
  </r>
  <r>
    <n v="3869"/>
    <x v="3252"/>
    <x v="634"/>
    <n v="475"/>
    <n v="275"/>
    <s v="25 ml"/>
    <x v="55"/>
  </r>
  <r>
    <n v="3870"/>
    <x v="3253"/>
    <x v="634"/>
    <n v="500"/>
    <n v="296"/>
    <s v="25 ml"/>
    <x v="55"/>
  </r>
  <r>
    <n v="3871"/>
    <x v="3254"/>
    <x v="634"/>
    <n v="585"/>
    <n v="367"/>
    <s v="25 gm"/>
    <x v="55"/>
  </r>
  <r>
    <n v="3872"/>
    <x v="3255"/>
    <x v="634"/>
    <n v="500"/>
    <n v="296"/>
    <s v="25 ml"/>
    <x v="55"/>
  </r>
  <r>
    <n v="3873"/>
    <x v="3256"/>
    <x v="634"/>
    <n v="500"/>
    <n v="399"/>
    <s v="25 ml"/>
    <x v="55"/>
  </r>
  <r>
    <n v="3874"/>
    <x v="3257"/>
    <x v="634"/>
    <n v="585"/>
    <n v="399"/>
    <s v="25 gm"/>
    <x v="55"/>
  </r>
  <r>
    <n v="3875"/>
    <x v="3258"/>
    <x v="634"/>
    <n v="500"/>
    <n v="349"/>
    <s v="25 ml"/>
    <x v="55"/>
  </r>
  <r>
    <n v="3876"/>
    <x v="3259"/>
    <x v="634"/>
    <n v="500"/>
    <n v="365"/>
    <s v="25 ml"/>
    <x v="55"/>
  </r>
  <r>
    <n v="3877"/>
    <x v="3260"/>
    <x v="644"/>
    <n v="899"/>
    <n v="500"/>
    <s v="15 ml"/>
    <x v="55"/>
  </r>
  <r>
    <n v="3878"/>
    <x v="3261"/>
    <x v="634"/>
    <n v="299"/>
    <n v="255"/>
    <s v="10 gm"/>
    <x v="55"/>
  </r>
  <r>
    <n v="3879"/>
    <x v="3262"/>
    <x v="667"/>
    <n v="260"/>
    <n v="208"/>
    <s v="30 ml"/>
    <x v="55"/>
  </r>
  <r>
    <n v="3880"/>
    <x v="3263"/>
    <x v="666"/>
    <n v="549"/>
    <n v="371"/>
    <s v="30 ml"/>
    <x v="55"/>
  </r>
  <r>
    <n v="3881"/>
    <x v="3264"/>
    <x v="644"/>
    <n v="799"/>
    <n v="640"/>
    <s v="30 gm"/>
    <x v="55"/>
  </r>
  <r>
    <n v="3882"/>
    <x v="3265"/>
    <x v="358"/>
    <n v="695"/>
    <n v="395"/>
    <s v="30 gm"/>
    <x v="55"/>
  </r>
  <r>
    <n v="3883"/>
    <x v="3266"/>
    <x v="644"/>
    <n v="899"/>
    <n v="500"/>
    <s v="30 ml"/>
    <x v="55"/>
  </r>
  <r>
    <n v="3884"/>
    <x v="3267"/>
    <x v="634"/>
    <n v="360"/>
    <n v="255"/>
    <s v="30 gm"/>
    <x v="55"/>
  </r>
  <r>
    <n v="3885"/>
    <x v="3268"/>
    <x v="644"/>
    <n v="479"/>
    <n v="336"/>
    <s v="35 ml"/>
    <x v="55"/>
  </r>
  <r>
    <n v="3886"/>
    <x v="3269"/>
    <x v="634"/>
    <n v="349"/>
    <n v="255"/>
    <s v="30 gm"/>
    <x v="55"/>
  </r>
  <r>
    <n v="3887"/>
    <x v="3270"/>
    <x v="638"/>
    <n v="199"/>
    <n v="169"/>
    <s v="125 ml"/>
    <x v="55"/>
  </r>
  <r>
    <n v="3888"/>
    <x v="3270"/>
    <x v="638"/>
    <n v="349"/>
    <n v="279"/>
    <s v="400 ml"/>
    <x v="55"/>
  </r>
  <r>
    <n v="3889"/>
    <x v="3271"/>
    <x v="638"/>
    <n v="249"/>
    <n v="209"/>
    <s v="125 ml"/>
    <x v="55"/>
  </r>
  <r>
    <n v="3890"/>
    <x v="3272"/>
    <x v="644"/>
    <n v="250"/>
    <n v="188"/>
    <s v="30 Wipes"/>
    <x v="55"/>
  </r>
  <r>
    <n v="3891"/>
    <x v="3273"/>
    <x v="644"/>
    <n v="99"/>
    <n v="80"/>
    <s v="10 Wipes"/>
    <x v="55"/>
  </r>
  <r>
    <n v="3892"/>
    <x v="3273"/>
    <x v="644"/>
    <n v="299"/>
    <n v="199"/>
    <s v="30 Wipes"/>
    <x v="55"/>
  </r>
  <r>
    <n v="3893"/>
    <x v="3274"/>
    <x v="644"/>
    <n v="479"/>
    <n v="360"/>
    <s v="100 ml"/>
    <x v="55"/>
  </r>
  <r>
    <n v="3894"/>
    <x v="3275"/>
    <x v="644"/>
    <n v="349"/>
    <n v="280"/>
    <s v="50 ml"/>
    <x v="55"/>
  </r>
  <r>
    <n v="3895"/>
    <x v="3276"/>
    <x v="667"/>
    <n v="199"/>
    <n v="159"/>
    <s v="15 gm"/>
    <x v="55"/>
  </r>
  <r>
    <n v="3896"/>
    <x v="3277"/>
    <x v="634"/>
    <n v="160"/>
    <n v="118"/>
    <s v="4.5 ml"/>
    <x v="55"/>
  </r>
  <r>
    <n v="3897"/>
    <x v="3278"/>
    <x v="667"/>
    <n v="125"/>
    <n v="100"/>
    <s v="1 U"/>
    <x v="55"/>
  </r>
  <r>
    <n v="3898"/>
    <x v="3279"/>
    <x v="634"/>
    <n v="170"/>
    <n v="140"/>
    <s v="4.5 ml"/>
    <x v="55"/>
  </r>
  <r>
    <n v="3899"/>
    <x v="3280"/>
    <x v="666"/>
    <n v="499"/>
    <n v="322"/>
    <s v="6.8 ml"/>
    <x v="55"/>
  </r>
  <r>
    <n v="3900"/>
    <x v="3281"/>
    <x v="358"/>
    <n v="475"/>
    <n v="270"/>
    <s v="50 gm"/>
    <x v="55"/>
  </r>
  <r>
    <n v="3901"/>
    <x v="3282"/>
    <x v="666"/>
    <n v="499"/>
    <n v="322"/>
    <s v="6.8 ml"/>
    <x v="55"/>
  </r>
  <r>
    <n v="3902"/>
    <x v="3283"/>
    <x v="644"/>
    <n v="349"/>
    <n v="280"/>
    <s v="4 gm"/>
    <x v="55"/>
  </r>
  <r>
    <n v="3903"/>
    <x v="3284"/>
    <x v="667"/>
    <n v="180"/>
    <n v="144"/>
    <s v="75 ml"/>
    <x v="55"/>
  </r>
  <r>
    <n v="3904"/>
    <x v="3285"/>
    <x v="666"/>
    <n v="499"/>
    <n v="322"/>
    <s v="6.8 ml"/>
    <x v="55"/>
  </r>
  <r>
    <n v="3905"/>
    <x v="3286"/>
    <x v="644"/>
    <n v="349"/>
    <n v="249"/>
    <s v="4 gm"/>
    <x v="55"/>
  </r>
  <r>
    <n v="3906"/>
    <x v="3287"/>
    <x v="358"/>
    <n v="315"/>
    <n v="239"/>
    <s v="100 ml"/>
    <x v="55"/>
  </r>
  <r>
    <n v="3907"/>
    <x v="3288"/>
    <x v="666"/>
    <n v="440"/>
    <n v="284"/>
    <s v="4.5 gm"/>
    <x v="55"/>
  </r>
  <r>
    <n v="3908"/>
    <x v="3289"/>
    <x v="666"/>
    <n v="599"/>
    <n v="385"/>
    <s v="6.7 gm"/>
    <x v="55"/>
  </r>
  <r>
    <n v="3909"/>
    <x v="3290"/>
    <x v="667"/>
    <n v="199"/>
    <n v="159"/>
    <s v="15 gm"/>
    <x v="55"/>
  </r>
  <r>
    <n v="3910"/>
    <x v="3291"/>
    <x v="666"/>
    <n v="599"/>
    <n v="385"/>
    <s v="6.7 gm"/>
    <x v="55"/>
  </r>
  <r>
    <n v="3911"/>
    <x v="3292"/>
    <x v="644"/>
    <n v="399"/>
    <n v="299"/>
    <s v="4 gm"/>
    <x v="55"/>
  </r>
  <r>
    <n v="3912"/>
    <x v="3293"/>
    <x v="644"/>
    <n v="899"/>
    <n v="500"/>
    <s v="12 gm"/>
    <x v="55"/>
  </r>
  <r>
    <n v="3913"/>
    <x v="3294"/>
    <x v="644"/>
    <n v="649"/>
    <n v="362"/>
    <s v="100 ml"/>
    <x v="55"/>
  </r>
  <r>
    <n v="3914"/>
    <x v="3295"/>
    <x v="667"/>
    <n v="60"/>
    <n v="48"/>
    <s v="6 ml"/>
    <x v="55"/>
  </r>
  <r>
    <n v="3915"/>
    <x v="3296"/>
    <x v="667"/>
    <n v="230"/>
    <n v="155"/>
    <s v="9 gm"/>
    <x v="55"/>
  </r>
  <r>
    <n v="3916"/>
    <x v="3297"/>
    <x v="667"/>
    <n v="60"/>
    <n v="48"/>
    <s v="6 ml"/>
    <x v="55"/>
  </r>
  <r>
    <n v="3917"/>
    <x v="3298"/>
    <x v="667"/>
    <n v="230"/>
    <n v="132"/>
    <s v="9 gm"/>
    <x v="55"/>
  </r>
  <r>
    <n v="3918"/>
    <x v="3299"/>
    <x v="667"/>
    <n v="185"/>
    <n v="125"/>
    <s v="8 gm"/>
    <x v="55"/>
  </r>
  <r>
    <n v="3919"/>
    <x v="3300"/>
    <x v="667"/>
    <n v="185"/>
    <n v="125"/>
    <s v="8 gm"/>
    <x v="55"/>
  </r>
  <r>
    <n v="3920"/>
    <x v="3301"/>
    <x v="667"/>
    <n v="185"/>
    <n v="125"/>
    <s v="8 gm"/>
    <x v="55"/>
  </r>
  <r>
    <n v="3921"/>
    <x v="3302"/>
    <x v="644"/>
    <n v="349"/>
    <n v="197"/>
    <s v="4 gm"/>
    <x v="55"/>
  </r>
  <r>
    <n v="3922"/>
    <x v="3303"/>
    <x v="667"/>
    <n v="185"/>
    <n v="148"/>
    <s v="8 gm"/>
    <x v="55"/>
  </r>
  <r>
    <n v="3923"/>
    <x v="3304"/>
    <x v="667"/>
    <n v="230"/>
    <n v="132"/>
    <s v="9 gm"/>
    <x v="55"/>
  </r>
  <r>
    <n v="3924"/>
    <x v="3305"/>
    <x v="628"/>
    <n v="450"/>
    <n v="225"/>
    <s v="15 ml"/>
    <x v="55"/>
  </r>
  <r>
    <n v="3925"/>
    <x v="3306"/>
    <x v="628"/>
    <n v="450"/>
    <n v="225"/>
    <s v="15 ml"/>
    <x v="55"/>
  </r>
  <r>
    <n v="3926"/>
    <x v="3307"/>
    <x v="668"/>
    <n v="81"/>
    <n v="69"/>
    <s v="200 ml"/>
    <x v="9"/>
  </r>
  <r>
    <n v="3927"/>
    <x v="3307"/>
    <x v="668"/>
    <n v="115"/>
    <n v="101"/>
    <s v="300 ml"/>
    <x v="9"/>
  </r>
  <r>
    <n v="3928"/>
    <x v="3307"/>
    <x v="668"/>
    <n v="233"/>
    <n v="203"/>
    <s v="600 ml"/>
    <x v="9"/>
  </r>
  <r>
    <n v="3929"/>
    <x v="3307"/>
    <x v="668"/>
    <n v="370"/>
    <n v="303"/>
    <s v="1 L"/>
    <x v="9"/>
  </r>
  <r>
    <n v="3930"/>
    <x v="3308"/>
    <x v="669"/>
    <n v="350"/>
    <n v="195"/>
    <s v="1 L"/>
    <x v="9"/>
  </r>
  <r>
    <n v="3931"/>
    <x v="3308"/>
    <x v="669"/>
    <n v="120"/>
    <n v="65"/>
    <s v="300 ml"/>
    <x v="9"/>
  </r>
  <r>
    <n v="3932"/>
    <x v="3308"/>
    <x v="669"/>
    <n v="180"/>
    <n v="99"/>
    <s v="500 ml"/>
    <x v="9"/>
  </r>
  <r>
    <n v="3933"/>
    <x v="3309"/>
    <x v="670"/>
    <n v="432"/>
    <n v="319"/>
    <s v="100 ml"/>
    <x v="9"/>
  </r>
  <r>
    <n v="3934"/>
    <x v="3310"/>
    <x v="593"/>
    <n v="249"/>
    <n v="124"/>
    <s v="600 ml"/>
    <x v="9"/>
  </r>
  <r>
    <n v="3935"/>
    <x v="3311"/>
    <x v="671"/>
    <n v="205"/>
    <n v="163"/>
    <s v="300 ml"/>
    <x v="9"/>
  </r>
  <r>
    <n v="3936"/>
    <x v="3311"/>
    <x v="671"/>
    <n v="320"/>
    <n v="259"/>
    <s v="500 ml"/>
    <x v="9"/>
  </r>
  <r>
    <n v="3937"/>
    <x v="3312"/>
    <x v="593"/>
    <n v="435"/>
    <n v="345"/>
    <s v="650 ml"/>
    <x v="9"/>
  </r>
  <r>
    <n v="3938"/>
    <x v="3312"/>
    <x v="593"/>
    <n v="195"/>
    <n v="175"/>
    <s v="285 ml"/>
    <x v="9"/>
  </r>
  <r>
    <n v="3939"/>
    <x v="3312"/>
    <x v="593"/>
    <n v="70"/>
    <n v="63"/>
    <s v="95 ml"/>
    <x v="9"/>
  </r>
  <r>
    <n v="3940"/>
    <x v="3312"/>
    <x v="593"/>
    <n v="305"/>
    <n v="275"/>
    <s v="475 ml"/>
    <x v="9"/>
  </r>
  <r>
    <n v="3941"/>
    <x v="3313"/>
    <x v="359"/>
    <n v="261"/>
    <n v="130"/>
    <s v="500 ml"/>
    <x v="9"/>
  </r>
  <r>
    <n v="3942"/>
    <x v="3314"/>
    <x v="359"/>
    <n v="209"/>
    <n v="189"/>
    <s v="450 ml"/>
    <x v="9"/>
  </r>
  <r>
    <n v="3943"/>
    <x v="3315"/>
    <x v="639"/>
    <n v="399"/>
    <n v="319"/>
    <s v="150 ml"/>
    <x v="9"/>
  </r>
  <r>
    <n v="3944"/>
    <x v="3316"/>
    <x v="2"/>
    <n v="230"/>
    <n v="213"/>
    <s v="200 ml"/>
    <x v="9"/>
  </r>
  <r>
    <n v="3945"/>
    <x v="3317"/>
    <x v="668"/>
    <n v="132"/>
    <n v="115"/>
    <s v="300 ml"/>
    <x v="9"/>
  </r>
  <r>
    <n v="3946"/>
    <x v="3318"/>
    <x v="672"/>
    <n v="349"/>
    <n v="264"/>
    <s v="300 ml"/>
    <x v="9"/>
  </r>
  <r>
    <n v="3947"/>
    <x v="3319"/>
    <x v="650"/>
    <n v="305"/>
    <n v="152"/>
    <s v="500 ml"/>
    <x v="9"/>
  </r>
  <r>
    <n v="3948"/>
    <x v="3320"/>
    <x v="359"/>
    <n v="305"/>
    <n v="225"/>
    <s v="500 ml"/>
    <x v="9"/>
  </r>
  <r>
    <n v="3949"/>
    <x v="3320"/>
    <x v="359"/>
    <n v="305"/>
    <n v="219"/>
    <s v="500 ml"/>
    <x v="9"/>
  </r>
  <r>
    <n v="3950"/>
    <x v="3321"/>
    <x v="668"/>
    <n v="200"/>
    <n v="185"/>
    <s v="400 ml"/>
    <x v="9"/>
  </r>
  <r>
    <n v="3951"/>
    <x v="3322"/>
    <x v="650"/>
    <n v="300"/>
    <n v="150"/>
    <s v="100 ml"/>
    <x v="9"/>
  </r>
  <r>
    <n v="3952"/>
    <x v="3323"/>
    <x v="673"/>
    <n v="184"/>
    <n v="92"/>
    <s v="300 ml"/>
    <x v="9"/>
  </r>
  <r>
    <n v="3953"/>
    <x v="3324"/>
    <x v="593"/>
    <n v="600"/>
    <n v="450"/>
    <s v="200 ml"/>
    <x v="9"/>
  </r>
  <r>
    <n v="3954"/>
    <x v="3325"/>
    <x v="660"/>
    <n v="599"/>
    <n v="419"/>
    <s v="200 ml"/>
    <x v="9"/>
  </r>
  <r>
    <n v="3955"/>
    <x v="3326"/>
    <x v="660"/>
    <n v="399"/>
    <n v="279"/>
    <s v="200 ml"/>
    <x v="9"/>
  </r>
  <r>
    <n v="3956"/>
    <x v="3327"/>
    <x v="651"/>
    <n v="750"/>
    <n v="600"/>
    <s v="50 ml"/>
    <x v="9"/>
  </r>
  <r>
    <n v="3957"/>
    <x v="3328"/>
    <x v="651"/>
    <n v="350"/>
    <n v="280"/>
    <s v="30 ml"/>
    <x v="9"/>
  </r>
  <r>
    <n v="3958"/>
    <x v="3329"/>
    <x v="619"/>
    <n v="220"/>
    <n v="149"/>
    <s v="210 ml"/>
    <x v="9"/>
  </r>
  <r>
    <n v="3959"/>
    <x v="3330"/>
    <x v="619"/>
    <n v="220"/>
    <n v="149"/>
    <s v="210 ml"/>
    <x v="9"/>
  </r>
  <r>
    <n v="3960"/>
    <x v="3331"/>
    <x v="668"/>
    <n v="399"/>
    <n v="249"/>
    <s v="200 ml"/>
    <x v="9"/>
  </r>
  <r>
    <n v="3961"/>
    <x v="3332"/>
    <x v="668"/>
    <n v="164"/>
    <n v="132"/>
    <s v="250 ml"/>
    <x v="9"/>
  </r>
  <r>
    <n v="3962"/>
    <x v="3332"/>
    <x v="668"/>
    <n v="256"/>
    <n v="199"/>
    <s v="400 ml"/>
    <x v="9"/>
  </r>
  <r>
    <n v="3963"/>
    <x v="3333"/>
    <x v="628"/>
    <n v="225"/>
    <n v="112"/>
    <s v="120 ml"/>
    <x v="9"/>
  </r>
  <r>
    <n v="3964"/>
    <x v="3334"/>
    <x v="628"/>
    <n v="650"/>
    <n v="325"/>
    <s v="220 ml"/>
    <x v="9"/>
  </r>
  <r>
    <n v="3965"/>
    <x v="3335"/>
    <x v="674"/>
    <n v="230"/>
    <n v="189"/>
    <s v="340 ml"/>
    <x v="9"/>
  </r>
  <r>
    <n v="3966"/>
    <x v="3335"/>
    <x v="674"/>
    <n v="525"/>
    <n v="262"/>
    <s v="650 ml"/>
    <x v="9"/>
  </r>
  <r>
    <n v="3967"/>
    <x v="3336"/>
    <x v="608"/>
    <n v="170"/>
    <n v="158"/>
    <s v="180 ml"/>
    <x v="9"/>
  </r>
  <r>
    <n v="3968"/>
    <x v="3336"/>
    <x v="608"/>
    <n v="345"/>
    <n v="275"/>
    <s v="340 ml"/>
    <x v="9"/>
  </r>
  <r>
    <n v="3969"/>
    <x v="3336"/>
    <x v="608"/>
    <n v="740"/>
    <n v="440"/>
    <s v="650 ml"/>
    <x v="9"/>
  </r>
  <r>
    <n v="3970"/>
    <x v="3337"/>
    <x v="664"/>
    <n v="699"/>
    <n v="399"/>
    <s v="640 ml"/>
    <x v="9"/>
  </r>
  <r>
    <n v="3971"/>
    <x v="3337"/>
    <x v="664"/>
    <n v="369"/>
    <n v="325"/>
    <s v="360 ml"/>
    <x v="9"/>
  </r>
  <r>
    <n v="3972"/>
    <x v="3337"/>
    <x v="664"/>
    <n v="189"/>
    <n v="174"/>
    <s v="175 ml"/>
    <x v="9"/>
  </r>
  <r>
    <n v="3973"/>
    <x v="3337"/>
    <x v="664"/>
    <n v="849"/>
    <n v="649"/>
    <s v="1 L"/>
    <x v="9"/>
  </r>
  <r>
    <n v="3974"/>
    <x v="3338"/>
    <x v="675"/>
    <n v="300"/>
    <n v="249"/>
    <s v="340 ml"/>
    <x v="9"/>
  </r>
  <r>
    <n v="3975"/>
    <x v="3338"/>
    <x v="675"/>
    <n v="615"/>
    <n v="430"/>
    <s v="650 ml"/>
    <x v="9"/>
  </r>
  <r>
    <n v="3976"/>
    <x v="3339"/>
    <x v="675"/>
    <n v="300"/>
    <n v="215"/>
    <s v="340 ml"/>
    <x v="9"/>
  </r>
  <r>
    <n v="3977"/>
    <x v="3339"/>
    <x v="675"/>
    <n v="615"/>
    <n v="405"/>
    <s v="650 ml"/>
    <x v="9"/>
  </r>
  <r>
    <n v="3978"/>
    <x v="3340"/>
    <x v="676"/>
    <n v="345"/>
    <n v="320"/>
    <s v="340 ml"/>
    <x v="9"/>
  </r>
  <r>
    <n v="3979"/>
    <x v="3340"/>
    <x v="676"/>
    <n v="740"/>
    <n v="370"/>
    <s v="650 ml"/>
    <x v="9"/>
  </r>
  <r>
    <n v="3980"/>
    <x v="3341"/>
    <x v="608"/>
    <n v="330"/>
    <n v="255"/>
    <s v="340 ml"/>
    <x v="9"/>
  </r>
  <r>
    <n v="3981"/>
    <x v="3341"/>
    <x v="608"/>
    <n v="740"/>
    <n v="419"/>
    <s v="650 ml"/>
    <x v="9"/>
  </r>
  <r>
    <n v="3982"/>
    <x v="3341"/>
    <x v="608"/>
    <n v="999"/>
    <n v="699"/>
    <s v="1 L"/>
    <x v="9"/>
  </r>
  <r>
    <n v="3983"/>
    <x v="3342"/>
    <x v="677"/>
    <n v="1035"/>
    <n v="584"/>
    <s v="1 L"/>
    <x v="9"/>
  </r>
  <r>
    <n v="3984"/>
    <x v="3342"/>
    <x v="677"/>
    <n v="190"/>
    <n v="175"/>
    <s v="180 ml"/>
    <x v="9"/>
  </r>
  <r>
    <n v="3985"/>
    <x v="3342"/>
    <x v="677"/>
    <n v="670"/>
    <n v="499"/>
    <s v="580 ml"/>
    <x v="9"/>
  </r>
  <r>
    <n v="3986"/>
    <x v="3343"/>
    <x v="608"/>
    <n v="345"/>
    <n v="299"/>
    <s v="340 ml"/>
    <x v="9"/>
  </r>
  <r>
    <n v="3987"/>
    <x v="3343"/>
    <x v="608"/>
    <n v="740"/>
    <n v="418"/>
    <s v="650 ml"/>
    <x v="9"/>
  </r>
  <r>
    <n v="3988"/>
    <x v="3343"/>
    <x v="608"/>
    <n v="999"/>
    <n v="599"/>
    <s v="1 L"/>
    <x v="9"/>
  </r>
  <r>
    <n v="3989"/>
    <x v="3344"/>
    <x v="639"/>
    <n v="349"/>
    <n v="299"/>
    <s v="250 ml"/>
    <x v="9"/>
  </r>
  <r>
    <n v="3990"/>
    <x v="3345"/>
    <x v="359"/>
    <n v="525"/>
    <n v="262"/>
    <s v="640 ml"/>
    <x v="9"/>
  </r>
  <r>
    <n v="3991"/>
    <x v="3346"/>
    <x v="676"/>
    <n v="345"/>
    <n v="318"/>
    <s v="340 ml"/>
    <x v="9"/>
  </r>
  <r>
    <n v="3992"/>
    <x v="3346"/>
    <x v="676"/>
    <n v="740"/>
    <n v="370"/>
    <s v="650 ml"/>
    <x v="9"/>
  </r>
  <r>
    <n v="3993"/>
    <x v="3347"/>
    <x v="677"/>
    <n v="670"/>
    <n v="509"/>
    <s v="580 ml"/>
    <x v="9"/>
  </r>
  <r>
    <n v="3994"/>
    <x v="3348"/>
    <x v="675"/>
    <n v="615"/>
    <n v="429"/>
    <s v="650 ml"/>
    <x v="9"/>
  </r>
  <r>
    <n v="3995"/>
    <x v="3349"/>
    <x v="650"/>
    <n v="549"/>
    <n v="274"/>
    <s v="600 ml"/>
    <x v="9"/>
  </r>
  <r>
    <n v="3996"/>
    <x v="3350"/>
    <x v="664"/>
    <n v="899"/>
    <n v="820"/>
    <s v="1 L"/>
    <x v="9"/>
  </r>
  <r>
    <n v="3997"/>
    <x v="3351"/>
    <x v="678"/>
    <n v="185"/>
    <n v="165"/>
    <s v="200 ml"/>
    <x v="9"/>
  </r>
  <r>
    <n v="3998"/>
    <x v="3351"/>
    <x v="678"/>
    <n v="400"/>
    <n v="349"/>
    <s v="500 ml"/>
    <x v="9"/>
  </r>
  <r>
    <n v="3999"/>
    <x v="3352"/>
    <x v="670"/>
    <n v="243"/>
    <n v="217"/>
    <s v="200 ml"/>
    <x v="9"/>
  </r>
  <r>
    <n v="4000"/>
    <x v="3352"/>
    <x v="670"/>
    <n v="432"/>
    <n v="352"/>
    <s v="340 ml"/>
    <x v="9"/>
  </r>
  <r>
    <n v="4001"/>
    <x v="3353"/>
    <x v="679"/>
    <n v="450"/>
    <n v="225"/>
    <s v="650 ml"/>
    <x v="9"/>
  </r>
  <r>
    <n v="4002"/>
    <x v="3354"/>
    <x v="680"/>
    <n v="145"/>
    <n v="132"/>
    <s v="180 ml"/>
    <x v="9"/>
  </r>
  <r>
    <n v="4003"/>
    <x v="3354"/>
    <x v="680"/>
    <n v="645"/>
    <n v="322"/>
    <s v="650 ml"/>
    <x v="9"/>
  </r>
  <r>
    <n v="4004"/>
    <x v="3355"/>
    <x v="646"/>
    <n v="180"/>
    <n v="140"/>
    <s v="200 ml"/>
    <x v="9"/>
  </r>
  <r>
    <n v="4005"/>
    <x v="3356"/>
    <x v="677"/>
    <n v="670"/>
    <n v="509"/>
    <s v="580 ml"/>
    <x v="9"/>
  </r>
  <r>
    <n v="4006"/>
    <x v="3357"/>
    <x v="676"/>
    <n v="315"/>
    <n v="309"/>
    <s v="340 ml"/>
    <x v="9"/>
  </r>
  <r>
    <n v="4007"/>
    <x v="3357"/>
    <x v="676"/>
    <n v="740"/>
    <n v="440"/>
    <s v="650 ml"/>
    <x v="9"/>
  </r>
  <r>
    <n v="4008"/>
    <x v="3358"/>
    <x v="664"/>
    <n v="779"/>
    <n v="389"/>
    <s v="640 ml"/>
    <x v="9"/>
  </r>
  <r>
    <n v="4009"/>
    <x v="3358"/>
    <x v="664"/>
    <n v="369"/>
    <n v="299"/>
    <s v="360 ml"/>
    <x v="9"/>
  </r>
  <r>
    <n v="4010"/>
    <x v="3359"/>
    <x v="621"/>
    <n v="650"/>
    <n v="325"/>
    <s v="650 ml"/>
    <x v="9"/>
  </r>
  <r>
    <n v="4011"/>
    <x v="3360"/>
    <x v="674"/>
    <n v="230"/>
    <n v="199"/>
    <s v="340 ml"/>
    <x v="9"/>
  </r>
  <r>
    <n v="4012"/>
    <x v="3361"/>
    <x v="646"/>
    <n v="255"/>
    <n v="199"/>
    <s v="400 ml"/>
    <x v="9"/>
  </r>
  <r>
    <n v="4013"/>
    <x v="3362"/>
    <x v="674"/>
    <n v="115"/>
    <n v="102"/>
    <s v="175 ml"/>
    <x v="9"/>
  </r>
  <r>
    <n v="4014"/>
    <x v="3363"/>
    <x v="608"/>
    <n v="725"/>
    <n v="459"/>
    <s v="650 ml"/>
    <x v="9"/>
  </r>
  <r>
    <n v="4015"/>
    <x v="3364"/>
    <x v="646"/>
    <n v="150"/>
    <n v="135"/>
    <s v="200 ml"/>
    <x v="9"/>
  </r>
  <r>
    <n v="4016"/>
    <x v="3364"/>
    <x v="646"/>
    <n v="285"/>
    <n v="235"/>
    <s v="400 ml"/>
    <x v="9"/>
  </r>
  <r>
    <n v="4017"/>
    <x v="3365"/>
    <x v="681"/>
    <n v="445"/>
    <n v="222"/>
    <s v="800 ml"/>
    <x v="9"/>
  </r>
  <r>
    <n v="4018"/>
    <x v="3366"/>
    <x v="664"/>
    <n v="729"/>
    <n v="579"/>
    <s v="704 ml"/>
    <x v="9"/>
  </r>
  <r>
    <n v="4019"/>
    <x v="3367"/>
    <x v="676"/>
    <n v="875"/>
    <n v="655"/>
    <s v="650 ml"/>
    <x v="9"/>
  </r>
  <r>
    <n v="4020"/>
    <x v="3368"/>
    <x v="680"/>
    <n v="805"/>
    <n v="585"/>
    <s v="650 ml"/>
    <x v="9"/>
  </r>
  <r>
    <n v="4021"/>
    <x v="3369"/>
    <x v="681"/>
    <n v="445"/>
    <n v="255"/>
    <s v="800 ml"/>
    <x v="9"/>
  </r>
  <r>
    <n v="4022"/>
    <x v="3370"/>
    <x v="646"/>
    <n v="145"/>
    <n v="130"/>
    <s v="200 ml"/>
    <x v="9"/>
  </r>
  <r>
    <n v="4023"/>
    <x v="3371"/>
    <x v="676"/>
    <n v="180"/>
    <n v="167"/>
    <s v="170 ml"/>
    <x v="9"/>
  </r>
  <r>
    <n v="4024"/>
    <x v="3372"/>
    <x v="674"/>
    <n v="230"/>
    <n v="190"/>
    <s v="340 ml"/>
    <x v="9"/>
  </r>
  <r>
    <n v="4025"/>
    <x v="3372"/>
    <x v="674"/>
    <n v="525"/>
    <n v="475"/>
    <s v="650 ml"/>
    <x v="9"/>
  </r>
  <r>
    <n v="4026"/>
    <x v="3373"/>
    <x v="676"/>
    <n v="875"/>
    <n v="575"/>
    <s v="650 ml"/>
    <x v="9"/>
  </r>
  <r>
    <n v="4027"/>
    <x v="3374"/>
    <x v="677"/>
    <n v="860"/>
    <n v="699"/>
    <s v="580 ml"/>
    <x v="9"/>
  </r>
  <r>
    <n v="4028"/>
    <x v="3375"/>
    <x v="619"/>
    <n v="210"/>
    <n v="105"/>
    <s v="210 ml"/>
    <x v="9"/>
  </r>
  <r>
    <n v="4029"/>
    <x v="3376"/>
    <x v="639"/>
    <n v="399"/>
    <n v="319"/>
    <s v="400 ml"/>
    <x v="9"/>
  </r>
  <r>
    <n v="4030"/>
    <x v="3377"/>
    <x v="660"/>
    <n v="575"/>
    <n v="402"/>
    <s v="500 ml"/>
    <x v="9"/>
  </r>
  <r>
    <n v="4031"/>
    <x v="3378"/>
    <x v="660"/>
    <n v="575"/>
    <n v="402"/>
    <s v="500 ml"/>
    <x v="9"/>
  </r>
  <r>
    <n v="4032"/>
    <x v="3379"/>
    <x v="619"/>
    <n v="210"/>
    <n v="105"/>
    <s v="210 ml"/>
    <x v="9"/>
  </r>
  <r>
    <n v="4033"/>
    <x v="3380"/>
    <x v="619"/>
    <n v="299"/>
    <n v="199"/>
    <s v="210 ml"/>
    <x v="9"/>
  </r>
  <r>
    <n v="4034"/>
    <x v="3381"/>
    <x v="657"/>
    <n v="550"/>
    <n v="385"/>
    <s v="300 ml"/>
    <x v="9"/>
  </r>
  <r>
    <n v="4035"/>
    <x v="3382"/>
    <x v="628"/>
    <n v="550"/>
    <n v="275"/>
    <s v="300 ml"/>
    <x v="9"/>
  </r>
  <r>
    <n v="4036"/>
    <x v="3383"/>
    <x v="608"/>
    <n v="210"/>
    <n v="190"/>
    <s v="175 ml"/>
    <x v="9"/>
  </r>
  <r>
    <n v="4037"/>
    <x v="3384"/>
    <x v="608"/>
    <n v="210"/>
    <n v="186"/>
    <s v="175 ml"/>
    <x v="9"/>
  </r>
  <r>
    <n v="4038"/>
    <x v="3385"/>
    <x v="677"/>
    <n v="229"/>
    <n v="204"/>
    <s v="190 ml"/>
    <x v="9"/>
  </r>
  <r>
    <n v="4039"/>
    <x v="3386"/>
    <x v="608"/>
    <n v="210"/>
    <n v="190"/>
    <s v="170 ml"/>
    <x v="9"/>
  </r>
  <r>
    <n v="4040"/>
    <x v="3387"/>
    <x v="664"/>
    <n v="219"/>
    <n v="199"/>
    <s v="175 ml"/>
    <x v="9"/>
  </r>
  <r>
    <n v="4041"/>
    <x v="3388"/>
    <x v="675"/>
    <n v="154"/>
    <n v="134"/>
    <s v="180 ml"/>
    <x v="9"/>
  </r>
  <r>
    <n v="4042"/>
    <x v="3389"/>
    <x v="639"/>
    <n v="349"/>
    <n v="279"/>
    <s v="250 ml"/>
    <x v="9"/>
  </r>
  <r>
    <n v="4043"/>
    <x v="3390"/>
    <x v="664"/>
    <n v="229"/>
    <n v="209"/>
    <s v="175 ml"/>
    <x v="9"/>
  </r>
  <r>
    <n v="4044"/>
    <x v="3391"/>
    <x v="682"/>
    <n v="315"/>
    <n v="250"/>
    <s v="100 ml"/>
    <x v="9"/>
  </r>
  <r>
    <n v="4045"/>
    <x v="3392"/>
    <x v="664"/>
    <n v="229"/>
    <n v="195"/>
    <s v="175 ml"/>
    <x v="9"/>
  </r>
  <r>
    <n v="4046"/>
    <x v="3393"/>
    <x v="680"/>
    <n v="190"/>
    <n v="175"/>
    <s v="175 ml"/>
    <x v="9"/>
  </r>
  <r>
    <n v="4047"/>
    <x v="3394"/>
    <x v="664"/>
    <n v="219"/>
    <n v="199"/>
    <s v="175 ml"/>
    <x v="9"/>
  </r>
  <r>
    <n v="4048"/>
    <x v="3395"/>
    <x v="680"/>
    <n v="190"/>
    <n v="176"/>
    <s v="175 ml"/>
    <x v="9"/>
  </r>
  <r>
    <n v="4049"/>
    <x v="3384"/>
    <x v="608"/>
    <n v="355"/>
    <n v="315"/>
    <s v="335 ml"/>
    <x v="9"/>
  </r>
  <r>
    <n v="4050"/>
    <x v="3396"/>
    <x v="619"/>
    <n v="299"/>
    <n v="199"/>
    <s v="210 ml"/>
    <x v="9"/>
  </r>
  <r>
    <n v="4051"/>
    <x v="3397"/>
    <x v="657"/>
    <n v="675"/>
    <n v="472"/>
    <s v="250 gm"/>
    <x v="9"/>
  </r>
  <r>
    <n v="4052"/>
    <x v="3398"/>
    <x v="664"/>
    <n v="630"/>
    <n v="550"/>
    <s v="87.5 gm"/>
    <x v="9"/>
  </r>
  <r>
    <n v="4053"/>
    <x v="3399"/>
    <x v="638"/>
    <n v="200"/>
    <n v="170"/>
    <s v="60 ml"/>
    <x v="9"/>
  </r>
  <r>
    <n v="4054"/>
    <x v="3400"/>
    <x v="664"/>
    <n v="630"/>
    <n v="584"/>
    <s v="87.5 gm"/>
    <x v="9"/>
  </r>
  <r>
    <n v="4055"/>
    <x v="3401"/>
    <x v="638"/>
    <n v="185"/>
    <n v="160"/>
    <s v="60 ml"/>
    <x v="9"/>
  </r>
  <r>
    <n v="4056"/>
    <x v="3402"/>
    <x v="664"/>
    <n v="650"/>
    <n v="558"/>
    <s v="72 ml"/>
    <x v="9"/>
  </r>
  <r>
    <n v="4057"/>
    <x v="3403"/>
    <x v="664"/>
    <n v="650"/>
    <n v="562"/>
    <s v="72 ml"/>
    <x v="9"/>
  </r>
  <r>
    <n v="4058"/>
    <x v="3404"/>
    <x v="664"/>
    <n v="630"/>
    <n v="565"/>
    <s v="87.5 gm"/>
    <x v="9"/>
  </r>
  <r>
    <n v="4059"/>
    <x v="3405"/>
    <x v="683"/>
    <n v="35"/>
    <n v="26"/>
    <s v="20 gm"/>
    <x v="9"/>
  </r>
  <r>
    <n v="4060"/>
    <x v="3406"/>
    <x v="42"/>
    <n v="219"/>
    <n v="190"/>
    <s v="500 gm"/>
    <x v="9"/>
  </r>
  <r>
    <n v="4061"/>
    <x v="3406"/>
    <x v="42"/>
    <n v="120"/>
    <n v="110"/>
    <s v="200 gm"/>
    <x v="9"/>
  </r>
  <r>
    <n v="4062"/>
    <x v="3407"/>
    <x v="638"/>
    <n v="39"/>
    <n v="36"/>
    <s v="20 ml"/>
    <x v="9"/>
  </r>
  <r>
    <n v="4063"/>
    <x v="3408"/>
    <x v="638"/>
    <n v="200"/>
    <n v="164"/>
    <s v="60 ml"/>
    <x v="9"/>
  </r>
  <r>
    <n v="4064"/>
    <x v="3409"/>
    <x v="638"/>
    <n v="39"/>
    <n v="36"/>
    <s v="20 ml"/>
    <x v="9"/>
  </r>
  <r>
    <n v="4065"/>
    <x v="3410"/>
    <x v="638"/>
    <n v="39"/>
    <n v="36"/>
    <s v="20 ml"/>
    <x v="9"/>
  </r>
  <r>
    <n v="4066"/>
    <x v="3411"/>
    <x v="684"/>
    <n v="40"/>
    <n v="28"/>
    <s v="25 ml"/>
    <x v="9"/>
  </r>
  <r>
    <n v="4067"/>
    <x v="3412"/>
    <x v="683"/>
    <n v="35"/>
    <n v="27"/>
    <s v="20 gm"/>
    <x v="9"/>
  </r>
  <r>
    <n v="4068"/>
    <x v="3413"/>
    <x v="683"/>
    <n v="35"/>
    <n v="28"/>
    <s v="20 gm"/>
    <x v="9"/>
  </r>
  <r>
    <n v="4069"/>
    <x v="3414"/>
    <x v="638"/>
    <n v="200"/>
    <n v="175"/>
    <s v="60 ml"/>
    <x v="9"/>
  </r>
  <r>
    <n v="4070"/>
    <x v="3415"/>
    <x v="683"/>
    <n v="35"/>
    <n v="27"/>
    <s v="20 gm"/>
    <x v="9"/>
  </r>
  <r>
    <n v="4071"/>
    <x v="3416"/>
    <x v="638"/>
    <n v="29"/>
    <n v="26"/>
    <s v="10 ml + 10 ml"/>
    <x v="9"/>
  </r>
  <r>
    <n v="4072"/>
    <x v="3417"/>
    <x v="638"/>
    <n v="39"/>
    <n v="36"/>
    <s v="20 ml"/>
    <x v="9"/>
  </r>
  <r>
    <n v="4073"/>
    <x v="3418"/>
    <x v="638"/>
    <n v="29"/>
    <n v="27"/>
    <s v="10 ml + 10 ml"/>
    <x v="9"/>
  </r>
  <r>
    <n v="4074"/>
    <x v="3419"/>
    <x v="685"/>
    <n v="435"/>
    <n v="217"/>
    <s v="40 ml"/>
    <x v="9"/>
  </r>
  <r>
    <n v="4075"/>
    <x v="3420"/>
    <x v="685"/>
    <n v="435"/>
    <n v="217"/>
    <s v="40 ml"/>
    <x v="9"/>
  </r>
  <r>
    <n v="4076"/>
    <x v="3421"/>
    <x v="685"/>
    <n v="435"/>
    <n v="217"/>
    <s v="40 ml"/>
    <x v="9"/>
  </r>
  <r>
    <n v="4077"/>
    <x v="3422"/>
    <x v="651"/>
    <n v="195"/>
    <n v="156"/>
    <s v="50 gm"/>
    <x v="9"/>
  </r>
  <r>
    <n v="4078"/>
    <x v="3423"/>
    <x v="498"/>
    <n v="995"/>
    <n v="729"/>
    <s v="1000 W"/>
    <x v="9"/>
  </r>
  <r>
    <n v="4079"/>
    <x v="3424"/>
    <x v="686"/>
    <n v="999"/>
    <n v="699"/>
    <s v="1000 W"/>
    <x v="9"/>
  </r>
  <r>
    <n v="4080"/>
    <x v="3425"/>
    <x v="686"/>
    <n v="1999"/>
    <n v="1399"/>
    <s v="1 Unit"/>
    <x v="9"/>
  </r>
  <r>
    <n v="4081"/>
    <x v="3426"/>
    <x v="498"/>
    <n v="1295"/>
    <n v="999"/>
    <s v="1 U"/>
    <x v="9"/>
  </r>
  <r>
    <n v="4082"/>
    <x v="3427"/>
    <x v="686"/>
    <n v="999"/>
    <n v="699"/>
    <s v="1 U"/>
    <x v="9"/>
  </r>
  <r>
    <n v="4083"/>
    <x v="3428"/>
    <x v="686"/>
    <n v="1099"/>
    <n v="799"/>
    <s v="1 Unit"/>
    <x v="9"/>
  </r>
  <r>
    <n v="4084"/>
    <x v="3429"/>
    <x v="2"/>
    <n v="125"/>
    <n v="89"/>
    <s v="Pack of 5"/>
    <x v="9"/>
  </r>
  <r>
    <n v="4085"/>
    <x v="3430"/>
    <x v="665"/>
    <n v="189"/>
    <n v="175"/>
    <s v="0.35 gm"/>
    <x v="56"/>
  </r>
  <r>
    <n v="4086"/>
    <x v="3431"/>
    <x v="665"/>
    <n v="325"/>
    <n v="240"/>
    <s v="0.35 gm"/>
    <x v="56"/>
  </r>
  <r>
    <n v="4087"/>
    <x v="3432"/>
    <x v="639"/>
    <n v="299"/>
    <n v="239"/>
    <s v="0.35 gm"/>
    <x v="56"/>
  </r>
  <r>
    <n v="4088"/>
    <x v="3432"/>
    <x v="639"/>
    <n v="499"/>
    <n v="399"/>
    <s v="1.2 gm"/>
    <x v="56"/>
  </r>
  <r>
    <n v="4089"/>
    <x v="3433"/>
    <x v="644"/>
    <n v="179"/>
    <n v="135"/>
    <s v="0.35 gm"/>
    <x v="56"/>
  </r>
  <r>
    <n v="4090"/>
    <x v="3434"/>
    <x v="644"/>
    <n v="249"/>
    <n v="200"/>
    <s v="1 Unit"/>
    <x v="56"/>
  </r>
  <r>
    <n v="4091"/>
    <x v="3435"/>
    <x v="644"/>
    <n v="249"/>
    <n v="200"/>
    <s v="1 Unit"/>
    <x v="56"/>
  </r>
  <r>
    <n v="4092"/>
    <x v="3436"/>
    <x v="644"/>
    <n v="330"/>
    <n v="248"/>
    <s v="0.7 gm"/>
    <x v="56"/>
  </r>
  <r>
    <n v="4093"/>
    <x v="3437"/>
    <x v="644"/>
    <n v="249"/>
    <n v="200"/>
    <s v="1 Unit"/>
    <x v="56"/>
  </r>
  <r>
    <n v="4094"/>
    <x v="3438"/>
    <x v="667"/>
    <n v="99"/>
    <n v="76"/>
    <s v="0.35 gm"/>
    <x v="56"/>
  </r>
  <r>
    <n v="4095"/>
    <x v="3439"/>
    <x v="644"/>
    <n v="249"/>
    <n v="199"/>
    <s v="1 Unit"/>
    <x v="56"/>
  </r>
  <r>
    <n v="4096"/>
    <x v="3440"/>
    <x v="634"/>
    <n v="275"/>
    <n v="199"/>
    <s v="0.35 gm"/>
    <x v="56"/>
  </r>
  <r>
    <n v="4097"/>
    <x v="3441"/>
    <x v="644"/>
    <n v="625"/>
    <n v="349"/>
    <s v="13 ml"/>
    <x v="56"/>
  </r>
  <r>
    <n v="4098"/>
    <x v="3442"/>
    <x v="634"/>
    <n v="475"/>
    <n v="320"/>
    <s v="3 gm"/>
    <x v="56"/>
  </r>
  <r>
    <n v="4099"/>
    <x v="3443"/>
    <x v="644"/>
    <n v="549"/>
    <n v="307"/>
    <s v="1.2 gm"/>
    <x v="56"/>
  </r>
  <r>
    <n v="4100"/>
    <x v="3444"/>
    <x v="644"/>
    <n v="499"/>
    <n v="299"/>
    <s v="1.2 gm"/>
    <x v="56"/>
  </r>
  <r>
    <n v="4101"/>
    <x v="3445"/>
    <x v="644"/>
    <n v="399"/>
    <n v="225"/>
    <s v="1.2 gm"/>
    <x v="56"/>
  </r>
  <r>
    <n v="4102"/>
    <x v="3446"/>
    <x v="657"/>
    <n v="275"/>
    <n v="171"/>
    <s v="0.35 gm"/>
    <x v="56"/>
  </r>
  <r>
    <n v="4103"/>
    <x v="3447"/>
    <x v="666"/>
    <n v="399"/>
    <n v="258"/>
    <s v="9.2 ml"/>
    <x v="56"/>
  </r>
  <r>
    <n v="4104"/>
    <x v="3448"/>
    <x v="665"/>
    <n v="399"/>
    <n v="319"/>
    <s v="10 ml"/>
    <x v="56"/>
  </r>
  <r>
    <n v="4105"/>
    <x v="3449"/>
    <x v="634"/>
    <n v="450"/>
    <n v="299"/>
    <s v="9 ml"/>
    <x v="56"/>
  </r>
  <r>
    <n v="4106"/>
    <x v="3450"/>
    <x v="667"/>
    <n v="115"/>
    <n v="92"/>
    <s v="9 ml"/>
    <x v="56"/>
  </r>
  <r>
    <n v="4107"/>
    <x v="3451"/>
    <x v="644"/>
    <n v="399"/>
    <n v="280"/>
    <s v="9.5 gm"/>
    <x v="56"/>
  </r>
  <r>
    <n v="4108"/>
    <x v="3452"/>
    <x v="644"/>
    <n v="499"/>
    <n v="280"/>
    <s v="5 gm"/>
    <x v="56"/>
  </r>
  <r>
    <n v="4109"/>
    <x v="3453"/>
    <x v="634"/>
    <n v="400"/>
    <n v="299"/>
    <s v="8.5 ml"/>
    <x v="56"/>
  </r>
  <r>
    <n v="4110"/>
    <x v="3454"/>
    <x v="665"/>
    <n v="249"/>
    <n v="199"/>
    <s v="3 ml"/>
    <x v="56"/>
  </r>
  <r>
    <n v="4111"/>
    <x v="3455"/>
    <x v="666"/>
    <n v="500"/>
    <n v="349"/>
    <s v="2.5 gm"/>
    <x v="56"/>
  </r>
  <r>
    <n v="4112"/>
    <x v="3456"/>
    <x v="644"/>
    <n v="399"/>
    <n v="300"/>
    <s v="0.6 ml"/>
    <x v="56"/>
  </r>
  <r>
    <n v="4113"/>
    <x v="3457"/>
    <x v="644"/>
    <n v="249"/>
    <n v="142"/>
    <s v="3.5 ml"/>
    <x v="56"/>
  </r>
  <r>
    <n v="4114"/>
    <x v="3458"/>
    <x v="634"/>
    <n v="260"/>
    <n v="199"/>
    <s v="4.5 ml"/>
    <x v="56"/>
  </r>
  <r>
    <n v="4115"/>
    <x v="3459"/>
    <x v="634"/>
    <n v="325"/>
    <n v="249"/>
    <s v="3.5 ml"/>
    <x v="56"/>
  </r>
  <r>
    <n v="4116"/>
    <x v="3460"/>
    <x v="667"/>
    <n v="155"/>
    <n v="124"/>
    <s v="1.5 gm"/>
    <x v="56"/>
  </r>
  <r>
    <n v="4117"/>
    <x v="3461"/>
    <x v="667"/>
    <n v="110"/>
    <n v="88"/>
    <s v="5 ml"/>
    <x v="56"/>
  </r>
  <r>
    <n v="4118"/>
    <x v="3462"/>
    <x v="644"/>
    <n v="649"/>
    <n v="362"/>
    <s v="2.5 ml"/>
    <x v="56"/>
  </r>
  <r>
    <n v="4119"/>
    <x v="3463"/>
    <x v="358"/>
    <n v="255"/>
    <n v="190"/>
    <s v="4 gm"/>
    <x v="56"/>
  </r>
  <r>
    <n v="4120"/>
    <x v="3464"/>
    <x v="644"/>
    <n v="599"/>
    <n v="335"/>
    <s v="1.2 ml"/>
    <x v="56"/>
  </r>
  <r>
    <n v="4121"/>
    <x v="3465"/>
    <x v="644"/>
    <n v="599"/>
    <n v="335"/>
    <s v="1 ml"/>
    <x v="56"/>
  </r>
  <r>
    <n v="4122"/>
    <x v="3466"/>
    <x v="358"/>
    <n v="295"/>
    <n v="169"/>
    <s v="3.5 ml"/>
    <x v="56"/>
  </r>
  <r>
    <n v="4123"/>
    <x v="3467"/>
    <x v="644"/>
    <n v="499"/>
    <n v="375"/>
    <s v="1.2 gm"/>
    <x v="56"/>
  </r>
  <r>
    <n v="4124"/>
    <x v="3468"/>
    <x v="666"/>
    <n v="999"/>
    <n v="649"/>
    <s v="9 gm"/>
    <x v="56"/>
  </r>
  <r>
    <n v="4125"/>
    <x v="3469"/>
    <x v="666"/>
    <n v="750"/>
    <n v="449"/>
    <s v="6.1 gm"/>
    <x v="56"/>
  </r>
  <r>
    <n v="4126"/>
    <x v="3470"/>
    <x v="644"/>
    <n v="999"/>
    <n v="555"/>
    <s v="10 gm"/>
    <x v="56"/>
  </r>
  <r>
    <n v="4127"/>
    <x v="3471"/>
    <x v="665"/>
    <n v="175"/>
    <n v="140"/>
    <s v="4 gm"/>
    <x v="57"/>
  </r>
  <r>
    <n v="4128"/>
    <x v="3472"/>
    <x v="639"/>
    <n v="299"/>
    <n v="239"/>
    <s v="2 gm"/>
    <x v="57"/>
  </r>
  <r>
    <n v="4129"/>
    <x v="3473"/>
    <x v="665"/>
    <n v="199"/>
    <n v="169"/>
    <s v="4 gm"/>
    <x v="57"/>
  </r>
  <r>
    <n v="4130"/>
    <x v="3474"/>
    <x v="665"/>
    <n v="199"/>
    <n v="140"/>
    <s v="4 gm"/>
    <x v="57"/>
  </r>
  <r>
    <n v="4131"/>
    <x v="3475"/>
    <x v="644"/>
    <n v="175"/>
    <n v="140"/>
    <s v="1 Unit"/>
    <x v="57"/>
  </r>
  <r>
    <n v="4132"/>
    <x v="3476"/>
    <x v="665"/>
    <n v="199"/>
    <n v="144"/>
    <s v="1.7 gm"/>
    <x v="57"/>
  </r>
  <r>
    <n v="4133"/>
    <x v="3477"/>
    <x v="665"/>
    <n v="199"/>
    <n v="144"/>
    <s v="1.7 gm"/>
    <x v="57"/>
  </r>
  <r>
    <n v="4134"/>
    <x v="3478"/>
    <x v="644"/>
    <n v="175"/>
    <n v="140"/>
    <s v="4.5 gm"/>
    <x v="57"/>
  </r>
  <r>
    <n v="4135"/>
    <x v="3479"/>
    <x v="358"/>
    <n v="199"/>
    <n v="149"/>
    <s v="5 gm"/>
    <x v="57"/>
  </r>
  <r>
    <n v="4136"/>
    <x v="3480"/>
    <x v="665"/>
    <n v="175"/>
    <n v="140"/>
    <s v="4 gm"/>
    <x v="57"/>
  </r>
  <r>
    <n v="4137"/>
    <x v="3481"/>
    <x v="644"/>
    <n v="175"/>
    <n v="140"/>
    <s v="1 Unit"/>
    <x v="57"/>
  </r>
  <r>
    <n v="4138"/>
    <x v="3482"/>
    <x v="665"/>
    <n v="175"/>
    <n v="140"/>
    <s v="4 gm"/>
    <x v="57"/>
  </r>
  <r>
    <n v="4139"/>
    <x v="3483"/>
    <x v="665"/>
    <n v="175"/>
    <n v="123"/>
    <s v="4 gm"/>
    <x v="57"/>
  </r>
  <r>
    <n v="4140"/>
    <x v="3484"/>
    <x v="666"/>
    <n v="175"/>
    <n v="140"/>
    <s v="4 gm"/>
    <x v="57"/>
  </r>
  <r>
    <n v="4141"/>
    <x v="3485"/>
    <x v="665"/>
    <n v="175"/>
    <n v="140"/>
    <s v="4 gm"/>
    <x v="57"/>
  </r>
  <r>
    <n v="4142"/>
    <x v="3486"/>
    <x v="657"/>
    <n v="295"/>
    <n v="221"/>
    <s v="12 gm"/>
    <x v="57"/>
  </r>
  <r>
    <n v="4143"/>
    <x v="3487"/>
    <x v="665"/>
    <n v="349"/>
    <n v="279"/>
    <s v="7 ml"/>
    <x v="57"/>
  </r>
  <r>
    <n v="4144"/>
    <x v="3488"/>
    <x v="666"/>
    <n v="699"/>
    <n v="479"/>
    <s v="5 ml"/>
    <x v="57"/>
  </r>
  <r>
    <n v="4145"/>
    <x v="3489"/>
    <x v="634"/>
    <n v="295"/>
    <n v="250"/>
    <s v="5.6 ml"/>
    <x v="57"/>
  </r>
  <r>
    <n v="4146"/>
    <x v="3490"/>
    <x v="634"/>
    <n v="295"/>
    <n v="195"/>
    <s v="5.6 ml"/>
    <x v="57"/>
  </r>
  <r>
    <n v="4147"/>
    <x v="3491"/>
    <x v="665"/>
    <n v="349"/>
    <n v="279"/>
    <s v="7 ml"/>
    <x v="57"/>
  </r>
  <r>
    <n v="4148"/>
    <x v="3492"/>
    <x v="634"/>
    <n v="295"/>
    <n v="195"/>
    <s v="5.6 ml"/>
    <x v="57"/>
  </r>
  <r>
    <n v="4149"/>
    <x v="3493"/>
    <x v="666"/>
    <n v="699"/>
    <n v="448"/>
    <s v="5 ml"/>
    <x v="57"/>
  </r>
  <r>
    <n v="4150"/>
    <x v="3494"/>
    <x v="634"/>
    <n v="295"/>
    <n v="250"/>
    <s v="5.6 ml"/>
    <x v="57"/>
  </r>
  <r>
    <n v="4151"/>
    <x v="3495"/>
    <x v="666"/>
    <n v="699"/>
    <n v="448"/>
    <s v="5 ml"/>
    <x v="57"/>
  </r>
  <r>
    <n v="4152"/>
    <x v="3496"/>
    <x v="634"/>
    <n v="295"/>
    <n v="195"/>
    <s v="5.6 ml"/>
    <x v="57"/>
  </r>
  <r>
    <n v="4153"/>
    <x v="3497"/>
    <x v="665"/>
    <n v="349"/>
    <n v="240"/>
    <s v="7 ml"/>
    <x v="57"/>
  </r>
  <r>
    <n v="4154"/>
    <x v="3498"/>
    <x v="665"/>
    <n v="349"/>
    <n v="240"/>
    <s v="7 ml"/>
    <x v="57"/>
  </r>
  <r>
    <n v="4155"/>
    <x v="3499"/>
    <x v="666"/>
    <n v="699"/>
    <n v="448"/>
    <s v="5 ml"/>
    <x v="57"/>
  </r>
  <r>
    <n v="4156"/>
    <x v="3500"/>
    <x v="634"/>
    <n v="295"/>
    <n v="197"/>
    <s v="5.6 ml"/>
    <x v="57"/>
  </r>
  <r>
    <n v="4157"/>
    <x v="3501"/>
    <x v="666"/>
    <n v="699"/>
    <n v="448"/>
    <s v="5 ml"/>
    <x v="57"/>
  </r>
  <r>
    <n v="4158"/>
    <x v="3502"/>
    <x v="665"/>
    <n v="349"/>
    <n v="239"/>
    <s v="7 ml"/>
    <x v="57"/>
  </r>
  <r>
    <n v="4159"/>
    <x v="3503"/>
    <x v="644"/>
    <n v="249"/>
    <n v="187"/>
    <s v="4 gm"/>
    <x v="57"/>
  </r>
  <r>
    <n v="4160"/>
    <x v="3504"/>
    <x v="644"/>
    <n v="249"/>
    <n v="175"/>
    <s v="4 gm"/>
    <x v="57"/>
  </r>
  <r>
    <n v="4161"/>
    <x v="3505"/>
    <x v="644"/>
    <n v="249"/>
    <n v="175"/>
    <s v="4 gm"/>
    <x v="57"/>
  </r>
  <r>
    <n v="4162"/>
    <x v="3506"/>
    <x v="644"/>
    <n v="299"/>
    <n v="210"/>
    <s v="4 gm"/>
    <x v="57"/>
  </r>
  <r>
    <n v="4163"/>
    <x v="3507"/>
    <x v="665"/>
    <n v="299"/>
    <n v="239"/>
    <s v="3.9 gm"/>
    <x v="57"/>
  </r>
  <r>
    <n v="4164"/>
    <x v="3508"/>
    <x v="644"/>
    <n v="299"/>
    <n v="210"/>
    <s v="4 gm"/>
    <x v="57"/>
  </r>
  <r>
    <n v="4165"/>
    <x v="3509"/>
    <x v="644"/>
    <n v="249"/>
    <n v="187"/>
    <s v="4 gm"/>
    <x v="57"/>
  </r>
  <r>
    <n v="4166"/>
    <x v="3510"/>
    <x v="634"/>
    <n v="284"/>
    <n v="245"/>
    <s v="4.5 gm"/>
    <x v="57"/>
  </r>
  <r>
    <n v="4167"/>
    <x v="3511"/>
    <x v="667"/>
    <n v="95"/>
    <n v="76"/>
    <s v="4 ml"/>
    <x v="57"/>
  </r>
  <r>
    <n v="4168"/>
    <x v="3512"/>
    <x v="665"/>
    <n v="299"/>
    <n v="239"/>
    <s v="3.9 gm"/>
    <x v="57"/>
  </r>
  <r>
    <n v="4169"/>
    <x v="3513"/>
    <x v="644"/>
    <n v="249"/>
    <n v="187"/>
    <s v="4 gm"/>
    <x v="57"/>
  </r>
  <r>
    <n v="4170"/>
    <x v="3514"/>
    <x v="644"/>
    <n v="799"/>
    <n v="445"/>
    <s v="1.4 gm"/>
    <x v="57"/>
  </r>
  <r>
    <n v="4171"/>
    <x v="3515"/>
    <x v="644"/>
    <n v="249"/>
    <n v="175"/>
    <s v="4 gm"/>
    <x v="57"/>
  </r>
  <r>
    <n v="4172"/>
    <x v="3516"/>
    <x v="667"/>
    <n v="99"/>
    <n v="79"/>
    <s v="4 ml"/>
    <x v="57"/>
  </r>
  <r>
    <n v="4173"/>
    <x v="3517"/>
    <x v="665"/>
    <n v="299"/>
    <n v="239"/>
    <s v="3.9 gm"/>
    <x v="57"/>
  </r>
  <r>
    <n v="4174"/>
    <x v="3518"/>
    <x v="665"/>
    <n v="299"/>
    <n v="239"/>
    <s v="3.9 gm"/>
    <x v="57"/>
  </r>
  <r>
    <n v="4175"/>
    <x v="3519"/>
    <x v="667"/>
    <n v="120"/>
    <n v="96"/>
    <s v="4 gm"/>
    <x v="57"/>
  </r>
  <r>
    <n v="4176"/>
    <x v="3520"/>
    <x v="644"/>
    <n v="799"/>
    <n v="445"/>
    <s v="1.4 gm"/>
    <x v="57"/>
  </r>
  <r>
    <n v="4177"/>
    <x v="3521"/>
    <x v="634"/>
    <n v="295"/>
    <n v="195"/>
    <s v="5.6 ml"/>
    <x v="57"/>
  </r>
  <r>
    <n v="4178"/>
    <x v="3522"/>
    <x v="665"/>
    <n v="325"/>
    <n v="239"/>
    <s v="3.9 gm"/>
    <x v="57"/>
  </r>
  <r>
    <n v="4179"/>
    <x v="3523"/>
    <x v="665"/>
    <n v="299"/>
    <n v="239"/>
    <s v="3.9 gm"/>
    <x v="57"/>
  </r>
  <r>
    <n v="4180"/>
    <x v="3524"/>
    <x v="644"/>
    <n v="249"/>
    <n v="142"/>
    <s v="4 gm"/>
    <x v="57"/>
  </r>
  <r>
    <n v="4181"/>
    <x v="3525"/>
    <x v="634"/>
    <n v="295"/>
    <n v="200"/>
    <s v="5.6 ml"/>
    <x v="57"/>
  </r>
  <r>
    <n v="4182"/>
    <x v="3526"/>
    <x v="644"/>
    <n v="299"/>
    <n v="210"/>
    <s v="4 gm"/>
    <x v="57"/>
  </r>
  <r>
    <n v="4183"/>
    <x v="3527"/>
    <x v="644"/>
    <n v="799"/>
    <n v="445"/>
    <s v="1.4 gm"/>
    <x v="57"/>
  </r>
  <r>
    <n v="4184"/>
    <x v="3528"/>
    <x v="667"/>
    <n v="99"/>
    <n v="76"/>
    <s v="4 ml"/>
    <x v="57"/>
  </r>
  <r>
    <n v="4185"/>
    <x v="3529"/>
    <x v="644"/>
    <n v="299"/>
    <n v="170"/>
    <s v="4 gm"/>
    <x v="57"/>
  </r>
  <r>
    <n v="4186"/>
    <x v="3530"/>
    <x v="667"/>
    <n v="85"/>
    <n v="68"/>
    <s v="4.2 gm"/>
    <x v="57"/>
  </r>
  <r>
    <n v="4187"/>
    <x v="3531"/>
    <x v="667"/>
    <n v="95"/>
    <n v="76"/>
    <s v="4 ml"/>
    <x v="57"/>
  </r>
  <r>
    <n v="4188"/>
    <x v="3532"/>
    <x v="644"/>
    <n v="799"/>
    <n v="445"/>
    <s v="1.4 gm"/>
    <x v="57"/>
  </r>
  <r>
    <n v="4189"/>
    <x v="3533"/>
    <x v="644"/>
    <n v="299"/>
    <n v="170"/>
    <s v="4 gm"/>
    <x v="57"/>
  </r>
  <r>
    <n v="4190"/>
    <x v="3534"/>
    <x v="644"/>
    <n v="299"/>
    <n v="170"/>
    <s v="4 gm"/>
    <x v="57"/>
  </r>
  <r>
    <n v="4191"/>
    <x v="3535"/>
    <x v="644"/>
    <n v="249"/>
    <n v="169"/>
    <s v="4 gm"/>
    <x v="57"/>
  </r>
  <r>
    <n v="4192"/>
    <x v="3536"/>
    <x v="358"/>
    <n v="325"/>
    <n v="260"/>
    <s v="4.2 gm"/>
    <x v="57"/>
  </r>
  <r>
    <n v="4193"/>
    <x v="3537"/>
    <x v="667"/>
    <n v="240"/>
    <n v="192"/>
    <s v="3 gm"/>
    <x v="57"/>
  </r>
  <r>
    <n v="4194"/>
    <x v="3538"/>
    <x v="667"/>
    <n v="99"/>
    <n v="76"/>
    <s v="4 ml"/>
    <x v="57"/>
  </r>
  <r>
    <n v="4195"/>
    <x v="3539"/>
    <x v="644"/>
    <n v="799"/>
    <n v="445"/>
    <s v="1.4 gm"/>
    <x v="57"/>
  </r>
  <r>
    <n v="4196"/>
    <x v="3540"/>
    <x v="644"/>
    <n v="799"/>
    <n v="445"/>
    <s v="1.4 gm"/>
    <x v="57"/>
  </r>
  <r>
    <n v="4197"/>
    <x v="3541"/>
    <x v="667"/>
    <n v="120"/>
    <n v="96"/>
    <s v="4 gm"/>
    <x v="57"/>
  </r>
  <r>
    <n v="4198"/>
    <x v="3542"/>
    <x v="644"/>
    <n v="299"/>
    <n v="170"/>
    <s v="4 gm"/>
    <x v="57"/>
  </r>
  <r>
    <n v="4199"/>
    <x v="3543"/>
    <x v="667"/>
    <n v="99"/>
    <n v="76"/>
    <s v="4 ml"/>
    <x v="57"/>
  </r>
  <r>
    <n v="4200"/>
    <x v="3544"/>
    <x v="634"/>
    <n v="275"/>
    <n v="196"/>
    <s v="4.5 gm"/>
    <x v="57"/>
  </r>
  <r>
    <n v="4201"/>
    <x v="3545"/>
    <x v="667"/>
    <n v="99"/>
    <n v="76"/>
    <s v="4 ml"/>
    <x v="57"/>
  </r>
  <r>
    <n v="4202"/>
    <x v="3546"/>
    <x v="644"/>
    <n v="799"/>
    <n v="445"/>
    <s v="1.4 gm"/>
    <x v="57"/>
  </r>
  <r>
    <n v="4203"/>
    <x v="3547"/>
    <x v="644"/>
    <n v="299"/>
    <n v="170"/>
    <s v="4 gm"/>
    <x v="57"/>
  </r>
  <r>
    <n v="4204"/>
    <x v="3548"/>
    <x v="634"/>
    <n v="275"/>
    <n v="245"/>
    <s v="4.5 gm"/>
    <x v="57"/>
  </r>
  <r>
    <n v="4205"/>
    <x v="3549"/>
    <x v="665"/>
    <n v="299"/>
    <n v="208"/>
    <s v="3.9 gm"/>
    <x v="57"/>
  </r>
  <r>
    <n v="4206"/>
    <x v="3550"/>
    <x v="667"/>
    <n v="85"/>
    <n v="68"/>
    <s v="4.2 gm"/>
    <x v="57"/>
  </r>
  <r>
    <n v="4207"/>
    <x v="3551"/>
    <x v="644"/>
    <n v="799"/>
    <n v="445"/>
    <s v="1.4 gm"/>
    <x v="57"/>
  </r>
  <r>
    <n v="4208"/>
    <x v="3552"/>
    <x v="667"/>
    <n v="120"/>
    <n v="96"/>
    <s v="4 gm"/>
    <x v="57"/>
  </r>
  <r>
    <n v="4209"/>
    <x v="3553"/>
    <x v="665"/>
    <n v="299"/>
    <n v="220"/>
    <s v="3.9 gm"/>
    <x v="57"/>
  </r>
  <r>
    <n v="4210"/>
    <x v="3554"/>
    <x v="667"/>
    <n v="240"/>
    <n v="192"/>
    <s v="3 gm"/>
    <x v="57"/>
  </r>
  <r>
    <n v="4211"/>
    <x v="3555"/>
    <x v="667"/>
    <n v="85"/>
    <n v="49"/>
    <s v="4.2 gm"/>
    <x v="57"/>
  </r>
  <r>
    <n v="4212"/>
    <x v="3556"/>
    <x v="667"/>
    <n v="85"/>
    <n v="49"/>
    <s v="4.2 gm"/>
    <x v="57"/>
  </r>
  <r>
    <n v="4213"/>
    <x v="3557"/>
    <x v="665"/>
    <n v="299"/>
    <n v="207"/>
    <s v="3.9 gm"/>
    <x v="57"/>
  </r>
  <r>
    <n v="4214"/>
    <x v="3558"/>
    <x v="667"/>
    <n v="240"/>
    <n v="192"/>
    <s v="3 gm"/>
    <x v="57"/>
  </r>
  <r>
    <n v="4215"/>
    <x v="3559"/>
    <x v="634"/>
    <n v="275"/>
    <n v="188"/>
    <s v="4.5 gm"/>
    <x v="57"/>
  </r>
  <r>
    <n v="4216"/>
    <x v="3560"/>
    <x v="634"/>
    <n v="275"/>
    <n v="192"/>
    <s v="4.5 gm"/>
    <x v="57"/>
  </r>
  <r>
    <n v="4217"/>
    <x v="3561"/>
    <x v="667"/>
    <n v="85"/>
    <n v="49"/>
    <s v="4.2 gm"/>
    <x v="57"/>
  </r>
  <r>
    <n v="4218"/>
    <x v="3562"/>
    <x v="667"/>
    <n v="240"/>
    <n v="192"/>
    <s v="3 gm"/>
    <x v="57"/>
  </r>
  <r>
    <n v="4219"/>
    <x v="3563"/>
    <x v="667"/>
    <n v="85"/>
    <n v="68"/>
    <s v="4.2 gm"/>
    <x v="57"/>
  </r>
  <r>
    <n v="4220"/>
    <x v="3564"/>
    <x v="667"/>
    <n v="240"/>
    <n v="192"/>
    <s v="3 gm"/>
    <x v="57"/>
  </r>
  <r>
    <n v="4221"/>
    <x v="3565"/>
    <x v="667"/>
    <n v="240"/>
    <n v="114"/>
    <s v="1.3 gm"/>
    <x v="57"/>
  </r>
  <r>
    <n v="4222"/>
    <x v="3566"/>
    <x v="667"/>
    <n v="240"/>
    <n v="192"/>
    <s v="3 gm"/>
    <x v="57"/>
  </r>
  <r>
    <n v="4223"/>
    <x v="3567"/>
    <x v="667"/>
    <n v="240"/>
    <n v="192"/>
    <s v="3 gm"/>
    <x v="57"/>
  </r>
  <r>
    <n v="4224"/>
    <x v="3568"/>
    <x v="665"/>
    <n v="299"/>
    <n v="207"/>
    <s v="3.9 gm"/>
    <x v="57"/>
  </r>
  <r>
    <n v="4225"/>
    <x v="3569"/>
    <x v="634"/>
    <n v="275"/>
    <n v="188"/>
    <s v="4.5 gm"/>
    <x v="57"/>
  </r>
  <r>
    <n v="4226"/>
    <x v="3570"/>
    <x v="634"/>
    <n v="295"/>
    <n v="195"/>
    <s v="5.6 ml"/>
    <x v="57"/>
  </r>
  <r>
    <n v="4227"/>
    <x v="3571"/>
    <x v="634"/>
    <n v="284"/>
    <n v="190"/>
    <s v="4.5 gm"/>
    <x v="57"/>
  </r>
  <r>
    <n v="4228"/>
    <x v="3572"/>
    <x v="634"/>
    <n v="295"/>
    <n v="195"/>
    <s v="5.6 ml"/>
    <x v="57"/>
  </r>
  <r>
    <n v="4229"/>
    <x v="3573"/>
    <x v="667"/>
    <n v="240"/>
    <n v="192"/>
    <s v="1.3 gm"/>
    <x v="57"/>
  </r>
  <r>
    <n v="4230"/>
    <x v="3574"/>
    <x v="667"/>
    <n v="240"/>
    <n v="113"/>
    <s v="1.3 gm"/>
    <x v="57"/>
  </r>
  <r>
    <n v="4231"/>
    <x v="3575"/>
    <x v="644"/>
    <n v="799"/>
    <n v="445"/>
    <s v="1.4 gm"/>
    <x v="57"/>
  </r>
  <r>
    <n v="4232"/>
    <x v="3576"/>
    <x v="644"/>
    <n v="299"/>
    <n v="170"/>
    <s v="4 gm"/>
    <x v="57"/>
  </r>
  <r>
    <n v="4233"/>
    <x v="3577"/>
    <x v="634"/>
    <n v="275"/>
    <n v="191"/>
    <s v="4.5 gm"/>
    <x v="57"/>
  </r>
  <r>
    <n v="4234"/>
    <x v="3578"/>
    <x v="667"/>
    <n v="120"/>
    <n v="59"/>
    <s v="4 gm"/>
    <x v="57"/>
  </r>
  <r>
    <n v="4235"/>
    <x v="3579"/>
    <x v="667"/>
    <n v="85"/>
    <n v="68"/>
    <s v="4.2 gm"/>
    <x v="57"/>
  </r>
  <r>
    <n v="4236"/>
    <x v="3580"/>
    <x v="667"/>
    <n v="240"/>
    <n v="113"/>
    <s v="1.3 gm"/>
    <x v="57"/>
  </r>
  <r>
    <n v="4237"/>
    <x v="3581"/>
    <x v="667"/>
    <n v="120"/>
    <n v="59"/>
    <s v="4 gm"/>
    <x v="57"/>
  </r>
  <r>
    <n v="4238"/>
    <x v="3582"/>
    <x v="634"/>
    <n v="525"/>
    <n v="355"/>
    <s v="3.6 gm"/>
    <x v="57"/>
  </r>
  <r>
    <n v="4239"/>
    <x v="3583"/>
    <x v="667"/>
    <n v="240"/>
    <n v="113"/>
    <s v="1.3 gm"/>
    <x v="57"/>
  </r>
  <r>
    <n v="4240"/>
    <x v="3584"/>
    <x v="667"/>
    <n v="240"/>
    <n v="113"/>
    <s v="3 gm"/>
    <x v="57"/>
  </r>
  <r>
    <n v="4241"/>
    <x v="3585"/>
    <x v="634"/>
    <n v="500"/>
    <n v="329"/>
    <s v="3.6 gm"/>
    <x v="57"/>
  </r>
  <r>
    <n v="4242"/>
    <x v="3586"/>
    <x v="634"/>
    <n v="295"/>
    <n v="194"/>
    <s v="5.6 ml"/>
    <x v="57"/>
  </r>
  <r>
    <n v="4243"/>
    <x v="3587"/>
    <x v="634"/>
    <n v="525"/>
    <n v="279"/>
    <s v="3.6 gm"/>
    <x v="57"/>
  </r>
  <r>
    <n v="4244"/>
    <x v="3588"/>
    <x v="667"/>
    <n v="120"/>
    <n v="96"/>
    <s v="4 gm"/>
    <x v="57"/>
  </r>
  <r>
    <n v="4245"/>
    <x v="3589"/>
    <x v="634"/>
    <n v="295"/>
    <n v="195"/>
    <s v="5.6 ml"/>
    <x v="57"/>
  </r>
  <r>
    <n v="4246"/>
    <x v="3590"/>
    <x v="667"/>
    <n v="240"/>
    <n v="113"/>
    <s v="1.3 gm"/>
    <x v="57"/>
  </r>
  <r>
    <n v="4247"/>
    <x v="3591"/>
    <x v="667"/>
    <n v="240"/>
    <n v="113"/>
    <s v="1.3 gm"/>
    <x v="57"/>
  </r>
  <r>
    <n v="4248"/>
    <x v="3592"/>
    <x v="634"/>
    <n v="525"/>
    <n v="279"/>
    <s v="3.6 gm"/>
    <x v="57"/>
  </r>
  <r>
    <n v="4249"/>
    <x v="3593"/>
    <x v="667"/>
    <n v="240"/>
    <n v="113"/>
    <s v="1.3 gm"/>
    <x v="57"/>
  </r>
  <r>
    <n v="4250"/>
    <x v="3594"/>
    <x v="667"/>
    <n v="240"/>
    <n v="192"/>
    <s v="3 gm"/>
    <x v="57"/>
  </r>
  <r>
    <n v="4251"/>
    <x v="3595"/>
    <x v="667"/>
    <n v="240"/>
    <n v="113"/>
    <s v="1.3 gm"/>
    <x v="57"/>
  </r>
  <r>
    <n v="4252"/>
    <x v="3596"/>
    <x v="634"/>
    <n v="295"/>
    <n v="195"/>
    <s v="5.6 ml"/>
    <x v="57"/>
  </r>
  <r>
    <n v="4253"/>
    <x v="3597"/>
    <x v="634"/>
    <n v="295"/>
    <n v="195"/>
    <s v="5.6 ml"/>
    <x v="57"/>
  </r>
  <r>
    <n v="4254"/>
    <x v="3598"/>
    <x v="634"/>
    <n v="295"/>
    <n v="195"/>
    <s v="5.6 ml"/>
    <x v="57"/>
  </r>
  <r>
    <n v="4255"/>
    <x v="3599"/>
    <x v="634"/>
    <n v="525"/>
    <n v="262"/>
    <s v="3.6 gm"/>
    <x v="57"/>
  </r>
  <r>
    <n v="4256"/>
    <x v="3600"/>
    <x v="634"/>
    <n v="525"/>
    <n v="279"/>
    <s v="3.6 gm"/>
    <x v="57"/>
  </r>
  <r>
    <n v="4257"/>
    <x v="3601"/>
    <x v="634"/>
    <n v="295"/>
    <n v="194"/>
    <s v="5.6 ml"/>
    <x v="57"/>
  </r>
  <r>
    <n v="4258"/>
    <x v="3602"/>
    <x v="665"/>
    <n v="299"/>
    <n v="239"/>
    <s v="3.9 gm"/>
    <x v="57"/>
  </r>
  <r>
    <n v="4259"/>
    <x v="3603"/>
    <x v="644"/>
    <n v="99"/>
    <n v="75"/>
    <s v="30 ml"/>
    <x v="58"/>
  </r>
  <r>
    <n v="4260"/>
    <x v="3604"/>
    <x v="644"/>
    <n v="250"/>
    <n v="188"/>
    <s v="80 ml"/>
    <x v="58"/>
  </r>
  <r>
    <n v="4261"/>
    <x v="3605"/>
    <x v="644"/>
    <n v="119"/>
    <n v="96"/>
    <s v="8 ml"/>
    <x v="58"/>
  </r>
  <r>
    <n v="4262"/>
    <x v="3606"/>
    <x v="644"/>
    <n v="119"/>
    <n v="96"/>
    <s v="8 ml"/>
    <x v="58"/>
  </r>
  <r>
    <n v="4263"/>
    <x v="3607"/>
    <x v="634"/>
    <n v="180"/>
    <n v="90"/>
    <s v="6 ml"/>
    <x v="58"/>
  </r>
  <r>
    <n v="4264"/>
    <x v="3608"/>
    <x v="634"/>
    <n v="180"/>
    <n v="90"/>
    <s v="6 ml"/>
    <x v="58"/>
  </r>
  <r>
    <n v="4265"/>
    <x v="3609"/>
    <x v="634"/>
    <n v="180"/>
    <n v="90"/>
    <s v="6 ml"/>
    <x v="58"/>
  </r>
  <r>
    <n v="4266"/>
    <x v="3610"/>
    <x v="634"/>
    <n v="180"/>
    <n v="90"/>
    <s v="6 ml"/>
    <x v="58"/>
  </r>
  <r>
    <n v="4267"/>
    <x v="3611"/>
    <x v="634"/>
    <n v="180"/>
    <n v="90"/>
    <s v="6 ml"/>
    <x v="58"/>
  </r>
  <r>
    <n v="4268"/>
    <x v="3612"/>
    <x v="634"/>
    <n v="180"/>
    <n v="88"/>
    <s v="6 ml"/>
    <x v="58"/>
  </r>
  <r>
    <n v="4269"/>
    <x v="3613"/>
    <x v="644"/>
    <n v="119"/>
    <n v="95"/>
    <s v="8 ml"/>
    <x v="58"/>
  </r>
  <r>
    <n v="4270"/>
    <x v="3614"/>
    <x v="644"/>
    <n v="119"/>
    <n v="85"/>
    <s v="8 ml"/>
    <x v="58"/>
  </r>
  <r>
    <n v="4271"/>
    <x v="3615"/>
    <x v="644"/>
    <n v="119"/>
    <n v="85"/>
    <s v="8 ml"/>
    <x v="58"/>
  </r>
  <r>
    <n v="4272"/>
    <x v="3616"/>
    <x v="667"/>
    <n v="70"/>
    <n v="56"/>
    <s v="9 ml"/>
    <x v="58"/>
  </r>
  <r>
    <n v="4273"/>
    <x v="3617"/>
    <x v="644"/>
    <n v="119"/>
    <n v="96"/>
    <s v="8 ml"/>
    <x v="58"/>
  </r>
  <r>
    <n v="4274"/>
    <x v="3618"/>
    <x v="644"/>
    <n v="119"/>
    <n v="89"/>
    <s v="8 ml"/>
    <x v="58"/>
  </r>
  <r>
    <n v="4275"/>
    <x v="3619"/>
    <x v="644"/>
    <n v="119"/>
    <n v="71"/>
    <s v="8 ml"/>
    <x v="58"/>
  </r>
  <r>
    <n v="4276"/>
    <x v="3620"/>
    <x v="667"/>
    <n v="70"/>
    <n v="56"/>
    <s v="9 ml"/>
    <x v="58"/>
  </r>
  <r>
    <n v="4277"/>
    <x v="3621"/>
    <x v="667"/>
    <n v="70"/>
    <n v="56"/>
    <s v="9 ml"/>
    <x v="58"/>
  </r>
  <r>
    <n v="4278"/>
    <x v="3622"/>
    <x v="644"/>
    <n v="119"/>
    <n v="99"/>
    <s v="8 ml"/>
    <x v="58"/>
  </r>
  <r>
    <n v="4279"/>
    <x v="3623"/>
    <x v="634"/>
    <n v="125"/>
    <n v="99"/>
    <s v="9 ml"/>
    <x v="58"/>
  </r>
  <r>
    <n v="4280"/>
    <x v="3624"/>
    <x v="644"/>
    <n v="119"/>
    <n v="71"/>
    <s v="8 ml"/>
    <x v="58"/>
  </r>
  <r>
    <n v="4281"/>
    <x v="3625"/>
    <x v="667"/>
    <n v="70"/>
    <n v="56"/>
    <s v="9 ml"/>
    <x v="58"/>
  </r>
  <r>
    <n v="4282"/>
    <x v="3626"/>
    <x v="667"/>
    <n v="70"/>
    <n v="56"/>
    <s v="9 ml"/>
    <x v="58"/>
  </r>
  <r>
    <n v="4283"/>
    <x v="3627"/>
    <x v="687"/>
    <n v="55"/>
    <n v="40"/>
    <s v="56"/>
    <x v="58"/>
  </r>
  <r>
    <n v="4284"/>
    <x v="3627"/>
    <x v="687"/>
    <n v="55"/>
    <n v="36"/>
    <s v="28"/>
    <x v="58"/>
  </r>
  <r>
    <n v="4285"/>
    <x v="3627"/>
    <x v="687"/>
    <n v="55"/>
    <n v="27"/>
    <s v="121"/>
    <x v="58"/>
  </r>
  <r>
    <n v="4286"/>
    <x v="3627"/>
    <x v="687"/>
    <n v="55"/>
    <n v="39"/>
    <s v="30"/>
    <x v="58"/>
  </r>
  <r>
    <n v="4287"/>
    <x v="3627"/>
    <x v="687"/>
    <n v="55"/>
    <n v="26"/>
    <s v="59"/>
    <x v="58"/>
  </r>
  <r>
    <n v="4288"/>
    <x v="3627"/>
    <x v="687"/>
    <n v="55"/>
    <n v="36"/>
    <s v="8"/>
    <x v="58"/>
  </r>
  <r>
    <n v="4289"/>
    <x v="3627"/>
    <x v="687"/>
    <n v="55"/>
    <n v="26"/>
    <s v="129"/>
    <x v="58"/>
  </r>
  <r>
    <n v="4290"/>
    <x v="3628"/>
    <x v="667"/>
    <n v="70"/>
    <n v="56"/>
    <s v="9 ml"/>
    <x v="58"/>
  </r>
  <r>
    <n v="4291"/>
    <x v="3629"/>
    <x v="644"/>
    <n v="119"/>
    <n v="99"/>
    <s v="8 ml"/>
    <x v="58"/>
  </r>
  <r>
    <n v="4292"/>
    <x v="3630"/>
    <x v="644"/>
    <n v="119"/>
    <n v="85"/>
    <s v="8 ml"/>
    <x v="58"/>
  </r>
  <r>
    <n v="4293"/>
    <x v="3631"/>
    <x v="634"/>
    <n v="180"/>
    <n v="88"/>
    <s v="6 ml"/>
    <x v="58"/>
  </r>
  <r>
    <n v="4294"/>
    <x v="3632"/>
    <x v="644"/>
    <n v="119"/>
    <n v="71"/>
    <s v="8 ml"/>
    <x v="58"/>
  </r>
  <r>
    <n v="4295"/>
    <x v="3633"/>
    <x v="634"/>
    <n v="125"/>
    <n v="99"/>
    <s v="9 ml"/>
    <x v="58"/>
  </r>
  <r>
    <n v="4296"/>
    <x v="3634"/>
    <x v="667"/>
    <n v="70"/>
    <n v="56"/>
    <s v="9 ml"/>
    <x v="58"/>
  </r>
  <r>
    <n v="4297"/>
    <x v="3635"/>
    <x v="644"/>
    <n v="119"/>
    <n v="96"/>
    <s v="8 ml"/>
    <x v="58"/>
  </r>
  <r>
    <n v="4298"/>
    <x v="3636"/>
    <x v="644"/>
    <n v="119"/>
    <n v="96"/>
    <s v="8 ml"/>
    <x v="58"/>
  </r>
  <r>
    <n v="4299"/>
    <x v="3637"/>
    <x v="644"/>
    <n v="119"/>
    <n v="95"/>
    <s v="8 ml"/>
    <x v="58"/>
  </r>
  <r>
    <n v="4300"/>
    <x v="3638"/>
    <x v="644"/>
    <n v="119"/>
    <n v="85"/>
    <s v="8 ml"/>
    <x v="58"/>
  </r>
  <r>
    <n v="4301"/>
    <x v="3639"/>
    <x v="644"/>
    <n v="119"/>
    <n v="71"/>
    <s v="8 ml"/>
    <x v="58"/>
  </r>
  <r>
    <n v="4302"/>
    <x v="3640"/>
    <x v="667"/>
    <n v="70"/>
    <n v="49"/>
    <s v="9 ml"/>
    <x v="58"/>
  </r>
  <r>
    <n v="4303"/>
    <x v="3641"/>
    <x v="667"/>
    <n v="70"/>
    <n v="56"/>
    <s v="9 ml"/>
    <x v="58"/>
  </r>
  <r>
    <n v="4304"/>
    <x v="3642"/>
    <x v="687"/>
    <n v="55"/>
    <n v="39"/>
    <s v="5 ml"/>
    <x v="58"/>
  </r>
  <r>
    <n v="4305"/>
    <x v="3643"/>
    <x v="667"/>
    <n v="70"/>
    <n v="49"/>
    <s v="9 ml"/>
    <x v="58"/>
  </r>
  <r>
    <n v="4306"/>
    <x v="3644"/>
    <x v="667"/>
    <n v="70"/>
    <n v="56"/>
    <s v="9 ml"/>
    <x v="58"/>
  </r>
  <r>
    <n v="4307"/>
    <x v="3645"/>
    <x v="667"/>
    <n v="70"/>
    <n v="56"/>
    <s v="9 ml"/>
    <x v="58"/>
  </r>
  <r>
    <n v="4308"/>
    <x v="3646"/>
    <x v="644"/>
    <n v="119"/>
    <n v="95"/>
    <s v="8 ml"/>
    <x v="58"/>
  </r>
  <r>
    <n v="4309"/>
    <x v="3647"/>
    <x v="644"/>
    <n v="119"/>
    <n v="71"/>
    <s v="8 ml"/>
    <x v="58"/>
  </r>
  <r>
    <n v="4310"/>
    <x v="3648"/>
    <x v="667"/>
    <n v="70"/>
    <n v="56"/>
    <s v="9 ml"/>
    <x v="58"/>
  </r>
  <r>
    <n v="4311"/>
    <x v="3649"/>
    <x v="687"/>
    <n v="55"/>
    <n v="36"/>
    <s v="5 ml"/>
    <x v="58"/>
  </r>
  <r>
    <n v="4312"/>
    <x v="3650"/>
    <x v="644"/>
    <n v="119"/>
    <n v="71"/>
    <s v="8 ml"/>
    <x v="58"/>
  </r>
  <r>
    <n v="4313"/>
    <x v="3651"/>
    <x v="667"/>
    <n v="70"/>
    <n v="56"/>
    <s v="9 ml"/>
    <x v="58"/>
  </r>
  <r>
    <n v="4314"/>
    <x v="3652"/>
    <x v="667"/>
    <n v="70"/>
    <n v="56"/>
    <s v="9 ml"/>
    <x v="58"/>
  </r>
  <r>
    <n v="4315"/>
    <x v="3653"/>
    <x v="687"/>
    <n v="55"/>
    <n v="36"/>
    <s v="5 ml"/>
    <x v="58"/>
  </r>
  <r>
    <n v="4316"/>
    <x v="3654"/>
    <x v="687"/>
    <n v="55"/>
    <n v="36"/>
    <s v="5 ml"/>
    <x v="58"/>
  </r>
  <r>
    <n v="4317"/>
    <x v="3655"/>
    <x v="687"/>
    <n v="55"/>
    <n v="36"/>
    <s v="5 ml"/>
    <x v="58"/>
  </r>
  <r>
    <n v="4318"/>
    <x v="3656"/>
    <x v="687"/>
    <n v="55"/>
    <n v="39"/>
    <s v="5 ml"/>
    <x v="58"/>
  </r>
  <r>
    <n v="4319"/>
    <x v="3657"/>
    <x v="687"/>
    <n v="55"/>
    <n v="36"/>
    <s v="5 ml"/>
    <x v="58"/>
  </r>
  <r>
    <n v="4320"/>
    <x v="3658"/>
    <x v="687"/>
    <n v="55"/>
    <n v="39"/>
    <s v="5 ml"/>
    <x v="58"/>
  </r>
  <r>
    <n v="4321"/>
    <x v="3659"/>
    <x v="687"/>
    <n v="55"/>
    <n v="26"/>
    <s v="5 ml"/>
    <x v="58"/>
  </r>
  <r>
    <n v="4322"/>
    <x v="3660"/>
    <x v="667"/>
    <n v="70"/>
    <n v="49"/>
    <s v="9 ml"/>
    <x v="58"/>
  </r>
  <r>
    <n v="4323"/>
    <x v="3661"/>
    <x v="667"/>
    <n v="70"/>
    <n v="49"/>
    <s v="9 ml"/>
    <x v="58"/>
  </r>
  <r>
    <n v="4324"/>
    <x v="3662"/>
    <x v="687"/>
    <m/>
    <m/>
    <s v="5 ml"/>
    <x v="58"/>
  </r>
  <r>
    <n v="4325"/>
    <x v="3663"/>
    <x v="644"/>
    <n v="119"/>
    <n v="71"/>
    <s v="8 ml"/>
    <x v="58"/>
  </r>
  <r>
    <n v="4326"/>
    <x v="3664"/>
    <x v="667"/>
    <n v="70"/>
    <n v="49"/>
    <s v="9 ml"/>
    <x v="58"/>
  </r>
  <r>
    <n v="4327"/>
    <x v="3665"/>
    <x v="687"/>
    <n v="55"/>
    <n v="36"/>
    <s v="5 ml"/>
    <x v="58"/>
  </r>
  <r>
    <n v="4328"/>
    <x v="3666"/>
    <x v="644"/>
    <n v="119"/>
    <n v="71"/>
    <s v="8 ml"/>
    <x v="58"/>
  </r>
  <r>
    <n v="4329"/>
    <x v="3667"/>
    <x v="687"/>
    <n v="55"/>
    <n v="27"/>
    <s v="5 ml"/>
    <x v="58"/>
  </r>
  <r>
    <n v="4330"/>
    <x v="3668"/>
    <x v="687"/>
    <n v="55"/>
    <n v="36"/>
    <s v="5 ml"/>
    <x v="58"/>
  </r>
  <r>
    <n v="4331"/>
    <x v="3669"/>
    <x v="667"/>
    <n v="70"/>
    <n v="41"/>
    <s v="9 ml"/>
    <x v="58"/>
  </r>
  <r>
    <n v="4332"/>
    <x v="3670"/>
    <x v="687"/>
    <n v="55"/>
    <n v="26"/>
    <s v="5 ml"/>
    <x v="58"/>
  </r>
  <r>
    <n v="4333"/>
    <x v="3671"/>
    <x v="667"/>
    <n v="70"/>
    <n v="41"/>
    <s v="9 ml"/>
    <x v="58"/>
  </r>
  <r>
    <n v="4334"/>
    <x v="3672"/>
    <x v="688"/>
    <n v="63"/>
    <n v="58"/>
    <s v="100 gm"/>
    <x v="59"/>
  </r>
  <r>
    <n v="4335"/>
    <x v="3672"/>
    <x v="688"/>
    <n v="85"/>
    <n v="79"/>
    <s v="150 gm"/>
    <x v="59"/>
  </r>
  <r>
    <n v="4336"/>
    <x v="3672"/>
    <x v="688"/>
    <n v="115"/>
    <n v="105"/>
    <s v="200 gm"/>
    <x v="59"/>
  </r>
  <r>
    <n v="4337"/>
    <x v="3672"/>
    <x v="688"/>
    <n v="173"/>
    <n v="159"/>
    <s v="300 gm"/>
    <x v="59"/>
  </r>
  <r>
    <n v="4338"/>
    <x v="3672"/>
    <x v="688"/>
    <n v="253"/>
    <n v="188"/>
    <s v="500 gm"/>
    <x v="59"/>
  </r>
  <r>
    <n v="4339"/>
    <x v="3673"/>
    <x v="688"/>
    <n v="110"/>
    <n v="102"/>
    <s v="150 gm"/>
    <x v="59"/>
  </r>
  <r>
    <n v="4340"/>
    <x v="3673"/>
    <x v="688"/>
    <n v="200"/>
    <n v="145"/>
    <s v="300 gm"/>
    <x v="59"/>
  </r>
  <r>
    <n v="4341"/>
    <x v="3674"/>
    <x v="58"/>
    <n v="55"/>
    <n v="45"/>
    <s v="100 gm"/>
    <x v="59"/>
  </r>
  <r>
    <n v="4342"/>
    <x v="3674"/>
    <x v="58"/>
    <n v="105"/>
    <n v="97"/>
    <s v="200 gm"/>
    <x v="59"/>
  </r>
  <r>
    <n v="4343"/>
    <x v="3674"/>
    <x v="58"/>
    <n v="160"/>
    <n v="134"/>
    <s v="200 gm"/>
    <x v="59"/>
  </r>
  <r>
    <n v="4344"/>
    <x v="3674"/>
    <x v="58"/>
    <n v="195"/>
    <n v="175"/>
    <s v="2x200 gm"/>
    <x v="59"/>
  </r>
  <r>
    <n v="4345"/>
    <x v="3675"/>
    <x v="688"/>
    <n v="298"/>
    <n v="198"/>
    <s v="240 gm"/>
    <x v="59"/>
  </r>
  <r>
    <n v="4346"/>
    <x v="3676"/>
    <x v="689"/>
    <n v="182"/>
    <n v="121"/>
    <s v="2x150 gm"/>
    <x v="59"/>
  </r>
  <r>
    <n v="4347"/>
    <x v="3677"/>
    <x v="359"/>
    <n v="112"/>
    <n v="101"/>
    <s v="200 gm"/>
    <x v="59"/>
  </r>
  <r>
    <n v="4348"/>
    <x v="3677"/>
    <x v="359"/>
    <n v="203"/>
    <n v="155"/>
    <s v="2x200 gm"/>
    <x v="59"/>
  </r>
  <r>
    <n v="4349"/>
    <x v="3678"/>
    <x v="359"/>
    <n v="199"/>
    <n v="159"/>
    <s v="400 gm"/>
    <x v="59"/>
  </r>
  <r>
    <n v="4350"/>
    <x v="3679"/>
    <x v="690"/>
    <n v="138"/>
    <n v="92"/>
    <s v="300 gm"/>
    <x v="59"/>
  </r>
  <r>
    <n v="4351"/>
    <x v="3680"/>
    <x v="691"/>
    <n v="185"/>
    <n v="170"/>
    <s v="70 gm"/>
    <x v="59"/>
  </r>
  <r>
    <n v="4352"/>
    <x v="3680"/>
    <x v="691"/>
    <n v="220"/>
    <n v="172"/>
    <s v="100 gm"/>
    <x v="59"/>
  </r>
  <r>
    <n v="4353"/>
    <x v="3681"/>
    <x v="688"/>
    <n v="114"/>
    <n v="106"/>
    <s v="200 gm"/>
    <x v="59"/>
  </r>
  <r>
    <n v="4354"/>
    <x v="3681"/>
    <x v="688"/>
    <n v="208"/>
    <n v="143"/>
    <s v="400 gm"/>
    <x v="59"/>
  </r>
  <r>
    <n v="4355"/>
    <x v="3682"/>
    <x v="691"/>
    <n v="170"/>
    <n v="134"/>
    <s v="80 gm"/>
    <x v="59"/>
  </r>
  <r>
    <n v="4356"/>
    <x v="3683"/>
    <x v="688"/>
    <n v="200"/>
    <n v="145"/>
    <s v="300 gm"/>
    <x v="59"/>
  </r>
  <r>
    <n v="4357"/>
    <x v="3683"/>
    <x v="688"/>
    <n v="110"/>
    <n v="102"/>
    <s v="150 gm"/>
    <x v="59"/>
  </r>
  <r>
    <n v="4358"/>
    <x v="3684"/>
    <x v="359"/>
    <n v="270"/>
    <n v="190"/>
    <s v="450 gm"/>
    <x v="59"/>
  </r>
  <r>
    <n v="4359"/>
    <x v="3685"/>
    <x v="688"/>
    <n v="280"/>
    <n v="140"/>
    <s v="2x100 gm"/>
    <x v="59"/>
  </r>
  <r>
    <n v="4360"/>
    <x v="3686"/>
    <x v="691"/>
    <n v="120"/>
    <n v="110"/>
    <s v="75 gm"/>
    <x v="59"/>
  </r>
  <r>
    <n v="4361"/>
    <x v="3686"/>
    <x v="691"/>
    <n v="210"/>
    <n v="195"/>
    <s v="130 gm"/>
    <x v="59"/>
  </r>
  <r>
    <n v="4362"/>
    <x v="3687"/>
    <x v="688"/>
    <n v="276"/>
    <n v="138"/>
    <s v="240 gm"/>
    <x v="59"/>
  </r>
  <r>
    <n v="4363"/>
    <x v="3687"/>
    <x v="688"/>
    <n v="143"/>
    <n v="128"/>
    <s v="120 gm"/>
    <x v="59"/>
  </r>
  <r>
    <n v="4364"/>
    <x v="3688"/>
    <x v="691"/>
    <n v="120"/>
    <n v="110"/>
    <s v="70 gm"/>
    <x v="59"/>
  </r>
  <r>
    <n v="4365"/>
    <x v="3688"/>
    <x v="691"/>
    <n v="210"/>
    <n v="195"/>
    <s v="130 gm"/>
    <x v="59"/>
  </r>
  <r>
    <n v="4366"/>
    <x v="3689"/>
    <x v="688"/>
    <n v="164"/>
    <n v="144"/>
    <s v="300 gm"/>
    <x v="59"/>
  </r>
  <r>
    <n v="4367"/>
    <x v="3690"/>
    <x v="646"/>
    <n v="95"/>
    <n v="80"/>
    <s v="150 gm"/>
    <x v="59"/>
  </r>
  <r>
    <n v="4368"/>
    <x v="3691"/>
    <x v="688"/>
    <n v="125"/>
    <n v="112"/>
    <s v="80 gm"/>
    <x v="59"/>
  </r>
  <r>
    <n v="4369"/>
    <x v="3692"/>
    <x v="691"/>
    <n v="135"/>
    <n v="125"/>
    <s v="70 gm"/>
    <x v="59"/>
  </r>
  <r>
    <n v="4370"/>
    <x v="3693"/>
    <x v="631"/>
    <n v="120"/>
    <n v="105"/>
    <s v="200 gm"/>
    <x v="59"/>
  </r>
  <r>
    <n v="4371"/>
    <x v="3694"/>
    <x v="688"/>
    <n v="125"/>
    <n v="112"/>
    <s v="80 gm"/>
    <x v="59"/>
  </r>
  <r>
    <n v="4372"/>
    <x v="3695"/>
    <x v="690"/>
    <n v="97"/>
    <n v="76"/>
    <s v="150 gm"/>
    <x v="59"/>
  </r>
  <r>
    <n v="4373"/>
    <x v="3696"/>
    <x v="688"/>
    <n v="121"/>
    <n v="111"/>
    <s v="2x175 gm"/>
    <x v="59"/>
  </r>
  <r>
    <n v="4374"/>
    <x v="3697"/>
    <x v="692"/>
    <n v="280"/>
    <n v="140"/>
    <s v="400 gm"/>
    <x v="59"/>
  </r>
  <r>
    <n v="4375"/>
    <x v="3698"/>
    <x v="688"/>
    <n v="130"/>
    <n v="98"/>
    <s v="25 gm"/>
    <x v="59"/>
  </r>
  <r>
    <n v="4376"/>
    <x v="3699"/>
    <x v="688"/>
    <n v="130"/>
    <n v="98"/>
    <s v="25 gm"/>
    <x v="59"/>
  </r>
  <r>
    <n v="4377"/>
    <x v="3700"/>
    <x v="693"/>
    <n v="165"/>
    <n v="150"/>
    <s v="250 ml"/>
    <x v="59"/>
  </r>
  <r>
    <n v="4378"/>
    <x v="3700"/>
    <x v="693"/>
    <n v="315"/>
    <n v="265"/>
    <s v="500 ml"/>
    <x v="59"/>
  </r>
  <r>
    <n v="4379"/>
    <x v="3701"/>
    <x v="688"/>
    <n v="150"/>
    <n v="125"/>
    <s v="250 ml"/>
    <x v="59"/>
  </r>
  <r>
    <n v="4380"/>
    <x v="3702"/>
    <x v="693"/>
    <n v="315"/>
    <n v="275"/>
    <s v="500 ml"/>
    <x v="59"/>
  </r>
  <r>
    <n v="4381"/>
    <x v="3703"/>
    <x v="688"/>
    <n v="150"/>
    <n v="139"/>
    <s v="250 ml"/>
    <x v="59"/>
  </r>
  <r>
    <n v="4382"/>
    <x v="3704"/>
    <x v="688"/>
    <n v="55"/>
    <n v="48"/>
    <s v="100 ml"/>
    <x v="59"/>
  </r>
  <r>
    <n v="4383"/>
    <x v="3705"/>
    <x v="694"/>
    <n v="90"/>
    <n v="70"/>
    <s v="10 gm"/>
    <x v="59"/>
  </r>
  <r>
    <n v="4384"/>
    <x v="3706"/>
    <x v="688"/>
    <n v="135"/>
    <n v="85"/>
    <s v="4 U"/>
    <x v="59"/>
  </r>
  <r>
    <n v="4385"/>
    <x v="3707"/>
    <x v="695"/>
    <n v="120"/>
    <n v="89"/>
    <s v="6 U"/>
    <x v="59"/>
  </r>
  <r>
    <n v="4386"/>
    <x v="3708"/>
    <x v="695"/>
    <n v="190"/>
    <n v="170"/>
    <s v="2 U"/>
    <x v="59"/>
  </r>
  <r>
    <n v="4387"/>
    <x v="3709"/>
    <x v="688"/>
    <n v="120"/>
    <n v="85"/>
    <s v="6 U"/>
    <x v="59"/>
  </r>
  <r>
    <n v="4388"/>
    <x v="3710"/>
    <x v="688"/>
    <n v="240"/>
    <n v="180"/>
    <s v="2 U"/>
    <x v="59"/>
  </r>
  <r>
    <n v="4389"/>
    <x v="3711"/>
    <x v="688"/>
    <n v="150"/>
    <n v="99"/>
    <s v="2 U"/>
    <x v="59"/>
  </r>
  <r>
    <n v="4390"/>
    <x v="3712"/>
    <x v="691"/>
    <n v="145"/>
    <n v="105"/>
    <s v="4 pcs"/>
    <x v="59"/>
  </r>
  <r>
    <n v="4391"/>
    <x v="3713"/>
    <x v="688"/>
    <n v="120"/>
    <n v="85"/>
    <s v="6 U"/>
    <x v="59"/>
  </r>
  <r>
    <n v="4392"/>
    <x v="3714"/>
    <x v="688"/>
    <n v="99"/>
    <n v="74"/>
    <s v="3 U"/>
    <x v="59"/>
  </r>
  <r>
    <n v="4393"/>
    <x v="3715"/>
    <x v="688"/>
    <n v="99"/>
    <n v="74"/>
    <s v="4 U"/>
    <x v="59"/>
  </r>
  <r>
    <n v="4394"/>
    <x v="3716"/>
    <x v="696"/>
    <n v="64"/>
    <n v="45"/>
    <s v="2 U"/>
    <x v="59"/>
  </r>
  <r>
    <n v="4395"/>
    <x v="3717"/>
    <x v="688"/>
    <n v="150"/>
    <n v="105"/>
    <s v="2 U"/>
    <x v="59"/>
  </r>
  <r>
    <n v="4396"/>
    <x v="3718"/>
    <x v="691"/>
    <n v="200"/>
    <n v="175"/>
    <s v="2 U"/>
    <x v="59"/>
  </r>
  <r>
    <n v="4397"/>
    <x v="3719"/>
    <x v="697"/>
    <n v="39"/>
    <n v="25"/>
    <s v="1 U"/>
    <x v="59"/>
  </r>
  <r>
    <n v="4398"/>
    <x v="3720"/>
    <x v="688"/>
    <n v="79"/>
    <n v="59"/>
    <s v="1 U"/>
    <x v="59"/>
  </r>
  <r>
    <n v="4399"/>
    <x v="3721"/>
    <x v="688"/>
    <n v="79"/>
    <n v="59"/>
    <s v="1 U"/>
    <x v="59"/>
  </r>
  <r>
    <n v="4400"/>
    <x v="3722"/>
    <x v="688"/>
    <n v="99"/>
    <n v="74"/>
    <s v="4 U"/>
    <x v="59"/>
  </r>
  <r>
    <n v="4401"/>
    <x v="3723"/>
    <x v="696"/>
    <n v="64"/>
    <n v="45"/>
    <s v="2 U"/>
    <x v="59"/>
  </r>
  <r>
    <n v="4402"/>
    <x v="3724"/>
    <x v="697"/>
    <n v="89"/>
    <n v="59"/>
    <s v="2 U"/>
    <x v="59"/>
  </r>
  <r>
    <n v="4403"/>
    <x v="3725"/>
    <x v="691"/>
    <n v="110"/>
    <n v="75"/>
    <s v="2 U"/>
    <x v="59"/>
  </r>
  <r>
    <n v="4404"/>
    <x v="3726"/>
    <x v="696"/>
    <n v="18"/>
    <n v="10"/>
    <s v="1 U"/>
    <x v="59"/>
  </r>
  <r>
    <n v="4405"/>
    <x v="3727"/>
    <x v="691"/>
    <n v="100"/>
    <n v="79"/>
    <s v="1 U"/>
    <x v="59"/>
  </r>
  <r>
    <n v="4406"/>
    <x v="3728"/>
    <x v="696"/>
    <n v="99"/>
    <n v="59"/>
    <s v="4 U"/>
    <x v="59"/>
  </r>
  <r>
    <n v="4407"/>
    <x v="3729"/>
    <x v="698"/>
    <n v="675"/>
    <n v="535"/>
    <s v="60 U"/>
    <x v="20"/>
  </r>
  <r>
    <n v="4408"/>
    <x v="3729"/>
    <x v="698"/>
    <n v="549"/>
    <n v="367"/>
    <s v="44 U"/>
    <x v="20"/>
  </r>
  <r>
    <n v="4409"/>
    <x v="3729"/>
    <x v="698"/>
    <n v="185"/>
    <n v="171"/>
    <s v="15 U"/>
    <x v="20"/>
  </r>
  <r>
    <n v="4410"/>
    <x v="3730"/>
    <x v="699"/>
    <n v="500"/>
    <n v="335"/>
    <s v="42 U"/>
    <x v="20"/>
  </r>
  <r>
    <n v="4411"/>
    <x v="3731"/>
    <x v="699"/>
    <n v="123"/>
    <n v="113"/>
    <s v="20 U"/>
    <x v="20"/>
  </r>
  <r>
    <n v="4412"/>
    <x v="3731"/>
    <x v="699"/>
    <n v="245"/>
    <n v="185"/>
    <s v="40 U"/>
    <x v="20"/>
  </r>
  <r>
    <n v="4413"/>
    <x v="3732"/>
    <x v="700"/>
    <n v="399"/>
    <n v="298"/>
    <s v="48 U"/>
    <x v="20"/>
  </r>
  <r>
    <n v="4414"/>
    <x v="3733"/>
    <x v="698"/>
    <n v="499"/>
    <n v="364"/>
    <s v="44 U"/>
    <x v="20"/>
  </r>
  <r>
    <n v="4415"/>
    <x v="3734"/>
    <x v="698"/>
    <n v="275"/>
    <n v="245"/>
    <s v="16 U"/>
    <x v="20"/>
  </r>
  <r>
    <n v="4416"/>
    <x v="3734"/>
    <x v="698"/>
    <n v="499"/>
    <n v="372"/>
    <s v="40 U"/>
    <x v="20"/>
  </r>
  <r>
    <n v="4417"/>
    <x v="3734"/>
    <x v="698"/>
    <n v="190"/>
    <n v="176"/>
    <s v="15 U"/>
    <x v="20"/>
  </r>
  <r>
    <n v="4418"/>
    <x v="3734"/>
    <x v="698"/>
    <n v="350"/>
    <n v="320"/>
    <s v="27 U"/>
    <x v="20"/>
  </r>
  <r>
    <n v="4419"/>
    <x v="3734"/>
    <x v="698"/>
    <n v="275"/>
    <n v="230"/>
    <s v="10 U"/>
    <x v="20"/>
  </r>
  <r>
    <n v="4420"/>
    <x v="3735"/>
    <x v="698"/>
    <n v="45"/>
    <n v="41"/>
    <s v="6 U"/>
    <x v="20"/>
  </r>
  <r>
    <n v="4421"/>
    <x v="3735"/>
    <x v="698"/>
    <n v="144"/>
    <n v="121"/>
    <s v="20 U"/>
    <x v="20"/>
  </r>
  <r>
    <n v="4422"/>
    <x v="3736"/>
    <x v="699"/>
    <n v="90"/>
    <n v="82"/>
    <s v="20 U"/>
    <x v="20"/>
  </r>
  <r>
    <n v="4423"/>
    <x v="3737"/>
    <x v="701"/>
    <n v="180"/>
    <n v="165"/>
    <s v="100 ml"/>
    <x v="60"/>
  </r>
  <r>
    <n v="4424"/>
    <x v="3738"/>
    <x v="699"/>
    <n v="145"/>
    <n v="120"/>
    <s v="20 U"/>
    <x v="20"/>
  </r>
  <r>
    <n v="4425"/>
    <x v="3739"/>
    <x v="698"/>
    <n v="90"/>
    <n v="83"/>
    <s v="20 U"/>
    <x v="20"/>
  </r>
  <r>
    <n v="4426"/>
    <x v="3740"/>
    <x v="698"/>
    <n v="290"/>
    <n v="265"/>
    <s v="30 U"/>
    <x v="20"/>
  </r>
  <r>
    <n v="4427"/>
    <x v="3740"/>
    <x v="698"/>
    <n v="159"/>
    <n v="146"/>
    <s v="15 U"/>
    <x v="20"/>
  </r>
  <r>
    <n v="4428"/>
    <x v="3735"/>
    <x v="698"/>
    <n v="290"/>
    <n v="230"/>
    <s v="40 U"/>
    <x v="20"/>
  </r>
  <r>
    <n v="4429"/>
    <x v="3741"/>
    <x v="699"/>
    <n v="260"/>
    <n v="241"/>
    <s v="40 U"/>
    <x v="20"/>
  </r>
  <r>
    <n v="4430"/>
    <x v="3742"/>
    <x v="702"/>
    <n v="99"/>
    <n v="89"/>
    <s v="20 U"/>
    <x v="20"/>
  </r>
  <r>
    <n v="4431"/>
    <x v="3743"/>
    <x v="698"/>
    <n v="95"/>
    <n v="88"/>
    <s v="18 U"/>
    <x v="20"/>
  </r>
  <r>
    <n v="4432"/>
    <x v="3744"/>
    <x v="630"/>
    <n v="225"/>
    <n v="112"/>
    <s v="150 ml"/>
    <x v="61"/>
  </r>
  <r>
    <n v="4433"/>
    <x v="3745"/>
    <x v="703"/>
    <n v="375"/>
    <n v="275"/>
    <s v="220 ml"/>
    <x v="61"/>
  </r>
  <r>
    <n v="4434"/>
    <x v="3746"/>
    <x v="704"/>
    <n v="210"/>
    <n v="145"/>
    <s v="150 ml"/>
    <x v="61"/>
  </r>
  <r>
    <n v="4435"/>
    <x v="3746"/>
    <x v="704"/>
    <n v="360"/>
    <n v="180"/>
    <s v="220 ml"/>
    <x v="61"/>
  </r>
  <r>
    <n v="4436"/>
    <x v="3747"/>
    <x v="705"/>
    <n v="275"/>
    <n v="175"/>
    <s v="150 ml"/>
    <x v="61"/>
  </r>
  <r>
    <n v="4437"/>
    <x v="3748"/>
    <x v="706"/>
    <n v="325"/>
    <n v="162"/>
    <s v="200 ml"/>
    <x v="61"/>
  </r>
  <r>
    <n v="4438"/>
    <x v="3749"/>
    <x v="705"/>
    <n v="275"/>
    <n v="175"/>
    <s v="150 ml"/>
    <x v="61"/>
  </r>
  <r>
    <n v="4439"/>
    <x v="3750"/>
    <x v="705"/>
    <n v="275"/>
    <n v="137"/>
    <s v="120 ml"/>
    <x v="61"/>
  </r>
  <r>
    <n v="4440"/>
    <x v="3751"/>
    <x v="630"/>
    <n v="199"/>
    <n v="144"/>
    <s v="50 ml"/>
    <x v="61"/>
  </r>
  <r>
    <n v="4441"/>
    <x v="3752"/>
    <x v="705"/>
    <n v="275"/>
    <n v="137"/>
    <s v="120 ml"/>
    <x v="20"/>
  </r>
  <r>
    <n v="4442"/>
    <x v="3753"/>
    <x v="705"/>
    <n v="650"/>
    <n v="325"/>
    <s v="100 ml"/>
    <x v="61"/>
  </r>
  <r>
    <n v="4443"/>
    <x v="3754"/>
    <x v="705"/>
    <n v="650"/>
    <n v="325"/>
    <s v="100 ml"/>
    <x v="61"/>
  </r>
  <r>
    <n v="4444"/>
    <x v="3755"/>
    <x v="706"/>
    <n v="325"/>
    <n v="162"/>
    <s v="200 ml"/>
    <x v="61"/>
  </r>
  <r>
    <n v="4445"/>
    <x v="3756"/>
    <x v="705"/>
    <n v="275"/>
    <n v="169"/>
    <s v="150 ml"/>
    <x v="61"/>
  </r>
  <r>
    <n v="4446"/>
    <x v="3757"/>
    <x v="703"/>
    <n v="375"/>
    <n v="295"/>
    <s v="220 ml"/>
    <x v="61"/>
  </r>
  <r>
    <n v="4447"/>
    <x v="3758"/>
    <x v="630"/>
    <n v="199"/>
    <n v="149"/>
    <s v="50 ml"/>
    <x v="61"/>
  </r>
  <r>
    <n v="4448"/>
    <x v="3759"/>
    <x v="707"/>
    <n v="315"/>
    <n v="157"/>
    <s v="225 ml"/>
    <x v="61"/>
  </r>
  <r>
    <n v="4449"/>
    <x v="3760"/>
    <x v="705"/>
    <n v="650"/>
    <n v="325"/>
    <s v="100 ml"/>
    <x v="61"/>
  </r>
  <r>
    <n v="4450"/>
    <x v="3761"/>
    <x v="706"/>
    <n v="325"/>
    <n v="162"/>
    <s v="200 ml"/>
    <x v="61"/>
  </r>
  <r>
    <n v="4451"/>
    <x v="3762"/>
    <x v="707"/>
    <n v="599"/>
    <n v="299"/>
    <s v="100 ml"/>
    <x v="61"/>
  </r>
  <r>
    <n v="4452"/>
    <x v="3763"/>
    <x v="707"/>
    <n v="599"/>
    <n v="299"/>
    <s v="100 ml"/>
    <x v="61"/>
  </r>
  <r>
    <n v="4453"/>
    <x v="3764"/>
    <x v="703"/>
    <n v="330"/>
    <n v="165"/>
    <s v="120 ml"/>
    <x v="61"/>
  </r>
  <r>
    <n v="4454"/>
    <x v="3765"/>
    <x v="708"/>
    <n v="280"/>
    <n v="190"/>
    <s v="154 ml"/>
    <x v="61"/>
  </r>
  <r>
    <n v="4455"/>
    <x v="3766"/>
    <x v="709"/>
    <n v="269"/>
    <n v="99"/>
    <s v="150 ml"/>
    <x v="61"/>
  </r>
  <r>
    <n v="4456"/>
    <x v="3767"/>
    <x v="652"/>
    <n v="649"/>
    <n v="359"/>
    <s v="100 ml"/>
    <x v="61"/>
  </r>
  <r>
    <n v="4457"/>
    <x v="3768"/>
    <x v="630"/>
    <n v="199"/>
    <n v="144"/>
    <s v="50 ml"/>
    <x v="61"/>
  </r>
  <r>
    <n v="4458"/>
    <x v="3769"/>
    <x v="707"/>
    <n v="210"/>
    <n v="145"/>
    <s v="150 ml"/>
    <x v="61"/>
  </r>
  <r>
    <n v="4459"/>
    <x v="3770"/>
    <x v="706"/>
    <n v="325"/>
    <n v="162"/>
    <s v="200 ml"/>
    <x v="61"/>
  </r>
  <r>
    <n v="4460"/>
    <x v="3771"/>
    <x v="708"/>
    <n v="280"/>
    <n v="195"/>
    <s v="154 ml"/>
    <x v="61"/>
  </r>
  <r>
    <n v="4461"/>
    <x v="3772"/>
    <x v="709"/>
    <n v="269"/>
    <n v="99"/>
    <s v="150 ml"/>
    <x v="61"/>
  </r>
  <r>
    <n v="4462"/>
    <x v="3773"/>
    <x v="704"/>
    <n v="360"/>
    <n v="180"/>
    <s v="220 ml"/>
    <x v="61"/>
  </r>
  <r>
    <n v="4463"/>
    <x v="3774"/>
    <x v="707"/>
    <n v="599"/>
    <n v="299"/>
    <s v="100 ml"/>
    <x v="61"/>
  </r>
  <r>
    <n v="4464"/>
    <x v="3775"/>
    <x v="708"/>
    <n v="280"/>
    <n v="150"/>
    <s v="154 ml"/>
    <x v="61"/>
  </r>
  <r>
    <n v="4465"/>
    <x v="3776"/>
    <x v="652"/>
    <n v="649"/>
    <n v="349"/>
    <s v="100 ml"/>
    <x v="61"/>
  </r>
  <r>
    <n v="4466"/>
    <x v="3777"/>
    <x v="704"/>
    <n v="220"/>
    <n v="145"/>
    <s v="150 ml"/>
    <x v="61"/>
  </r>
  <r>
    <n v="4467"/>
    <x v="3778"/>
    <x v="704"/>
    <n v="210"/>
    <n v="105"/>
    <s v="150 ml"/>
    <x v="61"/>
  </r>
  <r>
    <n v="4468"/>
    <x v="3779"/>
    <x v="707"/>
    <n v="210"/>
    <n v="155"/>
    <s v="150 ml"/>
    <x v="61"/>
  </r>
  <r>
    <n v="4469"/>
    <x v="3780"/>
    <x v="651"/>
    <n v="349"/>
    <n v="279"/>
    <s v="120 ml"/>
    <x v="61"/>
  </r>
  <r>
    <n v="4470"/>
    <x v="3781"/>
    <x v="703"/>
    <n v="349"/>
    <n v="174"/>
    <s v="50 ml"/>
    <x v="61"/>
  </r>
  <r>
    <n v="4471"/>
    <x v="3782"/>
    <x v="703"/>
    <n v="399"/>
    <n v="199"/>
    <s v="50 ml"/>
    <x v="61"/>
  </r>
  <r>
    <n v="4472"/>
    <x v="3783"/>
    <x v="705"/>
    <n v="275"/>
    <n v="137"/>
    <s v="120 ml"/>
    <x v="61"/>
  </r>
  <r>
    <n v="4473"/>
    <x v="3784"/>
    <x v="630"/>
    <n v="199"/>
    <n v="124"/>
    <s v="50 ml"/>
    <x v="61"/>
  </r>
  <r>
    <n v="4474"/>
    <x v="3785"/>
    <x v="630"/>
    <n v="225"/>
    <n v="132"/>
    <s v="150 ml"/>
    <x v="61"/>
  </r>
  <r>
    <n v="4475"/>
    <x v="3786"/>
    <x v="652"/>
    <n v="225"/>
    <n v="159"/>
    <s v="150 ml"/>
    <x v="61"/>
  </r>
  <r>
    <n v="4476"/>
    <x v="3787"/>
    <x v="705"/>
    <n v="275"/>
    <n v="155"/>
    <s v="150 ml"/>
    <x v="61"/>
  </r>
  <r>
    <n v="4477"/>
    <x v="3788"/>
    <x v="630"/>
    <n v="199"/>
    <n v="149"/>
    <s v="50 ml"/>
    <x v="61"/>
  </r>
  <r>
    <n v="4478"/>
    <x v="3789"/>
    <x v="630"/>
    <n v="225"/>
    <n v="145"/>
    <s v="150 ml"/>
    <x v="61"/>
  </r>
  <r>
    <n v="4479"/>
    <x v="3790"/>
    <x v="710"/>
    <n v="220"/>
    <n v="160"/>
    <s v="150 ml"/>
    <x v="61"/>
  </r>
  <r>
    <n v="4480"/>
    <x v="3791"/>
    <x v="711"/>
    <n v="250"/>
    <n v="145"/>
    <s v="150 ml"/>
    <x v="61"/>
  </r>
  <r>
    <n v="4481"/>
    <x v="3792"/>
    <x v="630"/>
    <n v="275"/>
    <n v="175"/>
    <s v="150 ml"/>
    <x v="61"/>
  </r>
  <r>
    <n v="4482"/>
    <x v="3793"/>
    <x v="710"/>
    <n v="220"/>
    <n v="160"/>
    <s v="150 ml"/>
    <x v="61"/>
  </r>
  <r>
    <n v="4483"/>
    <x v="3794"/>
    <x v="630"/>
    <n v="225"/>
    <n v="149"/>
    <s v="150 ml"/>
    <x v="61"/>
  </r>
  <r>
    <n v="4484"/>
    <x v="3795"/>
    <x v="630"/>
    <n v="225"/>
    <n v="160"/>
    <s v="150 ml"/>
    <x v="61"/>
  </r>
  <r>
    <n v="4485"/>
    <x v="3796"/>
    <x v="657"/>
    <n v="525"/>
    <n v="367"/>
    <s v="150 ml"/>
    <x v="61"/>
  </r>
  <r>
    <n v="4486"/>
    <x v="3797"/>
    <x v="657"/>
    <n v="345"/>
    <n v="241"/>
    <s v="50 gm"/>
    <x v="61"/>
  </r>
  <r>
    <n v="4487"/>
    <x v="3798"/>
    <x v="712"/>
    <n v="260"/>
    <n v="240"/>
    <s v="2 U"/>
    <x v="62"/>
  </r>
  <r>
    <n v="4488"/>
    <x v="3798"/>
    <x v="712"/>
    <n v="499"/>
    <n v="459"/>
    <s v="4 U"/>
    <x v="62"/>
  </r>
  <r>
    <n v="4489"/>
    <x v="3798"/>
    <x v="712"/>
    <n v="899"/>
    <n v="835"/>
    <s v="8 U"/>
    <x v="62"/>
  </r>
  <r>
    <n v="4490"/>
    <x v="3798"/>
    <x v="712"/>
    <n v="1299"/>
    <n v="1184"/>
    <s v="12 U"/>
    <x v="62"/>
  </r>
  <r>
    <n v="4491"/>
    <x v="3799"/>
    <x v="712"/>
    <n v="150"/>
    <n v="115"/>
    <s v="10 U"/>
    <x v="62"/>
  </r>
  <r>
    <n v="4492"/>
    <x v="3799"/>
    <x v="712"/>
    <n v="88"/>
    <n v="75"/>
    <s v="5 U"/>
    <x v="62"/>
  </r>
  <r>
    <n v="4493"/>
    <x v="3800"/>
    <x v="712"/>
    <n v="1149"/>
    <n v="1039"/>
    <s v="4 U"/>
    <x v="62"/>
  </r>
  <r>
    <n v="4494"/>
    <x v="3801"/>
    <x v="712"/>
    <n v="180"/>
    <n v="165"/>
    <s v="6 U"/>
    <x v="62"/>
  </r>
  <r>
    <n v="4495"/>
    <x v="3802"/>
    <x v="712"/>
    <n v="550"/>
    <n v="510"/>
    <s v="2 U"/>
    <x v="62"/>
  </r>
  <r>
    <n v="4496"/>
    <x v="3802"/>
    <x v="712"/>
    <n v="1000"/>
    <n v="925"/>
    <s v="4 U"/>
    <x v="62"/>
  </r>
  <r>
    <n v="4497"/>
    <x v="3802"/>
    <x v="712"/>
    <n v="1649"/>
    <n v="1499"/>
    <s v="8 U"/>
    <x v="62"/>
  </r>
  <r>
    <n v="4498"/>
    <x v="3803"/>
    <x v="712"/>
    <n v="120"/>
    <n v="102"/>
    <s v="1 Unit"/>
    <x v="62"/>
  </r>
  <r>
    <n v="4499"/>
    <x v="3803"/>
    <x v="712"/>
    <n v="72"/>
    <n v="60"/>
    <s v="1 U"/>
    <x v="62"/>
  </r>
  <r>
    <n v="4500"/>
    <x v="3804"/>
    <x v="712"/>
    <n v="449"/>
    <n v="409"/>
    <s v="4 U"/>
    <x v="62"/>
  </r>
  <r>
    <n v="4501"/>
    <x v="3805"/>
    <x v="712"/>
    <n v="349"/>
    <n v="323"/>
    <s v="2 U"/>
    <x v="62"/>
  </r>
  <r>
    <n v="4502"/>
    <x v="3805"/>
    <x v="712"/>
    <n v="649"/>
    <n v="599"/>
    <s v="4 U"/>
    <x v="62"/>
  </r>
  <r>
    <n v="4503"/>
    <x v="3805"/>
    <x v="712"/>
    <n v="1099"/>
    <n v="999"/>
    <s v="8 U"/>
    <x v="62"/>
  </r>
  <r>
    <n v="4504"/>
    <x v="3806"/>
    <x v="712"/>
    <n v="250"/>
    <n v="225"/>
    <s v="1 U"/>
    <x v="62"/>
  </r>
  <r>
    <n v="4505"/>
    <x v="3807"/>
    <x v="713"/>
    <n v="149"/>
    <n v="99"/>
    <s v="16 U"/>
    <x v="62"/>
  </r>
  <r>
    <n v="4506"/>
    <x v="3808"/>
    <x v="712"/>
    <n v="150"/>
    <n v="130"/>
    <s v="5 Razors"/>
    <x v="62"/>
  </r>
  <r>
    <n v="4507"/>
    <x v="3809"/>
    <x v="712"/>
    <n v="370"/>
    <n v="344"/>
    <s v="2 U"/>
    <x v="62"/>
  </r>
  <r>
    <n v="4508"/>
    <x v="3810"/>
    <x v="713"/>
    <n v="149"/>
    <n v="99"/>
    <s v="1 U"/>
    <x v="62"/>
  </r>
  <r>
    <n v="4509"/>
    <x v="3811"/>
    <x v="713"/>
    <n v="100"/>
    <n v="50"/>
    <s v="5 U"/>
    <x v="62"/>
  </r>
  <r>
    <n v="4510"/>
    <x v="3812"/>
    <x v="714"/>
    <n v="110"/>
    <n v="55"/>
    <s v="5 U"/>
    <x v="62"/>
  </r>
  <r>
    <n v="4511"/>
    <x v="3813"/>
    <x v="712"/>
    <n v="399"/>
    <n v="359"/>
    <s v="1 U"/>
    <x v="62"/>
  </r>
  <r>
    <n v="4512"/>
    <x v="3814"/>
    <x v="713"/>
    <n v="160"/>
    <n v="80"/>
    <s v="5 U"/>
    <x v="62"/>
  </r>
  <r>
    <n v="4513"/>
    <x v="3815"/>
    <x v="712"/>
    <n v="349"/>
    <n v="320"/>
    <s v="1 U"/>
    <x v="62"/>
  </r>
  <r>
    <n v="4514"/>
    <x v="3816"/>
    <x v="712"/>
    <n v="499"/>
    <n v="459"/>
    <s v="1 U"/>
    <x v="62"/>
  </r>
  <r>
    <n v="4515"/>
    <x v="3817"/>
    <x v="712"/>
    <n v="105"/>
    <n v="95"/>
    <s v="1 U"/>
    <x v="62"/>
  </r>
  <r>
    <n v="4516"/>
    <x v="3818"/>
    <x v="712"/>
    <n v="130"/>
    <n v="118"/>
    <s v="1 U"/>
    <x v="62"/>
  </r>
  <r>
    <n v="4517"/>
    <x v="3819"/>
    <x v="712"/>
    <n v="1840"/>
    <n v="989"/>
    <s v="1 U"/>
    <x v="62"/>
  </r>
  <r>
    <n v="4518"/>
    <x v="3820"/>
    <x v="712"/>
    <n v="225"/>
    <n v="205"/>
    <s v="418 gm"/>
    <x v="62"/>
  </r>
  <r>
    <n v="4519"/>
    <x v="3821"/>
    <x v="712"/>
    <n v="90"/>
    <n v="83"/>
    <s v="50 gm"/>
    <x v="62"/>
  </r>
  <r>
    <n v="4520"/>
    <x v="3821"/>
    <x v="712"/>
    <n v="199"/>
    <n v="184"/>
    <s v="196 gm"/>
    <x v="62"/>
  </r>
  <r>
    <n v="4521"/>
    <x v="3821"/>
    <x v="712"/>
    <n v="225"/>
    <n v="209"/>
    <s v="418 gm"/>
    <x v="62"/>
  </r>
  <r>
    <n v="4522"/>
    <x v="3822"/>
    <x v="712"/>
    <n v="90"/>
    <n v="83"/>
    <s v="60 gm"/>
    <x v="62"/>
  </r>
  <r>
    <n v="4523"/>
    <x v="3823"/>
    <x v="712"/>
    <n v="199"/>
    <n v="184"/>
    <s v="196 gm"/>
    <x v="62"/>
  </r>
  <r>
    <n v="4524"/>
    <x v="3824"/>
    <x v="713"/>
    <n v="250"/>
    <n v="125"/>
    <s v="400 ml"/>
    <x v="62"/>
  </r>
  <r>
    <n v="4525"/>
    <x v="3825"/>
    <x v="714"/>
    <n v="220"/>
    <n v="110"/>
    <s v="400 gm"/>
    <x v="62"/>
  </r>
  <r>
    <n v="4526"/>
    <x v="3826"/>
    <x v="713"/>
    <n v="250"/>
    <n v="125"/>
    <s v="400 ml"/>
    <x v="62"/>
  </r>
  <r>
    <n v="4527"/>
    <x v="3827"/>
    <x v="712"/>
    <n v="280"/>
    <n v="240"/>
    <s v="5 U"/>
    <x v="62"/>
  </r>
  <r>
    <n v="4528"/>
    <x v="3827"/>
    <x v="712"/>
    <n v="70"/>
    <n v="65"/>
    <s v="1 U"/>
    <x v="62"/>
  </r>
  <r>
    <n v="4529"/>
    <x v="3828"/>
    <x v="712"/>
    <n v="349"/>
    <n v="319"/>
    <s v="1 U"/>
    <x v="62"/>
  </r>
  <r>
    <n v="4530"/>
    <x v="3829"/>
    <x v="712"/>
    <n v="299"/>
    <n v="275"/>
    <s v="1 U"/>
    <x v="62"/>
  </r>
  <r>
    <n v="4531"/>
    <x v="3830"/>
    <x v="714"/>
    <n v="120"/>
    <n v="60"/>
    <s v="4 U"/>
    <x v="62"/>
  </r>
  <r>
    <n v="4532"/>
    <x v="3831"/>
    <x v="712"/>
    <n v="75"/>
    <n v="69"/>
    <s v="70 gm"/>
    <x v="62"/>
  </r>
  <r>
    <n v="4533"/>
    <x v="3832"/>
    <x v="712"/>
    <n v="90"/>
    <n v="83"/>
    <s v="60 gm"/>
    <x v="62"/>
  </r>
  <r>
    <n v="4534"/>
    <x v="3833"/>
    <x v="712"/>
    <n v="75"/>
    <n v="69"/>
    <s v="70 gm"/>
    <x v="62"/>
  </r>
  <r>
    <n v="4535"/>
    <x v="3834"/>
    <x v="712"/>
    <n v="70"/>
    <n v="65"/>
    <s v="1 U"/>
    <x v="62"/>
  </r>
  <r>
    <n v="4536"/>
    <x v="3835"/>
    <x v="371"/>
    <n v="135"/>
    <n v="105"/>
    <s v="100 ml"/>
    <x v="62"/>
  </r>
  <r>
    <n v="4537"/>
    <x v="3836"/>
    <x v="712"/>
    <n v="299"/>
    <n v="278"/>
    <s v="50 ml"/>
    <x v="62"/>
  </r>
  <r>
    <n v="4538"/>
    <x v="3836"/>
    <x v="712"/>
    <n v="499"/>
    <n v="464"/>
    <s v="100 ml"/>
    <x v="62"/>
  </r>
  <r>
    <n v="4539"/>
    <x v="3837"/>
    <x v="712"/>
    <n v="499"/>
    <n v="464"/>
    <s v="100 ml"/>
    <x v="62"/>
  </r>
  <r>
    <n v="4540"/>
    <x v="3837"/>
    <x v="712"/>
    <n v="299"/>
    <n v="275"/>
    <s v="50 ml"/>
    <x v="62"/>
  </r>
  <r>
    <n v="4541"/>
    <x v="3838"/>
    <x v="646"/>
    <n v="300"/>
    <n v="200"/>
    <s v="400 ml"/>
    <x v="63"/>
  </r>
  <r>
    <n v="4542"/>
    <x v="3839"/>
    <x v="678"/>
    <n v="375"/>
    <n v="325"/>
    <s v="500 ml"/>
    <x v="63"/>
  </r>
  <r>
    <n v="4543"/>
    <x v="3840"/>
    <x v="646"/>
    <n v="270"/>
    <n v="190"/>
    <s v="200 ml"/>
    <x v="63"/>
  </r>
  <r>
    <n v="4544"/>
    <x v="3841"/>
    <x v="639"/>
    <n v="399"/>
    <n v="319"/>
    <s v="400 ml"/>
    <x v="63"/>
  </r>
  <r>
    <n v="4545"/>
    <x v="3842"/>
    <x v="646"/>
    <n v="200"/>
    <n v="135"/>
    <s v="200 ml"/>
    <x v="63"/>
  </r>
  <r>
    <n v="4546"/>
    <x v="3843"/>
    <x v="715"/>
    <n v="138"/>
    <n v="90"/>
    <s v="100 ml"/>
    <x v="63"/>
  </r>
  <r>
    <n v="4547"/>
    <x v="3844"/>
    <x v="646"/>
    <n v="235"/>
    <n v="145"/>
    <s v="400 gm"/>
    <x v="63"/>
  </r>
  <r>
    <n v="4548"/>
    <x v="3845"/>
    <x v="678"/>
    <n v="260"/>
    <n v="235"/>
    <s v="400 gm"/>
    <x v="63"/>
  </r>
  <r>
    <n v="4549"/>
    <x v="3355"/>
    <x v="646"/>
    <n v="320"/>
    <n v="220"/>
    <s v="400 ml"/>
    <x v="63"/>
  </r>
  <r>
    <n v="4550"/>
    <x v="3846"/>
    <x v="639"/>
    <n v="449"/>
    <n v="319"/>
    <s v="400 ml"/>
    <x v="63"/>
  </r>
  <r>
    <n v="4551"/>
    <x v="3847"/>
    <x v="639"/>
    <n v="449"/>
    <n v="319"/>
    <s v="400 ml"/>
    <x v="63"/>
  </r>
  <r>
    <n v="4552"/>
    <x v="3848"/>
    <x v="646"/>
    <n v="200"/>
    <n v="140"/>
    <s v="4x75 gm"/>
    <x v="63"/>
  </r>
  <r>
    <n v="4553"/>
    <x v="3849"/>
    <x v="678"/>
    <n v="345"/>
    <n v="285"/>
    <s v="3x150 gm"/>
    <x v="63"/>
  </r>
  <r>
    <n v="4554"/>
    <x v="3850"/>
    <x v="646"/>
    <n v="80"/>
    <n v="65"/>
    <s v="125 gm"/>
    <x v="63"/>
  </r>
  <r>
    <n v="4555"/>
    <x v="3851"/>
    <x v="639"/>
    <n v="249"/>
    <n v="199"/>
    <s v="2x75 gm"/>
    <x v="63"/>
  </r>
  <r>
    <n v="4556"/>
    <x v="3852"/>
    <x v="678"/>
    <n v="68"/>
    <n v="60"/>
    <s v="75 gm"/>
    <x v="63"/>
  </r>
  <r>
    <n v="4557"/>
    <x v="3849"/>
    <x v="678"/>
    <n v="160"/>
    <n v="135"/>
    <s v="3x75 gm"/>
    <x v="63"/>
  </r>
  <r>
    <n v="4558"/>
    <x v="3853"/>
    <x v="646"/>
    <n v="1025"/>
    <n v="575"/>
    <s v="54 U"/>
    <x v="63"/>
  </r>
  <r>
    <n v="4559"/>
    <x v="3854"/>
    <x v="716"/>
    <n v="1199"/>
    <n v="799"/>
    <s v="54 U"/>
    <x v="63"/>
  </r>
  <r>
    <n v="4560"/>
    <x v="3854"/>
    <x v="716"/>
    <n v="1649"/>
    <n v="1089"/>
    <s v="90 U"/>
    <x v="63"/>
  </r>
  <r>
    <n v="4561"/>
    <x v="3855"/>
    <x v="717"/>
    <n v="1549"/>
    <n v="929"/>
    <s v="66 U"/>
    <x v="63"/>
  </r>
  <r>
    <n v="4562"/>
    <x v="3856"/>
    <x v="646"/>
    <n v="950"/>
    <n v="580"/>
    <s v="54 U"/>
    <x v="63"/>
  </r>
  <r>
    <n v="4563"/>
    <x v="3857"/>
    <x v="718"/>
    <n v="1249"/>
    <n v="899"/>
    <s v="70 U"/>
    <x v="63"/>
  </r>
  <r>
    <n v="4564"/>
    <x v="3857"/>
    <x v="718"/>
    <n v="699"/>
    <n v="495"/>
    <s v="40 U"/>
    <x v="63"/>
  </r>
  <r>
    <n v="4565"/>
    <x v="3858"/>
    <x v="718"/>
    <n v="1249"/>
    <n v="824"/>
    <s v="60 U"/>
    <x v="63"/>
  </r>
  <r>
    <n v="4566"/>
    <x v="3859"/>
    <x v="718"/>
    <n v="699"/>
    <n v="499"/>
    <s v="46 U"/>
    <x v="63"/>
  </r>
  <r>
    <n v="4567"/>
    <x v="3859"/>
    <x v="718"/>
    <n v="1249"/>
    <n v="949"/>
    <s v="84 U"/>
    <x v="63"/>
  </r>
  <r>
    <n v="4568"/>
    <x v="3860"/>
    <x v="717"/>
    <n v="799"/>
    <n v="599"/>
    <s v="28 U"/>
    <x v="63"/>
  </r>
  <r>
    <n v="4569"/>
    <x v="3861"/>
    <x v="646"/>
    <n v="775"/>
    <n v="465"/>
    <s v="54 U"/>
    <x v="63"/>
  </r>
  <r>
    <n v="4570"/>
    <x v="3862"/>
    <x v="717"/>
    <n v="1149"/>
    <n v="819"/>
    <s v="44 U"/>
    <x v="63"/>
  </r>
  <r>
    <n v="4571"/>
    <x v="3863"/>
    <x v="717"/>
    <n v="849"/>
    <n v="599"/>
    <s v="50 U"/>
    <x v="63"/>
  </r>
  <r>
    <n v="4572"/>
    <x v="3864"/>
    <x v="716"/>
    <n v="1199"/>
    <n v="749"/>
    <s v="60 U"/>
    <x v="63"/>
  </r>
  <r>
    <n v="4573"/>
    <x v="3864"/>
    <x v="716"/>
    <n v="1649"/>
    <n v="1099"/>
    <s v="98 U"/>
    <x v="63"/>
  </r>
  <r>
    <n v="4574"/>
    <x v="3865"/>
    <x v="717"/>
    <n v="1149"/>
    <n v="799"/>
    <s v="54 U"/>
    <x v="63"/>
  </r>
  <r>
    <n v="4575"/>
    <x v="3866"/>
    <x v="717"/>
    <n v="1149"/>
    <n v="810"/>
    <s v="36 U"/>
    <x v="63"/>
  </r>
  <r>
    <n v="4576"/>
    <x v="3867"/>
    <x v="716"/>
    <n v="749"/>
    <n v="529"/>
    <s v="50 U"/>
    <x v="63"/>
  </r>
  <r>
    <n v="4577"/>
    <x v="3867"/>
    <x v="716"/>
    <n v="1649"/>
    <n v="1099"/>
    <s v="120 U"/>
    <x v="63"/>
  </r>
  <r>
    <n v="4578"/>
    <x v="3868"/>
    <x v="718"/>
    <n v="399"/>
    <n v="298"/>
    <s v="30 U"/>
    <x v="63"/>
  </r>
  <r>
    <n v="4579"/>
    <x v="3869"/>
    <x v="718"/>
    <n v="399"/>
    <n v="309"/>
    <s v="42 U"/>
    <x v="63"/>
  </r>
  <r>
    <n v="4580"/>
    <x v="3870"/>
    <x v="718"/>
    <n v="399"/>
    <n v="299"/>
    <s v="34 U"/>
    <x v="63"/>
  </r>
  <r>
    <n v="4581"/>
    <x v="3871"/>
    <x v="718"/>
    <n v="1249"/>
    <n v="849"/>
    <s v="93 U"/>
    <x v="63"/>
  </r>
  <r>
    <n v="4582"/>
    <x v="3872"/>
    <x v="717"/>
    <n v="1099"/>
    <n v="924"/>
    <s v="72 U"/>
    <x v="63"/>
  </r>
  <r>
    <n v="4583"/>
    <x v="3873"/>
    <x v="717"/>
    <n v="1049"/>
    <n v="769"/>
    <s v="86 U"/>
    <x v="63"/>
  </r>
  <r>
    <n v="4584"/>
    <x v="3874"/>
    <x v="717"/>
    <n v="799"/>
    <n v="599"/>
    <s v="34 U"/>
    <x v="63"/>
  </r>
  <r>
    <n v="4585"/>
    <x v="3875"/>
    <x v="716"/>
    <n v="1499"/>
    <n v="999"/>
    <s v="120 U"/>
    <x v="63"/>
  </r>
  <r>
    <n v="4586"/>
    <x v="3875"/>
    <x v="716"/>
    <n v="1049"/>
    <n v="620"/>
    <s v="76 U"/>
    <x v="63"/>
  </r>
  <r>
    <n v="4587"/>
    <x v="3876"/>
    <x v="716"/>
    <n v="210"/>
    <n v="178"/>
    <s v="24 U"/>
    <x v="63"/>
  </r>
  <r>
    <n v="4588"/>
    <x v="3877"/>
    <x v="719"/>
    <n v="575"/>
    <n v="460"/>
    <s v="10 U"/>
    <x v="63"/>
  </r>
  <r>
    <n v="4589"/>
    <x v="3878"/>
    <x v="719"/>
    <n v="550"/>
    <n v="440"/>
    <s v="10 U"/>
    <x v="63"/>
  </r>
  <r>
    <n v="4590"/>
    <x v="3879"/>
    <x v="719"/>
    <n v="600"/>
    <n v="449"/>
    <s v="10 U"/>
    <x v="63"/>
  </r>
  <r>
    <n v="4591"/>
    <x v="3880"/>
    <x v="719"/>
    <n v="550"/>
    <n v="349"/>
    <s v="10 U"/>
    <x v="63"/>
  </r>
  <r>
    <n v="4592"/>
    <x v="3881"/>
    <x v="646"/>
    <n v="200"/>
    <n v="118"/>
    <s v="72 Wipes"/>
    <x v="63"/>
  </r>
  <r>
    <n v="4593"/>
    <x v="3882"/>
    <x v="720"/>
    <n v="220"/>
    <n v="110"/>
    <s v="80 Wipes"/>
    <x v="63"/>
  </r>
  <r>
    <n v="4594"/>
    <x v="3883"/>
    <x v="717"/>
    <n v="249"/>
    <n v="124"/>
    <s v="72 Wipes"/>
    <x v="63"/>
  </r>
  <r>
    <n v="4595"/>
    <x v="3884"/>
    <x v="497"/>
    <n v="170"/>
    <n v="125"/>
    <s v="500 ml"/>
    <x v="64"/>
  </r>
  <r>
    <n v="4596"/>
    <x v="3884"/>
    <x v="497"/>
    <n v="310"/>
    <n v="249"/>
    <s v="1 L"/>
    <x v="64"/>
  </r>
  <r>
    <n v="4597"/>
    <x v="3885"/>
    <x v="631"/>
    <n v="138"/>
    <n v="119"/>
    <s v="60 gm"/>
    <x v="64"/>
  </r>
  <r>
    <n v="4598"/>
    <x v="3886"/>
    <x v="721"/>
    <n v="250"/>
    <n v="223"/>
    <s v="120 gm"/>
    <x v="64"/>
  </r>
  <r>
    <n v="4599"/>
    <x v="3887"/>
    <x v="722"/>
    <n v="170"/>
    <n v="145"/>
    <s v="120 ml"/>
    <x v="64"/>
  </r>
  <r>
    <n v="4600"/>
    <x v="3887"/>
    <x v="722"/>
    <n v="125"/>
    <n v="110"/>
    <s v="80 ml"/>
    <x v="64"/>
  </r>
  <r>
    <n v="4601"/>
    <x v="3886"/>
    <x v="721"/>
    <n v="130"/>
    <n v="121"/>
    <s v="60 gm"/>
    <x v="64"/>
  </r>
  <r>
    <n v="4602"/>
    <x v="3888"/>
    <x v="723"/>
    <n v="40"/>
    <n v="37"/>
    <s v="20 gm"/>
    <x v="64"/>
  </r>
  <r>
    <n v="4603"/>
    <x v="3889"/>
    <x v="724"/>
    <n v="360"/>
    <n v="300"/>
    <s v="100 ml"/>
    <x v="64"/>
  </r>
  <r>
    <n v="4604"/>
    <x v="3890"/>
    <x v="723"/>
    <n v="45"/>
    <n v="40"/>
    <s v="100 ml"/>
    <x v="64"/>
  </r>
  <r>
    <n v="4605"/>
    <x v="3887"/>
    <x v="725"/>
    <n v="75"/>
    <n v="65"/>
    <s v="40 ml"/>
    <x v="64"/>
  </r>
  <r>
    <n v="4606"/>
    <x v="3891"/>
    <x v="726"/>
    <n v="55"/>
    <n v="44"/>
    <s v="100 ml"/>
    <x v="64"/>
  </r>
  <r>
    <n v="4607"/>
    <x v="3886"/>
    <x v="721"/>
    <n v="60"/>
    <n v="54"/>
    <s v="20 gm"/>
    <x v="64"/>
  </r>
  <r>
    <n v="4608"/>
    <x v="3892"/>
    <x v="723"/>
    <n v="80"/>
    <n v="66"/>
    <s v="100 ml"/>
    <x v="64"/>
  </r>
  <r>
    <n v="4609"/>
    <x v="3893"/>
    <x v="727"/>
    <n v="150"/>
    <n v="135"/>
    <s v="100 gm"/>
    <x v="64"/>
  </r>
  <r>
    <n v="4610"/>
    <x v="3894"/>
    <x v="727"/>
    <n v="54"/>
    <n v="49"/>
    <s v="30 gm"/>
    <x v="64"/>
  </r>
  <r>
    <n v="4611"/>
    <x v="3894"/>
    <x v="727"/>
    <n v="150"/>
    <n v="134"/>
    <s v="100 gm"/>
    <x v="64"/>
  </r>
  <r>
    <n v="4612"/>
    <x v="3895"/>
    <x v="728"/>
    <n v="120"/>
    <n v="107"/>
    <s v="100 gm"/>
    <x v="64"/>
  </r>
  <r>
    <n v="4613"/>
    <x v="3896"/>
    <x v="729"/>
    <n v="100"/>
    <n v="90"/>
    <s v="100 gm"/>
    <x v="64"/>
  </r>
  <r>
    <n v="4614"/>
    <x v="3897"/>
    <x v="650"/>
    <n v="145"/>
    <n v="125"/>
    <s v="450 ml"/>
    <x v="64"/>
  </r>
  <r>
    <n v="4615"/>
    <x v="3898"/>
    <x v="359"/>
    <n v="55"/>
    <n v="48"/>
    <s v="120 Tablets"/>
    <x v="64"/>
  </r>
  <r>
    <n v="4616"/>
    <x v="3899"/>
    <x v="359"/>
    <n v="55"/>
    <n v="50"/>
    <s v="120 Tablets"/>
    <x v="64"/>
  </r>
  <r>
    <n v="4617"/>
    <x v="3900"/>
    <x v="359"/>
    <n v="55"/>
    <n v="49"/>
    <s v="120 Tablets"/>
    <x v="64"/>
  </r>
  <r>
    <n v="4618"/>
    <x v="3901"/>
    <x v="730"/>
    <n v="99"/>
    <n v="83"/>
    <s v="100 gm"/>
    <x v="64"/>
  </r>
  <r>
    <n v="4619"/>
    <x v="3902"/>
    <x v="727"/>
    <n v="150"/>
    <n v="135"/>
    <s v="100 gm"/>
    <x v="64"/>
  </r>
  <r>
    <n v="4620"/>
    <x v="3903"/>
    <x v="731"/>
    <n v="740"/>
    <n v="680"/>
    <s v="900 gm"/>
    <x v="64"/>
  </r>
  <r>
    <n v="4621"/>
    <x v="3904"/>
    <x v="359"/>
    <n v="55"/>
    <n v="49"/>
    <s v="30 ml"/>
    <x v="64"/>
  </r>
  <r>
    <n v="4622"/>
    <x v="3905"/>
    <x v="732"/>
    <n v="60"/>
    <n v="48"/>
    <s v="30 gm"/>
    <x v="64"/>
  </r>
  <r>
    <n v="4623"/>
    <x v="3906"/>
    <x v="2"/>
    <n v="98"/>
    <n v="75"/>
    <s v="30 Unit"/>
    <x v="64"/>
  </r>
  <r>
    <n v="4624"/>
    <x v="3907"/>
    <x v="2"/>
    <n v="96"/>
    <n v="75"/>
    <s v="120 gm"/>
    <x v="64"/>
  </r>
  <r>
    <n v="4625"/>
    <x v="3908"/>
    <x v="733"/>
    <n v="90"/>
    <n v="80"/>
    <s v="25 ml"/>
    <x v="64"/>
  </r>
  <r>
    <n v="4626"/>
    <x v="3908"/>
    <x v="733"/>
    <n v="155"/>
    <n v="115"/>
    <s v="50 ml"/>
    <x v="64"/>
  </r>
  <r>
    <n v="4627"/>
    <x v="3908"/>
    <x v="733"/>
    <n v="265"/>
    <n v="215"/>
    <s v="110 ml"/>
    <x v="64"/>
  </r>
  <r>
    <n v="4628"/>
    <x v="3909"/>
    <x v="733"/>
    <n v="105"/>
    <n v="94"/>
    <s v="25 ml"/>
    <x v="64"/>
  </r>
  <r>
    <n v="4629"/>
    <x v="3910"/>
    <x v="734"/>
    <n v="115"/>
    <n v="105"/>
    <s v="100 ml"/>
    <x v="64"/>
  </r>
  <r>
    <n v="4630"/>
    <x v="3911"/>
    <x v="735"/>
    <n v="85"/>
    <n v="75"/>
    <s v="100 ml"/>
    <x v="64"/>
  </r>
  <r>
    <n v="4631"/>
    <x v="3912"/>
    <x v="733"/>
    <n v="112"/>
    <n v="99"/>
    <s v="2x0.5 ml"/>
    <x v="64"/>
  </r>
  <r>
    <n v="4632"/>
    <x v="3913"/>
    <x v="733"/>
    <n v="20"/>
    <n v="18"/>
    <s v="20 U"/>
    <x v="64"/>
  </r>
  <r>
    <n v="4633"/>
    <x v="3914"/>
    <x v="733"/>
    <n v="20"/>
    <n v="18"/>
    <s v="36 gm"/>
    <x v="64"/>
  </r>
  <r>
    <n v="4634"/>
    <x v="3915"/>
    <x v="736"/>
    <n v="45"/>
    <n v="34"/>
    <s v="70 Pill"/>
    <x v="64"/>
  </r>
  <r>
    <n v="4635"/>
    <x v="3916"/>
    <x v="447"/>
    <n v="98"/>
    <n v="92"/>
    <s v="200 ml"/>
    <x v="64"/>
  </r>
  <r>
    <n v="4636"/>
    <x v="3916"/>
    <x v="447"/>
    <n v="193"/>
    <n v="178"/>
    <s v="500 ml"/>
    <x v="64"/>
  </r>
  <r>
    <n v="4637"/>
    <x v="3917"/>
    <x v="737"/>
    <n v="360"/>
    <n v="260"/>
    <s v="135 gm"/>
    <x v="64"/>
  </r>
  <r>
    <n v="4638"/>
    <x v="3917"/>
    <x v="737"/>
    <n v="186"/>
    <n v="129"/>
    <s v="40 gm"/>
    <x v="64"/>
  </r>
  <r>
    <n v="4639"/>
    <x v="3917"/>
    <x v="737"/>
    <n v="266"/>
    <n v="199"/>
    <s v="75 gm"/>
    <x v="64"/>
  </r>
  <r>
    <n v="4640"/>
    <x v="3918"/>
    <x v="738"/>
    <n v="80"/>
    <n v="72"/>
    <s v="16 gm"/>
    <x v="64"/>
  </r>
  <r>
    <n v="4641"/>
    <x v="3918"/>
    <x v="738"/>
    <n v="150"/>
    <n v="135"/>
    <s v="40 gm"/>
    <x v="64"/>
  </r>
  <r>
    <n v="4642"/>
    <x v="3919"/>
    <x v="2"/>
    <n v="150"/>
    <n v="95"/>
    <s v="50 ml"/>
    <x v="64"/>
  </r>
  <r>
    <n v="4643"/>
    <x v="3919"/>
    <x v="2"/>
    <n v="85"/>
    <n v="73"/>
    <s v="25 ml"/>
    <x v="64"/>
  </r>
  <r>
    <n v="4644"/>
    <x v="3919"/>
    <x v="2"/>
    <n v="42"/>
    <n v="39"/>
    <s v="8 ml"/>
    <x v="64"/>
  </r>
  <r>
    <n v="4645"/>
    <x v="3920"/>
    <x v="739"/>
    <n v="125"/>
    <n v="115"/>
    <s v="25 gm"/>
    <x v="64"/>
  </r>
  <r>
    <n v="4646"/>
    <x v="3920"/>
    <x v="739"/>
    <n v="189"/>
    <n v="175"/>
    <s v="50 gm"/>
    <x v="64"/>
  </r>
  <r>
    <n v="4647"/>
    <x v="3921"/>
    <x v="739"/>
    <n v="149"/>
    <n v="134"/>
    <s v="35 gm"/>
    <x v="64"/>
  </r>
  <r>
    <n v="4648"/>
    <x v="3921"/>
    <x v="739"/>
    <n v="290"/>
    <n v="269"/>
    <s v="80 gm"/>
    <x v="64"/>
  </r>
  <r>
    <n v="4649"/>
    <x v="3922"/>
    <x v="740"/>
    <n v="174"/>
    <n v="130"/>
    <s v="100 gm"/>
    <x v="64"/>
  </r>
  <r>
    <n v="4650"/>
    <x v="3923"/>
    <x v="741"/>
    <n v="47"/>
    <n v="40"/>
    <s v="9 ml"/>
    <x v="64"/>
  </r>
  <r>
    <n v="4651"/>
    <x v="3923"/>
    <x v="741"/>
    <n v="88"/>
    <n v="74"/>
    <s v="21 ml"/>
    <x v="64"/>
  </r>
  <r>
    <n v="4652"/>
    <x v="3924"/>
    <x v="742"/>
    <n v="100"/>
    <n v="85"/>
    <s v="50 ml"/>
    <x v="64"/>
  </r>
  <r>
    <n v="4653"/>
    <x v="3925"/>
    <x v="742"/>
    <n v="130"/>
    <n v="109"/>
    <s v="50 ml"/>
    <x v="64"/>
  </r>
  <r>
    <n v="4654"/>
    <x v="3926"/>
    <x v="742"/>
    <n v="175"/>
    <n v="155"/>
    <s v="80 gm"/>
    <x v="64"/>
  </r>
  <r>
    <n v="4655"/>
    <x v="3927"/>
    <x v="743"/>
    <n v="295"/>
    <n v="235"/>
    <s v="120 ml"/>
    <x v="64"/>
  </r>
  <r>
    <n v="4656"/>
    <x v="3928"/>
    <x v="731"/>
    <n v="95"/>
    <n v="74"/>
    <s v="25 ml"/>
    <x v="64"/>
  </r>
  <r>
    <n v="4657"/>
    <x v="3929"/>
    <x v="742"/>
    <n v="125"/>
    <n v="105"/>
    <s v="50 ml"/>
    <x v="64"/>
  </r>
  <r>
    <n v="4658"/>
    <x v="3930"/>
    <x v="731"/>
    <n v="45"/>
    <n v="40"/>
    <s v="8 ml"/>
    <x v="64"/>
  </r>
  <r>
    <n v="4659"/>
    <x v="3931"/>
    <x v="731"/>
    <n v="60"/>
    <n v="30"/>
    <s v="9 ml"/>
    <x v="64"/>
  </r>
  <r>
    <n v="4660"/>
    <x v="3925"/>
    <x v="742"/>
    <n v="100"/>
    <n v="84"/>
    <s v="27.5 ml"/>
    <x v="64"/>
  </r>
  <r>
    <n v="4661"/>
    <x v="3932"/>
    <x v="741"/>
    <n v="47"/>
    <n v="41"/>
    <s v="9 ml"/>
    <x v="64"/>
  </r>
  <r>
    <n v="4662"/>
    <x v="3932"/>
    <x v="741"/>
    <n v="88"/>
    <n v="75"/>
    <s v="21 ml"/>
    <x v="64"/>
  </r>
  <r>
    <n v="4663"/>
    <x v="3933"/>
    <x v="744"/>
    <n v="165"/>
    <n v="145"/>
    <s v="45 gm"/>
    <x v="64"/>
  </r>
  <r>
    <n v="4664"/>
    <x v="3934"/>
    <x v="646"/>
    <n v="130"/>
    <n v="99"/>
    <s v="45 gm"/>
    <x v="64"/>
  </r>
  <r>
    <n v="4665"/>
    <x v="3935"/>
    <x v="745"/>
    <n v="87"/>
    <n v="70"/>
    <s v="45 gm"/>
    <x v="64"/>
  </r>
  <r>
    <n v="4666"/>
    <x v="3926"/>
    <x v="742"/>
    <n v="100"/>
    <n v="85"/>
    <s v="30 gm"/>
    <x v="64"/>
  </r>
  <r>
    <n v="4667"/>
    <x v="3936"/>
    <x v="646"/>
    <n v="125"/>
    <n v="99"/>
    <s v="45 gm"/>
    <x v="64"/>
  </r>
  <r>
    <n v="4668"/>
    <x v="3929"/>
    <x v="742"/>
    <n v="95"/>
    <n v="80"/>
    <s v="27.5 ml"/>
    <x v="64"/>
  </r>
  <r>
    <n v="4669"/>
    <x v="3937"/>
    <x v="746"/>
    <n v="65"/>
    <n v="55"/>
    <s v="100 ml"/>
    <x v="64"/>
  </r>
  <r>
    <n v="4670"/>
    <x v="3922"/>
    <x v="745"/>
    <n v="58"/>
    <n v="45"/>
    <s v="25 gm"/>
    <x v="64"/>
  </r>
  <r>
    <n v="4671"/>
    <x v="3938"/>
    <x v="743"/>
    <n v="78"/>
    <n v="63"/>
    <s v="30 gm"/>
    <x v="64"/>
  </r>
  <r>
    <n v="4672"/>
    <x v="3939"/>
    <x v="747"/>
    <n v="95"/>
    <n v="80"/>
    <s v="65 ml"/>
    <x v="64"/>
  </r>
  <r>
    <n v="4673"/>
    <x v="3940"/>
    <x v="748"/>
    <n v="165"/>
    <n v="133"/>
    <s v="100 gm"/>
    <x v="64"/>
  </r>
  <r>
    <n v="4674"/>
    <x v="3940"/>
    <x v="748"/>
    <n v="82"/>
    <n v="72"/>
    <s v="40 gm"/>
    <x v="64"/>
  </r>
  <r>
    <n v="4675"/>
    <x v="3941"/>
    <x v="749"/>
    <n v="60"/>
    <n v="55"/>
    <s v="25 gm"/>
    <x v="64"/>
  </r>
  <r>
    <n v="4676"/>
    <x v="3942"/>
    <x v="750"/>
    <n v="30"/>
    <n v="25"/>
    <s v="12 gm"/>
    <x v="64"/>
  </r>
  <r>
    <n v="4677"/>
    <x v="3943"/>
    <x v="747"/>
    <n v="50"/>
    <n v="45"/>
    <s v="32 gm"/>
    <x v="64"/>
  </r>
  <r>
    <n v="4678"/>
    <x v="3944"/>
    <x v="751"/>
    <n v="135"/>
    <n v="116"/>
    <s v="5 ml"/>
    <x v="64"/>
  </r>
  <r>
    <n v="4679"/>
    <x v="3945"/>
    <x v="752"/>
    <n v="120"/>
    <n v="99"/>
    <s v="100 ml"/>
    <x v="64"/>
  </r>
  <r>
    <n v="4680"/>
    <x v="3946"/>
    <x v="753"/>
    <n v="55"/>
    <n v="27"/>
    <s v="50 U"/>
    <x v="64"/>
  </r>
  <r>
    <n v="4681"/>
    <x v="3947"/>
    <x v="753"/>
    <n v="65"/>
    <n v="32"/>
    <s v="100 Pcs"/>
    <x v="64"/>
  </r>
  <r>
    <n v="4682"/>
    <x v="3948"/>
    <x v="754"/>
    <n v="590"/>
    <n v="520"/>
    <s v="500 ml"/>
    <x v="64"/>
  </r>
  <r>
    <n v="4683"/>
    <x v="3949"/>
    <x v="754"/>
    <n v="240"/>
    <n v="210"/>
    <s v="120 ml"/>
    <x v="64"/>
  </r>
  <r>
    <n v="4684"/>
    <x v="3950"/>
    <x v="755"/>
    <n v="45"/>
    <n v="35"/>
    <s v="7 ml"/>
    <x v="64"/>
  </r>
  <r>
    <n v="4685"/>
    <x v="3951"/>
    <x v="756"/>
    <n v="245"/>
    <n v="210"/>
    <s v="10 U"/>
    <x v="64"/>
  </r>
  <r>
    <n v="4686"/>
    <x v="3952"/>
    <x v="704"/>
    <n v="200"/>
    <n v="140"/>
    <s v="20 U"/>
    <x v="64"/>
  </r>
  <r>
    <n v="4687"/>
    <x v="3953"/>
    <x v="756"/>
    <n v="245"/>
    <n v="199"/>
    <s v="10 U"/>
    <x v="64"/>
  </r>
  <r>
    <n v="4688"/>
    <x v="3954"/>
    <x v="704"/>
    <n v="200"/>
    <n v="130"/>
    <s v="20 U"/>
    <x v="64"/>
  </r>
  <r>
    <n v="4689"/>
    <x v="3955"/>
    <x v="756"/>
    <n v="360"/>
    <n v="311"/>
    <s v="10 U"/>
    <x v="64"/>
  </r>
  <r>
    <n v="4690"/>
    <x v="3956"/>
    <x v="756"/>
    <n v="245"/>
    <n v="188"/>
    <s v="10 U"/>
    <x v="64"/>
  </r>
  <r>
    <n v="4691"/>
    <x v="3957"/>
    <x v="756"/>
    <n v="228"/>
    <n v="188"/>
    <s v="10 U"/>
    <x v="64"/>
  </r>
  <r>
    <n v="4692"/>
    <x v="3958"/>
    <x v="704"/>
    <n v="140"/>
    <n v="110"/>
    <s v="12 U"/>
    <x v="64"/>
  </r>
  <r>
    <n v="4693"/>
    <x v="3959"/>
    <x v="757"/>
    <n v="95"/>
    <n v="69"/>
    <s v="10 U"/>
    <x v="64"/>
  </r>
  <r>
    <n v="4694"/>
    <x v="3960"/>
    <x v="756"/>
    <n v="245"/>
    <n v="205"/>
    <s v="10 U"/>
    <x v="64"/>
  </r>
  <r>
    <n v="4695"/>
    <x v="3961"/>
    <x v="704"/>
    <n v="140"/>
    <n v="99"/>
    <s v="12 U"/>
    <x v="64"/>
  </r>
  <r>
    <n v="4696"/>
    <x v="3962"/>
    <x v="756"/>
    <n v="440"/>
    <n v="375"/>
    <s v="10 U"/>
    <x v="64"/>
  </r>
  <r>
    <n v="4697"/>
    <x v="3963"/>
    <x v="758"/>
    <n v="200"/>
    <n v="150"/>
    <s v="10 U"/>
    <x v="64"/>
  </r>
  <r>
    <n v="4698"/>
    <x v="3964"/>
    <x v="756"/>
    <n v="150"/>
    <n v="125"/>
    <s v="10 U"/>
    <x v="64"/>
  </r>
  <r>
    <n v="4699"/>
    <x v="3965"/>
    <x v="756"/>
    <n v="799"/>
    <n v="719"/>
    <s v="1 U"/>
    <x v="64"/>
  </r>
  <r>
    <n v="4700"/>
    <x v="3966"/>
    <x v="704"/>
    <n v="230"/>
    <n v="160"/>
    <s v="12 U"/>
    <x v="64"/>
  </r>
  <r>
    <n v="4701"/>
    <x v="3967"/>
    <x v="704"/>
    <n v="240"/>
    <n v="180"/>
    <s v="12 U"/>
    <x v="64"/>
  </r>
  <r>
    <n v="4702"/>
    <x v="3952"/>
    <x v="704"/>
    <n v="120"/>
    <n v="90"/>
    <s v="12 U"/>
    <x v="64"/>
  </r>
  <r>
    <n v="4703"/>
    <x v="3968"/>
    <x v="758"/>
    <n v="150"/>
    <n v="99"/>
    <s v="10 U"/>
    <x v="64"/>
  </r>
  <r>
    <n v="4704"/>
    <x v="3969"/>
    <x v="756"/>
    <n v="499"/>
    <n v="424"/>
    <s v="50 ml"/>
    <x v="64"/>
  </r>
  <r>
    <n v="4705"/>
    <x v="3970"/>
    <x v="756"/>
    <n v="499"/>
    <n v="429"/>
    <s v="50 ml"/>
    <x v="64"/>
  </r>
  <r>
    <n v="4706"/>
    <x v="3971"/>
    <x v="756"/>
    <n v="150"/>
    <n v="128"/>
    <s v="10 U"/>
    <x v="64"/>
  </r>
  <r>
    <n v="4707"/>
    <x v="3954"/>
    <x v="704"/>
    <n v="120"/>
    <n v="93"/>
    <s v="12 U"/>
    <x v="64"/>
  </r>
  <r>
    <n v="4708"/>
    <x v="3972"/>
    <x v="704"/>
    <n v="200"/>
    <n v="149"/>
    <s v="12 U"/>
    <x v="64"/>
  </r>
  <r>
    <n v="4709"/>
    <x v="3973"/>
    <x v="756"/>
    <n v="699"/>
    <n v="599"/>
    <s v="200 ml"/>
    <x v="64"/>
  </r>
  <r>
    <n v="4710"/>
    <x v="3974"/>
    <x v="756"/>
    <n v="499"/>
    <n v="429"/>
    <s v="50 ml"/>
    <x v="64"/>
  </r>
  <r>
    <n v="4711"/>
    <x v="3975"/>
    <x v="757"/>
    <n v="100"/>
    <n v="70"/>
    <s v="10 U"/>
    <x v="64"/>
  </r>
  <r>
    <n v="4712"/>
    <x v="3976"/>
    <x v="704"/>
    <n v="130"/>
    <n v="105"/>
    <s v="12 U"/>
    <x v="64"/>
  </r>
  <r>
    <n v="4713"/>
    <x v="3977"/>
    <x v="756"/>
    <n v="699"/>
    <n v="599"/>
    <s v="200 ml"/>
    <x v="64"/>
  </r>
  <r>
    <n v="4714"/>
    <x v="3978"/>
    <x v="759"/>
    <n v="22"/>
    <n v="17"/>
    <s v="10 U"/>
    <x v="64"/>
  </r>
  <r>
    <n v="4715"/>
    <x v="3979"/>
    <x v="759"/>
    <n v="22"/>
    <n v="15"/>
    <s v="8 U"/>
    <x v="64"/>
  </r>
  <r>
    <n v="4716"/>
    <x v="3980"/>
    <x v="759"/>
    <n v="100"/>
    <n v="80"/>
    <s v="10 U"/>
    <x v="64"/>
  </r>
  <r>
    <n v="4717"/>
    <x v="3981"/>
    <x v="759"/>
    <n v="200"/>
    <n v="160"/>
    <s v="10 U"/>
    <x v="64"/>
  </r>
  <r>
    <n v="4718"/>
    <x v="3982"/>
    <x v="759"/>
    <n v="30"/>
    <n v="24"/>
    <s v="4 U"/>
    <x v="64"/>
  </r>
  <r>
    <n v="4719"/>
    <x v="3983"/>
    <x v="759"/>
    <n v="40"/>
    <n v="32"/>
    <s v="4 U"/>
    <x v="64"/>
  </r>
  <r>
    <n v="4720"/>
    <x v="3984"/>
    <x v="759"/>
    <n v="84"/>
    <n v="66"/>
    <s v="1 U"/>
    <x v="64"/>
  </r>
  <r>
    <n v="4721"/>
    <x v="3985"/>
    <x v="646"/>
    <n v="180"/>
    <n v="130"/>
    <s v="60 Tablets"/>
    <x v="64"/>
  </r>
  <r>
    <n v="4722"/>
    <x v="3986"/>
    <x v="646"/>
    <n v="260"/>
    <n v="144"/>
    <s v="60 U"/>
    <x v="64"/>
  </r>
  <r>
    <n v="4723"/>
    <x v="3987"/>
    <x v="646"/>
    <n v="165"/>
    <n v="91"/>
    <s v="60 Tablets"/>
    <x v="64"/>
  </r>
  <r>
    <n v="4724"/>
    <x v="3988"/>
    <x v="447"/>
    <n v="120"/>
    <n v="111"/>
    <s v="3X175 ml"/>
    <x v="60"/>
  </r>
  <r>
    <n v="4725"/>
    <x v="3988"/>
    <x v="447"/>
    <n v="109"/>
    <n v="93"/>
    <s v="750  ml"/>
    <x v="60"/>
  </r>
  <r>
    <n v="4726"/>
    <x v="3989"/>
    <x v="627"/>
    <n v="140"/>
    <n v="70"/>
    <s v="750 ml"/>
    <x v="60"/>
  </r>
  <r>
    <n v="4727"/>
    <x v="3989"/>
    <x v="627"/>
    <n v="35"/>
    <n v="20"/>
    <s v="175 ml"/>
    <x v="60"/>
  </r>
  <r>
    <n v="4728"/>
    <x v="3990"/>
    <x v="447"/>
    <n v="109"/>
    <n v="94"/>
    <s v="750 ml"/>
    <x v="60"/>
  </r>
  <r>
    <n v="4729"/>
    <x v="3990"/>
    <x v="447"/>
    <n v="120"/>
    <n v="107"/>
    <s v="3X175 ml"/>
    <x v="60"/>
  </r>
  <r>
    <n v="4730"/>
    <x v="3991"/>
    <x v="627"/>
    <n v="140"/>
    <n v="70"/>
    <s v="750 ml"/>
    <x v="60"/>
  </r>
  <r>
    <n v="4731"/>
    <x v="3991"/>
    <x v="627"/>
    <n v="35"/>
    <n v="20"/>
    <s v="175 ml"/>
    <x v="60"/>
  </r>
  <r>
    <n v="4732"/>
    <x v="3992"/>
    <x v="616"/>
    <n v="119"/>
    <n v="84"/>
    <s v="750 ml"/>
    <x v="60"/>
  </r>
  <r>
    <n v="4733"/>
    <x v="3993"/>
    <x v="627"/>
    <n v="140"/>
    <n v="70"/>
    <s v="750 ml"/>
    <x v="60"/>
  </r>
  <r>
    <n v="4734"/>
    <x v="3993"/>
    <x v="627"/>
    <n v="35"/>
    <n v="20"/>
    <s v="175 ml"/>
    <x v="60"/>
  </r>
  <r>
    <n v="4735"/>
    <x v="3994"/>
    <x v="42"/>
    <n v="150"/>
    <n v="75"/>
    <s v="725 ml"/>
    <x v="60"/>
  </r>
  <r>
    <n v="4736"/>
    <x v="3995"/>
    <x v="42"/>
    <n v="150"/>
    <n v="75"/>
    <s v="725 ml"/>
    <x v="60"/>
  </r>
  <r>
    <n v="4737"/>
    <x v="3996"/>
    <x v="614"/>
    <n v="99"/>
    <n v="89"/>
    <s v="750 ml"/>
    <x v="60"/>
  </r>
  <r>
    <n v="4738"/>
    <x v="3997"/>
    <x v="42"/>
    <n v="99"/>
    <n v="75"/>
    <s v="725 ml"/>
    <x v="60"/>
  </r>
  <r>
    <n v="4739"/>
    <x v="3998"/>
    <x v="497"/>
    <n v="99"/>
    <n v="79"/>
    <s v="725 ml"/>
    <x v="60"/>
  </r>
  <r>
    <n v="4740"/>
    <x v="3999"/>
    <x v="497"/>
    <n v="99"/>
    <n v="79"/>
    <s v="725 ml"/>
    <x v="60"/>
  </r>
  <r>
    <n v="4741"/>
    <x v="4000"/>
    <x v="611"/>
    <n v="89"/>
    <n v="74"/>
    <s v="750 ml"/>
    <x v="60"/>
  </r>
  <r>
    <n v="4742"/>
    <x v="4001"/>
    <x v="657"/>
    <n v="550"/>
    <n v="440"/>
    <s v="20 ml"/>
    <x v="54"/>
  </r>
  <r>
    <n v="4743"/>
    <x v="4002"/>
    <x v="634"/>
    <n v="599"/>
    <n v="449"/>
    <s v="30 ml"/>
    <x v="54"/>
  </r>
  <r>
    <n v="4744"/>
    <x v="4003"/>
    <x v="657"/>
    <n v="575"/>
    <n v="460"/>
    <s v="50 ml"/>
    <x v="54"/>
  </r>
  <r>
    <n v="4745"/>
    <x v="4004"/>
    <x v="498"/>
    <n v="599"/>
    <n v="419"/>
    <s v="10 W"/>
    <x v="31"/>
  </r>
  <r>
    <n v="4746"/>
    <x v="4005"/>
    <x v="760"/>
    <n v="299"/>
    <n v="99"/>
    <s v="1 U"/>
    <x v="65"/>
  </r>
  <r>
    <n v="4747"/>
    <x v="4006"/>
    <x v="498"/>
    <n v="1995"/>
    <n v="1599"/>
    <s v="1 U"/>
    <x v="39"/>
  </r>
  <r>
    <n v="4748"/>
    <x v="4007"/>
    <x v="591"/>
    <n v="95"/>
    <n v="85"/>
    <s v="4 Unit"/>
    <x v="65"/>
  </r>
  <r>
    <n v="4749"/>
    <x v="4008"/>
    <x v="760"/>
    <n v="1799"/>
    <n v="699"/>
    <s v="1 U"/>
    <x v="65"/>
  </r>
  <r>
    <n v="4750"/>
    <x v="4009"/>
    <x v="591"/>
    <n v="95"/>
    <n v="85"/>
    <s v="4 Unit"/>
    <x v="65"/>
  </r>
  <r>
    <n v="4751"/>
    <x v="4010"/>
    <x v="2"/>
    <n v="600"/>
    <n v="209"/>
    <s v="1 U"/>
    <x v="65"/>
  </r>
  <r>
    <n v="4752"/>
    <x v="4011"/>
    <x v="599"/>
    <n v="161"/>
    <n v="109"/>
    <s v="1 U"/>
    <x v="65"/>
  </r>
  <r>
    <n v="4753"/>
    <x v="4012"/>
    <x v="597"/>
    <n v="169"/>
    <n v="34"/>
    <s v="1 U"/>
    <x v="65"/>
  </r>
  <r>
    <n v="4754"/>
    <x v="4013"/>
    <x v="599"/>
    <n v="331"/>
    <n v="249"/>
    <s v="1 Unit"/>
    <x v="65"/>
  </r>
  <r>
    <n v="4755"/>
    <x v="4014"/>
    <x v="590"/>
    <n v="799"/>
    <n v="449"/>
    <s v="1000 W"/>
    <x v="66"/>
  </r>
  <r>
    <n v="4756"/>
    <x v="4015"/>
    <x v="593"/>
    <n v="1400"/>
    <n v="869"/>
    <s v="1000 W"/>
    <x v="39"/>
  </r>
  <r>
    <n v="4757"/>
    <x v="4016"/>
    <x v="592"/>
    <n v="1400"/>
    <n v="1049"/>
    <s v="1000 W"/>
    <x v="39"/>
  </r>
  <r>
    <n v="4758"/>
    <x v="4017"/>
    <x v="593"/>
    <n v="3800"/>
    <n v="1899"/>
    <s v="2000 W"/>
    <x v="39"/>
  </r>
  <r>
    <n v="4759"/>
    <x v="4018"/>
    <x v="592"/>
    <n v="1030"/>
    <n v="649"/>
    <s v="1000 W"/>
    <x v="39"/>
  </r>
  <r>
    <n v="4760"/>
    <x v="4019"/>
    <x v="761"/>
    <n v="1290"/>
    <n v="599"/>
    <s v="1000 W"/>
    <x v="39"/>
  </r>
  <r>
    <n v="4761"/>
    <x v="4020"/>
    <x v="761"/>
    <n v="1390"/>
    <n v="799"/>
    <s v="1 Unit"/>
    <x v="39"/>
  </r>
  <r>
    <n v="4762"/>
    <x v="4021"/>
    <x v="592"/>
    <n v="2349"/>
    <n v="1649"/>
    <s v="1 Unit"/>
    <x v="39"/>
  </r>
  <r>
    <n v="4763"/>
    <x v="4022"/>
    <x v="592"/>
    <n v="2430"/>
    <n v="1899"/>
    <s v="Silver White"/>
    <x v="39"/>
  </r>
  <r>
    <n v="4764"/>
    <x v="4022"/>
    <x v="592"/>
    <n v="2430"/>
    <n v="1899"/>
    <s v="Smoked Brown"/>
    <x v="39"/>
  </r>
  <r>
    <n v="4765"/>
    <x v="4023"/>
    <x v="762"/>
    <n v="2345"/>
    <n v="1722"/>
    <s v="1 Unit"/>
    <x v="39"/>
  </r>
  <r>
    <n v="4766"/>
    <x v="4024"/>
    <x v="761"/>
    <n v="2110"/>
    <n v="1799"/>
    <s v="1 U"/>
    <x v="39"/>
  </r>
  <r>
    <n v="4767"/>
    <x v="4025"/>
    <x v="761"/>
    <n v="1960"/>
    <n v="1499"/>
    <s v="1 U"/>
    <x v="39"/>
  </r>
  <r>
    <n v="4768"/>
    <x v="4026"/>
    <x v="593"/>
    <n v="3320"/>
    <n v="1999"/>
    <s v="1 U"/>
    <x v="39"/>
  </r>
  <r>
    <n v="4769"/>
    <x v="4027"/>
    <x v="761"/>
    <n v="2170"/>
    <n v="1799"/>
    <s v="1 Unit"/>
    <x v="39"/>
  </r>
  <r>
    <n v="4770"/>
    <x v="4028"/>
    <x v="593"/>
    <n v="2110"/>
    <n v="1899"/>
    <s v="1 U"/>
    <x v="39"/>
  </r>
  <r>
    <n v="4771"/>
    <x v="4029"/>
    <x v="590"/>
    <n v="2050"/>
    <n v="1299"/>
    <s v="1 U"/>
    <x v="39"/>
  </r>
  <r>
    <n v="4772"/>
    <x v="4030"/>
    <x v="763"/>
    <n v="1760"/>
    <n v="1399"/>
    <s v="1 Unit"/>
    <x v="39"/>
  </r>
  <r>
    <n v="4773"/>
    <x v="4031"/>
    <x v="590"/>
    <n v="1899"/>
    <n v="1199"/>
    <s v="1 U"/>
    <x v="39"/>
  </r>
  <r>
    <n v="4774"/>
    <x v="4032"/>
    <x v="592"/>
    <n v="4180"/>
    <n v="3599"/>
    <s v="1 Unit"/>
    <x v="39"/>
  </r>
  <r>
    <n v="4775"/>
    <x v="4033"/>
    <x v="595"/>
    <n v="1799"/>
    <n v="1299"/>
    <s v="1 U"/>
    <x v="39"/>
  </r>
  <r>
    <n v="4776"/>
    <x v="4034"/>
    <x v="761"/>
    <n v="2995"/>
    <n v="2499"/>
    <s v="1 U"/>
    <x v="39"/>
  </r>
  <r>
    <n v="4777"/>
    <x v="4035"/>
    <x v="595"/>
    <n v="2199"/>
    <n v="1449"/>
    <s v="1 U"/>
    <x v="39"/>
  </r>
  <r>
    <n v="4778"/>
    <x v="4036"/>
    <x v="761"/>
    <n v="3685"/>
    <n v="2699"/>
    <s v="1 U"/>
    <x v="39"/>
  </r>
  <r>
    <n v="4779"/>
    <x v="4037"/>
    <x v="762"/>
    <n v="2680"/>
    <n v="1999"/>
    <s v="1 U"/>
    <x v="39"/>
  </r>
  <r>
    <n v="4780"/>
    <x v="4038"/>
    <x v="761"/>
    <n v="3840"/>
    <n v="2999"/>
    <s v="Silver Sage"/>
    <x v="39"/>
  </r>
  <r>
    <n v="4781"/>
    <x v="4039"/>
    <x v="592"/>
    <n v="825"/>
    <n v="549"/>
    <s v="1000 W"/>
    <x v="39"/>
  </r>
  <r>
    <n v="4782"/>
    <x v="4040"/>
    <x v="592"/>
    <n v="5600"/>
    <n v="3899"/>
    <s v="3 L"/>
    <x v="39"/>
  </r>
  <r>
    <n v="4783"/>
    <x v="4041"/>
    <x v="764"/>
    <n v="530"/>
    <n v="479"/>
    <s v="1000 W"/>
    <x v="39"/>
  </r>
  <r>
    <n v="4784"/>
    <x v="4042"/>
    <x v="761"/>
    <n v="650"/>
    <n v="479"/>
    <s v="1000 W"/>
    <x v="39"/>
  </r>
  <r>
    <n v="4785"/>
    <x v="4043"/>
    <x v="548"/>
    <n v="1290"/>
    <n v="799"/>
    <s v="1.5 L"/>
    <x v="67"/>
  </r>
  <r>
    <n v="4786"/>
    <x v="4044"/>
    <x v="592"/>
    <n v="4800"/>
    <n v="3499"/>
    <s v="750 W"/>
    <x v="67"/>
  </r>
  <r>
    <n v="4787"/>
    <x v="4045"/>
    <x v="2"/>
    <n v="1550"/>
    <n v="1395"/>
    <s v="1 Unit"/>
    <x v="67"/>
  </r>
  <r>
    <n v="4788"/>
    <x v="4046"/>
    <x v="593"/>
    <n v="4050"/>
    <n v="2399"/>
    <s v="550 W"/>
    <x v="67"/>
  </r>
  <r>
    <n v="4789"/>
    <x v="4047"/>
    <x v="523"/>
    <n v="6100"/>
    <n v="2999"/>
    <s v="400 W"/>
    <x v="67"/>
  </r>
  <r>
    <n v="4790"/>
    <x v="4048"/>
    <x v="593"/>
    <n v="3150"/>
    <n v="2449"/>
    <s v="500 W"/>
    <x v="67"/>
  </r>
  <r>
    <n v="4791"/>
    <x v="4049"/>
    <x v="593"/>
    <n v="6275"/>
    <n v="3599"/>
    <s v="750 W"/>
    <x v="67"/>
  </r>
  <r>
    <n v="4792"/>
    <x v="4050"/>
    <x v="765"/>
    <n v="6095"/>
    <n v="3999"/>
    <s v="750 W"/>
    <x v="67"/>
  </r>
  <r>
    <n v="4793"/>
    <x v="4051"/>
    <x v="520"/>
    <n v="3595"/>
    <n v="1799"/>
    <s v="1800 W"/>
    <x v="68"/>
  </r>
  <r>
    <n v="4794"/>
    <x v="4052"/>
    <x v="525"/>
    <n v="3945"/>
    <n v="2499"/>
    <s v="1900 W"/>
    <x v="67"/>
  </r>
  <r>
    <n v="4795"/>
    <x v="4053"/>
    <x v="525"/>
    <n v="3345"/>
    <n v="2149"/>
    <s v="1 Unit"/>
    <x v="67"/>
  </r>
  <r>
    <n v="4796"/>
    <x v="4054"/>
    <x v="593"/>
    <n v="4170"/>
    <n v="2849"/>
    <s v="1900 W"/>
    <x v="67"/>
  </r>
  <r>
    <n v="4797"/>
    <x v="4055"/>
    <x v="593"/>
    <n v="3410"/>
    <n v="2349"/>
    <s v="1400 W"/>
    <x v="67"/>
  </r>
  <r>
    <n v="4798"/>
    <x v="4056"/>
    <x v="761"/>
    <n v="3890"/>
    <n v="2399"/>
    <s v="1 Unit"/>
    <x v="67"/>
  </r>
  <r>
    <n v="4799"/>
    <x v="4057"/>
    <x v="766"/>
    <n v="300"/>
    <n v="199"/>
    <s v="Size M"/>
    <x v="69"/>
  </r>
  <r>
    <n v="4800"/>
    <x v="4058"/>
    <x v="766"/>
    <n v="300"/>
    <n v="99"/>
    <s v="Size S"/>
    <x v="69"/>
  </r>
  <r>
    <n v="4801"/>
    <x v="4059"/>
    <x v="767"/>
    <n v="284"/>
    <n v="229"/>
    <s v="Size S"/>
    <x v="69"/>
  </r>
  <r>
    <n v="4802"/>
    <x v="4059"/>
    <x v="767"/>
    <n v="284"/>
    <n v="227"/>
    <s v="Size L"/>
    <x v="69"/>
  </r>
  <r>
    <n v="4803"/>
    <x v="4059"/>
    <x v="767"/>
    <n v="324"/>
    <n v="259"/>
    <s v="Size XL"/>
    <x v="69"/>
  </r>
  <r>
    <n v="4804"/>
    <x v="4060"/>
    <x v="768"/>
    <n v="215"/>
    <n v="149"/>
    <s v="Size L"/>
    <x v="69"/>
  </r>
  <r>
    <n v="4805"/>
    <x v="4060"/>
    <x v="768"/>
    <n v="215"/>
    <n v="129"/>
    <s v="Size XL"/>
    <x v="69"/>
  </r>
  <r>
    <n v="4806"/>
    <x v="4061"/>
    <x v="769"/>
    <n v="250"/>
    <n v="199"/>
    <s v="Size S"/>
    <x v="69"/>
  </r>
  <r>
    <n v="4807"/>
    <x v="4061"/>
    <x v="769"/>
    <n v="360"/>
    <n v="249"/>
    <s v="Size M"/>
    <x v="69"/>
  </r>
  <r>
    <n v="4808"/>
    <x v="4061"/>
    <x v="769"/>
    <n v="429"/>
    <n v="299"/>
    <s v="Size L"/>
    <x v="69"/>
  </r>
  <r>
    <n v="4809"/>
    <x v="4062"/>
    <x v="767"/>
    <n v="266"/>
    <n v="212"/>
    <s v="Size S"/>
    <x v="69"/>
  </r>
  <r>
    <n v="4810"/>
    <x v="4062"/>
    <x v="767"/>
    <n v="266"/>
    <n v="212"/>
    <s v="Size M"/>
    <x v="69"/>
  </r>
  <r>
    <n v="4811"/>
    <x v="4062"/>
    <x v="767"/>
    <n v="266"/>
    <n v="212"/>
    <s v="Size L"/>
    <x v="69"/>
  </r>
  <r>
    <n v="4812"/>
    <x v="4062"/>
    <x v="767"/>
    <n v="300"/>
    <n v="240"/>
    <s v="Size XL"/>
    <x v="69"/>
  </r>
  <r>
    <n v="4813"/>
    <x v="4062"/>
    <x v="767"/>
    <n v="300"/>
    <n v="240"/>
    <s v="Size XXL"/>
    <x v="69"/>
  </r>
  <r>
    <n v="4814"/>
    <x v="4063"/>
    <x v="767"/>
    <n v="196"/>
    <n v="157"/>
    <s v="Size M"/>
    <x v="69"/>
  </r>
  <r>
    <n v="4815"/>
    <x v="4063"/>
    <x v="767"/>
    <n v="196"/>
    <n v="156"/>
    <s v="Size L"/>
    <x v="69"/>
  </r>
  <r>
    <n v="4816"/>
    <x v="4063"/>
    <x v="767"/>
    <n v="216"/>
    <n v="173"/>
    <s v="Size XL"/>
    <x v="69"/>
  </r>
  <r>
    <n v="4817"/>
    <x v="4063"/>
    <x v="767"/>
    <n v="216"/>
    <n v="172"/>
    <s v="Size XXL"/>
    <x v="69"/>
  </r>
  <r>
    <n v="4818"/>
    <x v="4064"/>
    <x v="770"/>
    <n v="226"/>
    <n v="181"/>
    <s v="Size S"/>
    <x v="69"/>
  </r>
  <r>
    <n v="4819"/>
    <x v="4064"/>
    <x v="770"/>
    <n v="274"/>
    <n v="219"/>
    <s v="Size M"/>
    <x v="69"/>
  </r>
  <r>
    <n v="4820"/>
    <x v="4064"/>
    <x v="770"/>
    <n v="274"/>
    <n v="219"/>
    <s v="Size L"/>
    <x v="69"/>
  </r>
  <r>
    <n v="4821"/>
    <x v="4064"/>
    <x v="770"/>
    <n v="296"/>
    <n v="236"/>
    <s v="Size XL"/>
    <x v="69"/>
  </r>
  <r>
    <n v="4822"/>
    <x v="4065"/>
    <x v="767"/>
    <n v="190"/>
    <n v="152"/>
    <s v="Size M"/>
    <x v="69"/>
  </r>
  <r>
    <n v="4823"/>
    <x v="4065"/>
    <x v="767"/>
    <n v="190"/>
    <n v="152"/>
    <s v="Size L"/>
    <x v="69"/>
  </r>
  <r>
    <n v="4824"/>
    <x v="4065"/>
    <x v="767"/>
    <n v="210"/>
    <n v="168"/>
    <s v="Size XL"/>
    <x v="69"/>
  </r>
  <r>
    <n v="4825"/>
    <x v="4065"/>
    <x v="767"/>
    <n v="210"/>
    <n v="168"/>
    <s v="Size XXL"/>
    <x v="69"/>
  </r>
  <r>
    <n v="4826"/>
    <x v="4066"/>
    <x v="770"/>
    <n v="202"/>
    <n v="161"/>
    <s v="Size M"/>
    <x v="69"/>
  </r>
  <r>
    <n v="4827"/>
    <x v="4066"/>
    <x v="770"/>
    <n v="202"/>
    <n v="161"/>
    <s v="Size L"/>
    <x v="69"/>
  </r>
  <r>
    <n v="4828"/>
    <x v="4067"/>
    <x v="768"/>
    <n v="375"/>
    <n v="325"/>
    <s v="Size M"/>
    <x v="69"/>
  </r>
  <r>
    <n v="4829"/>
    <x v="4067"/>
    <x v="768"/>
    <n v="375"/>
    <n v="325"/>
    <s v="Size L"/>
    <x v="69"/>
  </r>
  <r>
    <n v="4830"/>
    <x v="4067"/>
    <x v="768"/>
    <n v="499"/>
    <n v="399"/>
    <s v="Size XL"/>
    <x v="69"/>
  </r>
  <r>
    <n v="4831"/>
    <x v="4068"/>
    <x v="768"/>
    <n v="350"/>
    <n v="279"/>
    <s v="Size M"/>
    <x v="69"/>
  </r>
  <r>
    <n v="4832"/>
    <x v="4068"/>
    <x v="768"/>
    <n v="350"/>
    <n v="279"/>
    <s v="Size L"/>
    <x v="69"/>
  </r>
  <r>
    <n v="4833"/>
    <x v="4068"/>
    <x v="768"/>
    <n v="350"/>
    <n v="279"/>
    <s v="Size XL"/>
    <x v="69"/>
  </r>
  <r>
    <n v="4834"/>
    <x v="4069"/>
    <x v="768"/>
    <n v="350"/>
    <n v="279"/>
    <s v="Size S"/>
    <x v="69"/>
  </r>
  <r>
    <n v="4835"/>
    <x v="4069"/>
    <x v="768"/>
    <n v="350"/>
    <n v="279"/>
    <s v="Size M"/>
    <x v="69"/>
  </r>
  <r>
    <n v="4836"/>
    <x v="4069"/>
    <x v="768"/>
    <n v="350"/>
    <n v="279"/>
    <s v="Size L"/>
    <x v="69"/>
  </r>
  <r>
    <n v="4837"/>
    <x v="4069"/>
    <x v="768"/>
    <n v="429"/>
    <n v="299"/>
    <s v="Size XL"/>
    <x v="69"/>
  </r>
  <r>
    <n v="4838"/>
    <x v="4070"/>
    <x v="768"/>
    <n v="169"/>
    <n v="129"/>
    <s v="Pack of 6"/>
    <x v="69"/>
  </r>
  <r>
    <n v="4839"/>
    <x v="4071"/>
    <x v="768"/>
    <n v="169"/>
    <n v="125"/>
    <s v="Pack of 3"/>
    <x v="69"/>
  </r>
  <r>
    <n v="4840"/>
    <x v="4072"/>
    <x v="769"/>
    <n v="249"/>
    <n v="199"/>
    <s v="Pack of 6"/>
    <x v="69"/>
  </r>
  <r>
    <n v="4841"/>
    <x v="4073"/>
    <x v="768"/>
    <n v="225"/>
    <n v="165"/>
    <s v="Pack of 3"/>
    <x v="69"/>
  </r>
  <r>
    <n v="4842"/>
    <x v="4074"/>
    <x v="769"/>
    <n v="275"/>
    <n v="225"/>
    <s v="Pack of 6"/>
    <x v="69"/>
  </r>
  <r>
    <n v="4843"/>
    <x v="4075"/>
    <x v="768"/>
    <n v="199"/>
    <n v="149"/>
    <s v="Pack of 6"/>
    <x v="69"/>
  </r>
  <r>
    <n v="4844"/>
    <x v="4076"/>
    <x v="768"/>
    <n v="169"/>
    <n v="129"/>
    <s v="Pack of 6"/>
    <x v="69"/>
  </r>
  <r>
    <n v="4845"/>
    <x v="4077"/>
    <x v="768"/>
    <n v="169"/>
    <n v="129"/>
    <s v="Pack of 3"/>
    <x v="69"/>
  </r>
  <r>
    <n v="4846"/>
    <x v="4078"/>
    <x v="768"/>
    <n v="169"/>
    <n v="129"/>
    <s v="Pack of 6"/>
    <x v="69"/>
  </r>
  <r>
    <n v="4847"/>
    <x v="4079"/>
    <x v="768"/>
    <n v="169"/>
    <n v="64"/>
    <s v="Pack of 3"/>
    <x v="69"/>
  </r>
  <r>
    <n v="4848"/>
    <x v="4080"/>
    <x v="2"/>
    <n v="180"/>
    <n v="119"/>
    <s v="3 Pcs"/>
    <x v="69"/>
  </r>
  <r>
    <n v="4849"/>
    <x v="4081"/>
    <x v="771"/>
    <n v="499"/>
    <n v="299"/>
    <s v="Size M"/>
    <x v="69"/>
  </r>
  <r>
    <n v="4850"/>
    <x v="4081"/>
    <x v="771"/>
    <n v="499"/>
    <n v="299"/>
    <s v="Size L"/>
    <x v="69"/>
  </r>
  <r>
    <n v="4851"/>
    <x v="4081"/>
    <x v="771"/>
    <n v="499"/>
    <n v="299"/>
    <s v="Size XL"/>
    <x v="69"/>
  </r>
  <r>
    <n v="4852"/>
    <x v="4081"/>
    <x v="771"/>
    <n v="499"/>
    <n v="299"/>
    <s v="Size XXL"/>
    <x v="69"/>
  </r>
  <r>
    <n v="4853"/>
    <x v="4081"/>
    <x v="771"/>
    <n v="499"/>
    <n v="299"/>
    <s v="Size XXXL"/>
    <x v="69"/>
  </r>
  <r>
    <n v="4854"/>
    <x v="4082"/>
    <x v="771"/>
    <n v="499"/>
    <n v="299"/>
    <s v="Size M"/>
    <x v="69"/>
  </r>
  <r>
    <n v="4855"/>
    <x v="4082"/>
    <x v="771"/>
    <n v="499"/>
    <n v="299"/>
    <s v="Size L"/>
    <x v="69"/>
  </r>
  <r>
    <n v="4856"/>
    <x v="4082"/>
    <x v="771"/>
    <n v="499"/>
    <n v="299"/>
    <s v="Size XL"/>
    <x v="69"/>
  </r>
  <r>
    <n v="4857"/>
    <x v="4082"/>
    <x v="771"/>
    <n v="499"/>
    <n v="299"/>
    <s v="Size XXL"/>
    <x v="69"/>
  </r>
  <r>
    <n v="4858"/>
    <x v="4082"/>
    <x v="771"/>
    <n v="499"/>
    <n v="299"/>
    <s v="Size XXXL"/>
    <x v="69"/>
  </r>
  <r>
    <n v="4859"/>
    <x v="4083"/>
    <x v="771"/>
    <n v="499"/>
    <n v="149"/>
    <s v="Size M"/>
    <x v="69"/>
  </r>
  <r>
    <n v="4860"/>
    <x v="4083"/>
    <x v="771"/>
    <n v="499"/>
    <n v="149"/>
    <s v="Size L"/>
    <x v="69"/>
  </r>
  <r>
    <n v="4861"/>
    <x v="4083"/>
    <x v="771"/>
    <n v="499"/>
    <n v="299"/>
    <s v="Size XL"/>
    <x v="69"/>
  </r>
  <r>
    <n v="4862"/>
    <x v="4083"/>
    <x v="771"/>
    <n v="499"/>
    <n v="299"/>
    <s v="Size XXL"/>
    <x v="69"/>
  </r>
  <r>
    <n v="4863"/>
    <x v="4084"/>
    <x v="771"/>
    <n v="499"/>
    <n v="149"/>
    <s v="Size M"/>
    <x v="69"/>
  </r>
  <r>
    <n v="4864"/>
    <x v="4084"/>
    <x v="771"/>
    <n v="499"/>
    <n v="149"/>
    <s v="Size L"/>
    <x v="69"/>
  </r>
  <r>
    <n v="4865"/>
    <x v="4084"/>
    <x v="771"/>
    <n v="499"/>
    <n v="299"/>
    <s v="Size XL"/>
    <x v="69"/>
  </r>
  <r>
    <n v="4866"/>
    <x v="4084"/>
    <x v="771"/>
    <n v="499"/>
    <n v="149"/>
    <s v="Size XXL"/>
    <x v="69"/>
  </r>
  <r>
    <n v="4867"/>
    <x v="4085"/>
    <x v="771"/>
    <n v="499"/>
    <n v="149"/>
    <s v="Size M"/>
    <x v="69"/>
  </r>
  <r>
    <n v="4868"/>
    <x v="4085"/>
    <x v="771"/>
    <n v="499"/>
    <n v="149"/>
    <s v="Size L"/>
    <x v="69"/>
  </r>
  <r>
    <n v="4869"/>
    <x v="4085"/>
    <x v="771"/>
    <n v="499"/>
    <n v="149"/>
    <s v="Size XL"/>
    <x v="69"/>
  </r>
  <r>
    <n v="4870"/>
    <x v="4085"/>
    <x v="771"/>
    <n v="499"/>
    <n v="149"/>
    <s v="Size XXL"/>
    <x v="69"/>
  </r>
  <r>
    <n v="4871"/>
    <x v="4085"/>
    <x v="771"/>
    <n v="499"/>
    <n v="149"/>
    <s v="Size XXXL"/>
    <x v="69"/>
  </r>
  <r>
    <n v="4872"/>
    <x v="4086"/>
    <x v="772"/>
    <n v="475"/>
    <n v="399"/>
    <s v="Size S"/>
    <x v="69"/>
  </r>
  <r>
    <n v="4873"/>
    <x v="4086"/>
    <x v="772"/>
    <n v="475"/>
    <n v="399"/>
    <s v="Size M"/>
    <x v="69"/>
  </r>
  <r>
    <n v="4874"/>
    <x v="4086"/>
    <x v="772"/>
    <n v="475"/>
    <n v="399"/>
    <s v="Size L"/>
    <x v="69"/>
  </r>
  <r>
    <n v="4875"/>
    <x v="4087"/>
    <x v="772"/>
    <n v="475"/>
    <n v="399"/>
    <s v="Size M"/>
    <x v="69"/>
  </r>
  <r>
    <n v="4876"/>
    <x v="4087"/>
    <x v="772"/>
    <n v="475"/>
    <n v="399"/>
    <s v="Size S"/>
    <x v="69"/>
  </r>
  <r>
    <n v="4877"/>
    <x v="4087"/>
    <x v="772"/>
    <n v="475"/>
    <n v="399"/>
    <s v="Size L"/>
    <x v="69"/>
  </r>
  <r>
    <n v="4878"/>
    <x v="4088"/>
    <x v="772"/>
    <n v="475"/>
    <n v="399"/>
    <s v="Size L"/>
    <x v="69"/>
  </r>
  <r>
    <n v="4879"/>
    <x v="4089"/>
    <x v="772"/>
    <n v="475"/>
    <n v="399"/>
    <s v="Size L"/>
    <x v="69"/>
  </r>
  <r>
    <n v="4880"/>
    <x v="4090"/>
    <x v="772"/>
    <n v="475"/>
    <n v="399"/>
    <s v="Size M"/>
    <x v="69"/>
  </r>
  <r>
    <n v="4881"/>
    <x v="4090"/>
    <x v="772"/>
    <n v="475"/>
    <n v="399"/>
    <s v="Size L"/>
    <x v="69"/>
  </r>
  <r>
    <n v="4882"/>
    <x v="4090"/>
    <x v="772"/>
    <n v="475"/>
    <n v="399"/>
    <s v="Size S"/>
    <x v="69"/>
  </r>
  <r>
    <n v="4883"/>
    <x v="4091"/>
    <x v="772"/>
    <n v="599"/>
    <n v="249"/>
    <s v="Size S"/>
    <x v="69"/>
  </r>
  <r>
    <n v="4884"/>
    <x v="4092"/>
    <x v="772"/>
    <n v="599"/>
    <n v="249"/>
    <s v="Size S"/>
    <x v="69"/>
  </r>
  <r>
    <n v="4885"/>
    <x v="4092"/>
    <x v="772"/>
    <n v="599"/>
    <n v="249"/>
    <s v="Size M"/>
    <x v="69"/>
  </r>
  <r>
    <n v="4886"/>
    <x v="4093"/>
    <x v="772"/>
    <n v="599"/>
    <n v="249"/>
    <s v="Size S"/>
    <x v="69"/>
  </r>
  <r>
    <n v="4887"/>
    <x v="4094"/>
    <x v="772"/>
    <n v="599"/>
    <n v="249"/>
    <s v="Size S"/>
    <x v="69"/>
  </r>
  <r>
    <n v="4888"/>
    <x v="4095"/>
    <x v="773"/>
    <n v="450"/>
    <n v="299"/>
    <s v="XL (95 cm)"/>
    <x v="69"/>
  </r>
  <r>
    <n v="4889"/>
    <x v="4095"/>
    <x v="773"/>
    <n v="450"/>
    <n v="299"/>
    <s v="M (85 cm)"/>
    <x v="69"/>
  </r>
  <r>
    <n v="4890"/>
    <x v="4095"/>
    <x v="773"/>
    <n v="500"/>
    <n v="325"/>
    <s v="XXXL (105 cm)"/>
    <x v="69"/>
  </r>
  <r>
    <n v="4891"/>
    <x v="4096"/>
    <x v="773"/>
    <n v="500"/>
    <n v="325"/>
    <s v="XXXL (105 cm)"/>
    <x v="69"/>
  </r>
  <r>
    <n v="4892"/>
    <x v="4096"/>
    <x v="773"/>
    <n v="450"/>
    <n v="299"/>
    <s v="XL (95 cm)"/>
    <x v="69"/>
  </r>
  <r>
    <n v="4893"/>
    <x v="4096"/>
    <x v="773"/>
    <n v="475"/>
    <n v="299"/>
    <s v="XXL (100 cm)"/>
    <x v="69"/>
  </r>
  <r>
    <n v="4894"/>
    <x v="3949"/>
    <x v="754"/>
    <n v="500"/>
    <n v="440"/>
    <s v="355 ml"/>
    <x v="31"/>
  </r>
  <r>
    <n v="4895"/>
    <x v="4097"/>
    <x v="774"/>
    <n v="2499"/>
    <n v="1199"/>
    <s v="1 U"/>
    <x v="70"/>
  </r>
  <r>
    <n v="4896"/>
    <x v="4098"/>
    <x v="774"/>
    <n v="2699"/>
    <n v="1599"/>
    <s v="1 Unit"/>
    <x v="70"/>
  </r>
  <r>
    <n v="4897"/>
    <x v="4099"/>
    <x v="775"/>
    <n v="999"/>
    <n v="699"/>
    <s v="1 U"/>
    <x v="71"/>
  </r>
  <r>
    <n v="4898"/>
    <x v="4100"/>
    <x v="776"/>
    <n v="2590"/>
    <n v="1295"/>
    <s v="1 U"/>
    <x v="70"/>
  </r>
  <r>
    <n v="4899"/>
    <x v="4101"/>
    <x v="777"/>
    <n v="2150"/>
    <n v="799"/>
    <s v="1 U"/>
    <x v="71"/>
  </r>
  <r>
    <n v="4900"/>
    <x v="4102"/>
    <x v="778"/>
    <n v="1998"/>
    <n v="999"/>
    <s v="1 U"/>
    <x v="71"/>
  </r>
  <r>
    <n v="4901"/>
    <x v="4103"/>
    <x v="778"/>
    <n v="1998"/>
    <n v="999"/>
    <s v="1 U"/>
    <x v="71"/>
  </r>
  <r>
    <n v="4902"/>
    <x v="4104"/>
    <x v="779"/>
    <n v="2110"/>
    <n v="699"/>
    <s v="1 U"/>
    <x v="71"/>
  </r>
  <r>
    <n v="4903"/>
    <x v="4105"/>
    <x v="779"/>
    <n v="3500"/>
    <n v="1299"/>
    <s v="1 U"/>
    <x v="71"/>
  </r>
  <r>
    <n v="4904"/>
    <x v="4106"/>
    <x v="779"/>
    <n v="2900"/>
    <n v="1069"/>
    <s v="1 U"/>
    <x v="71"/>
  </r>
  <r>
    <n v="4905"/>
    <x v="4107"/>
    <x v="779"/>
    <n v="2900"/>
    <n v="1069"/>
    <s v="1 U"/>
    <x v="71"/>
  </r>
  <r>
    <n v="4906"/>
    <x v="4108"/>
    <x v="774"/>
    <n v="1699"/>
    <n v="999"/>
    <s v="1 U"/>
    <x v="71"/>
  </r>
  <r>
    <n v="4907"/>
    <x v="4109"/>
    <x v="774"/>
    <n v="1699"/>
    <n v="999"/>
    <s v="1 U"/>
    <x v="71"/>
  </r>
  <r>
    <n v="4908"/>
    <x v="4110"/>
    <x v="774"/>
    <n v="1699"/>
    <n v="999"/>
    <s v="1 U"/>
    <x v="71"/>
  </r>
  <r>
    <n v="4909"/>
    <x v="4111"/>
    <x v="774"/>
    <n v="2198"/>
    <n v="1099"/>
    <s v="1 U"/>
    <x v="71"/>
  </r>
  <r>
    <n v="4910"/>
    <x v="4112"/>
    <x v="774"/>
    <n v="2599"/>
    <n v="1299"/>
    <s v="1 U"/>
    <x v="71"/>
  </r>
  <r>
    <n v="4911"/>
    <x v="4113"/>
    <x v="2"/>
    <n v="425"/>
    <n v="60"/>
    <s v="Pack of 5"/>
    <x v="31"/>
  </r>
  <r>
    <n v="4912"/>
    <x v="4114"/>
    <x v="774"/>
    <n v="175"/>
    <n v="75"/>
    <s v="1 U"/>
    <x v="31"/>
  </r>
  <r>
    <n v="4913"/>
    <x v="4115"/>
    <x v="2"/>
    <n v="49"/>
    <n v="20"/>
    <s v="Pack of 5"/>
    <x v="31"/>
  </r>
  <r>
    <n v="4914"/>
    <x v="4116"/>
    <x v="780"/>
    <n v="99"/>
    <n v="59"/>
    <s v="Pack Of 3"/>
    <x v="31"/>
  </r>
  <r>
    <n v="4915"/>
    <x v="4117"/>
    <x v="780"/>
    <n v="99"/>
    <n v="59"/>
    <s v="Pack Of 3"/>
    <x v="31"/>
  </r>
  <r>
    <n v="4916"/>
    <x v="4115"/>
    <x v="2"/>
    <n v="50"/>
    <n v="20"/>
    <s v="Pack of 5"/>
    <x v="31"/>
  </r>
  <r>
    <n v="4917"/>
    <x v="4118"/>
    <x v="775"/>
    <n v="149"/>
    <n v="99"/>
    <s v="Pack of 3"/>
    <x v="31"/>
  </r>
  <r>
    <n v="4918"/>
    <x v="4119"/>
    <x v="597"/>
    <n v="459"/>
    <n v="149"/>
    <s v="1 U"/>
    <x v="53"/>
  </r>
  <r>
    <n v="4919"/>
    <x v="4120"/>
    <x v="597"/>
    <n v="1299"/>
    <n v="649"/>
    <s v="1 U"/>
    <x v="53"/>
  </r>
  <r>
    <n v="4920"/>
    <x v="4121"/>
    <x v="781"/>
    <n v="2990"/>
    <n v="1199"/>
    <s v="1 Unit"/>
    <x v="31"/>
  </r>
  <r>
    <n v="4921"/>
    <x v="4122"/>
    <x v="760"/>
    <n v="299"/>
    <n v="149"/>
    <s v="1 Unit"/>
    <x v="31"/>
  </r>
  <r>
    <n v="4922"/>
    <x v="4123"/>
    <x v="597"/>
    <n v="899"/>
    <n v="499"/>
    <s v="3 W"/>
    <x v="53"/>
  </r>
  <r>
    <n v="4923"/>
    <x v="4124"/>
    <x v="781"/>
    <n v="2990"/>
    <n v="1299"/>
    <s v="1 Unit"/>
    <x v="31"/>
  </r>
  <r>
    <n v="4924"/>
    <x v="4125"/>
    <x v="598"/>
    <n v="2999"/>
    <n v="999"/>
    <s v="1 U"/>
    <x v="31"/>
  </r>
  <r>
    <n v="4925"/>
    <x v="4126"/>
    <x v="781"/>
    <n v="2490"/>
    <n v="799"/>
    <s v="1 Unit"/>
    <x v="31"/>
  </r>
  <r>
    <n v="4926"/>
    <x v="4127"/>
    <x v="760"/>
    <n v="2499"/>
    <n v="999"/>
    <s v="1 U"/>
    <x v="31"/>
  </r>
  <r>
    <n v="4927"/>
    <x v="4128"/>
    <x v="597"/>
    <n v="2849"/>
    <n v="1449"/>
    <s v="1 U"/>
    <x v="31"/>
  </r>
  <r>
    <n v="4928"/>
    <x v="4129"/>
    <x v="760"/>
    <n v="1499"/>
    <n v="599"/>
    <s v="1 U"/>
    <x v="31"/>
  </r>
  <r>
    <n v="4929"/>
    <x v="4130"/>
    <x v="597"/>
    <n v="999"/>
    <n v="499"/>
    <s v="1 U"/>
    <x v="53"/>
  </r>
  <r>
    <n v="4930"/>
    <x v="4131"/>
    <x v="760"/>
    <n v="1499"/>
    <n v="499"/>
    <s v="1 U"/>
    <x v="31"/>
  </r>
  <r>
    <n v="4931"/>
    <x v="4132"/>
    <x v="760"/>
    <n v="1999"/>
    <n v="599"/>
    <s v="1 Unit"/>
    <x v="31"/>
  </r>
  <r>
    <n v="4932"/>
    <x v="4133"/>
    <x v="781"/>
    <n v="3990"/>
    <n v="1399"/>
    <s v="1 Unit"/>
    <x v="31"/>
  </r>
  <r>
    <n v="4933"/>
    <x v="4134"/>
    <x v="597"/>
    <n v="1199"/>
    <n v="599"/>
    <s v="1 U"/>
    <x v="31"/>
  </r>
  <r>
    <n v="4934"/>
    <x v="4135"/>
    <x v="597"/>
    <n v="2499"/>
    <n v="1399"/>
    <s v="1 Unit"/>
    <x v="31"/>
  </r>
  <r>
    <n v="4935"/>
    <x v="4136"/>
    <x v="2"/>
    <n v="2999"/>
    <n v="899"/>
    <s v="1 Unit"/>
    <x v="31"/>
  </r>
  <r>
    <n v="4936"/>
    <x v="4137"/>
    <x v="781"/>
    <n v="4990"/>
    <n v="1999"/>
    <s v="1 Unit"/>
    <x v="31"/>
  </r>
  <r>
    <n v="4937"/>
    <x v="4138"/>
    <x v="782"/>
    <n v="3499"/>
    <n v="2199"/>
    <s v="1 Unit"/>
    <x v="31"/>
  </r>
  <r>
    <n v="4938"/>
    <x v="4139"/>
    <x v="760"/>
    <n v="1799"/>
    <n v="999"/>
    <s v="1 U"/>
    <x v="31"/>
  </r>
  <r>
    <n v="4939"/>
    <x v="4140"/>
    <x v="597"/>
    <n v="399"/>
    <n v="299"/>
    <s v="1 U"/>
    <x v="31"/>
  </r>
  <r>
    <n v="4940"/>
    <x v="4141"/>
    <x v="781"/>
    <n v="2990"/>
    <n v="1499"/>
    <s v="1 Unit"/>
    <x v="31"/>
  </r>
  <r>
    <n v="4941"/>
    <x v="4142"/>
    <x v="597"/>
    <n v="2699"/>
    <n v="1099"/>
    <s v="1 U"/>
    <x v="31"/>
  </r>
  <r>
    <n v="4942"/>
    <x v="4143"/>
    <x v="782"/>
    <n v="1899"/>
    <n v="1199"/>
    <s v="1 U"/>
    <x v="31"/>
  </r>
  <r>
    <n v="4943"/>
    <x v="4144"/>
    <x v="594"/>
    <n v="2499"/>
    <n v="1199"/>
    <s v="1 U"/>
    <x v="31"/>
  </r>
  <r>
    <n v="4944"/>
    <x v="4145"/>
    <x v="782"/>
    <n v="1999"/>
    <n v="999"/>
    <s v="1 Unit"/>
    <x v="31"/>
  </r>
  <r>
    <n v="4945"/>
    <x v="4146"/>
    <x v="781"/>
    <n v="2490"/>
    <n v="799"/>
    <s v="1 Unit"/>
    <x v="31"/>
  </r>
  <r>
    <n v="4946"/>
    <x v="4147"/>
    <x v="760"/>
    <n v="2999"/>
    <n v="1699"/>
    <s v="1 U"/>
    <x v="31"/>
  </r>
  <r>
    <n v="4947"/>
    <x v="4148"/>
    <x v="783"/>
    <n v="350"/>
    <n v="199"/>
    <s v="1 U"/>
    <x v="31"/>
  </r>
  <r>
    <n v="4948"/>
    <x v="4149"/>
    <x v="594"/>
    <n v="2999"/>
    <n v="1899"/>
    <s v="1 U"/>
    <x v="31"/>
  </r>
  <r>
    <n v="4949"/>
    <x v="4150"/>
    <x v="598"/>
    <n v="2999"/>
    <n v="1499"/>
    <s v="1 U"/>
    <x v="31"/>
  </r>
  <r>
    <n v="4950"/>
    <x v="4151"/>
    <x v="263"/>
    <n v="615"/>
    <n v="555"/>
    <s v="1 U"/>
    <x v="31"/>
  </r>
  <r>
    <n v="4951"/>
    <x v="4152"/>
    <x v="263"/>
    <n v="660"/>
    <n v="599"/>
    <s v="1 U"/>
    <x v="31"/>
  </r>
  <r>
    <n v="4952"/>
    <x v="4153"/>
    <x v="263"/>
    <n v="650"/>
    <n v="585"/>
    <s v="1 U"/>
    <x v="31"/>
  </r>
  <r>
    <n v="4953"/>
    <x v="4154"/>
    <x v="263"/>
    <n v="635"/>
    <n v="575"/>
    <s v="1 U"/>
    <x v="31"/>
  </r>
  <r>
    <n v="4954"/>
    <x v="4155"/>
    <x v="263"/>
    <n v="720"/>
    <n v="649"/>
    <s v="1 U"/>
    <x v="31"/>
  </r>
  <r>
    <n v="4955"/>
    <x v="4156"/>
    <x v="784"/>
    <n v="350"/>
    <n v="299"/>
    <s v="1 U"/>
    <x v="31"/>
  </r>
  <r>
    <n v="4956"/>
    <x v="4157"/>
    <x v="263"/>
    <n v="720"/>
    <n v="649"/>
    <s v="1 U"/>
    <x v="31"/>
  </r>
  <r>
    <n v="4957"/>
    <x v="4158"/>
    <x v="263"/>
    <n v="645"/>
    <n v="575"/>
    <s v="1 U"/>
    <x v="31"/>
  </r>
  <r>
    <n v="4958"/>
    <x v="4159"/>
    <x v="263"/>
    <n v="645"/>
    <n v="575"/>
    <s v="1 U"/>
    <x v="31"/>
  </r>
  <r>
    <n v="4959"/>
    <x v="4160"/>
    <x v="263"/>
    <n v="645"/>
    <n v="575"/>
    <s v="1 U"/>
    <x v="31"/>
  </r>
  <r>
    <n v="4960"/>
    <x v="4161"/>
    <x v="263"/>
    <n v="645"/>
    <n v="575"/>
    <s v="1 U"/>
    <x v="31"/>
  </r>
  <r>
    <n v="4961"/>
    <x v="4162"/>
    <x v="263"/>
    <n v="645"/>
    <n v="575"/>
    <s v="1 U"/>
    <x v="31"/>
  </r>
  <r>
    <n v="4962"/>
    <x v="4163"/>
    <x v="263"/>
    <n v="645"/>
    <n v="575"/>
    <s v="1 U"/>
    <x v="31"/>
  </r>
  <r>
    <n v="4963"/>
    <x v="4164"/>
    <x v="784"/>
    <n v="350"/>
    <n v="299"/>
    <s v="1 U"/>
    <x v="31"/>
  </r>
  <r>
    <n v="4964"/>
    <x v="4165"/>
    <x v="2"/>
    <n v="650"/>
    <n v="529"/>
    <s v="1 U"/>
    <x v="31"/>
  </r>
  <r>
    <n v="4965"/>
    <x v="4166"/>
    <x v="524"/>
    <n v="1200"/>
    <n v="699"/>
    <s v="1 U"/>
    <x v="31"/>
  </r>
  <r>
    <n v="4966"/>
    <x v="4167"/>
    <x v="594"/>
    <n v="1299"/>
    <n v="399"/>
    <s v="1 U"/>
    <x v="31"/>
  </r>
  <r>
    <n v="4967"/>
    <x v="4168"/>
    <x v="594"/>
    <n v="2999"/>
    <n v="799"/>
    <s v="1 U"/>
    <x v="31"/>
  </r>
  <r>
    <n v="4968"/>
    <x v="4169"/>
    <x v="597"/>
    <n v="299"/>
    <n v="149"/>
    <s v="1 U"/>
    <x v="72"/>
  </r>
  <r>
    <n v="4969"/>
    <x v="4170"/>
    <x v="597"/>
    <n v="399"/>
    <n v="299"/>
    <s v="1 U"/>
    <x v="72"/>
  </r>
  <r>
    <n v="4970"/>
    <x v="4171"/>
    <x v="2"/>
    <n v="80"/>
    <n v="69"/>
    <s v="1 U"/>
    <x v="73"/>
  </r>
  <r>
    <n v="4971"/>
    <x v="4172"/>
    <x v="2"/>
    <n v="60"/>
    <n v="49"/>
    <s v="1 Unit"/>
    <x v="73"/>
  </r>
  <r>
    <n v="4972"/>
    <x v="4173"/>
    <x v="2"/>
    <n v="17"/>
    <n v="15"/>
    <s v="1 Unit"/>
    <x v="73"/>
  </r>
  <r>
    <n v="4973"/>
    <x v="4174"/>
    <x v="2"/>
    <n v="130"/>
    <n v="79"/>
    <s v="1 Unit"/>
    <x v="73"/>
  </r>
  <r>
    <n v="4974"/>
    <x v="4175"/>
    <x v="2"/>
    <n v="120"/>
    <n v="99"/>
    <s v="1 Unit"/>
    <x v="73"/>
  </r>
  <r>
    <n v="4975"/>
    <x v="4176"/>
    <x v="2"/>
    <n v="50"/>
    <n v="39"/>
    <s v="1 Unit"/>
    <x v="73"/>
  </r>
  <r>
    <n v="4976"/>
    <x v="4177"/>
    <x v="2"/>
    <n v="17"/>
    <n v="15"/>
    <s v="1 Unit"/>
    <x v="73"/>
  </r>
  <r>
    <n v="4977"/>
    <x v="4178"/>
    <x v="2"/>
    <n v="12"/>
    <n v="10"/>
    <s v="1 Unit"/>
    <x v="73"/>
  </r>
  <r>
    <n v="4978"/>
    <x v="4179"/>
    <x v="2"/>
    <n v="130"/>
    <n v="79"/>
    <s v="1 U"/>
    <x v="73"/>
  </r>
  <r>
    <n v="4979"/>
    <x v="4180"/>
    <x v="2"/>
    <n v="130"/>
    <n v="79"/>
    <s v="1 U"/>
    <x v="73"/>
  </r>
  <r>
    <n v="4980"/>
    <x v="4181"/>
    <x v="2"/>
    <n v="150"/>
    <n v="99"/>
    <s v="1 U"/>
    <x v="73"/>
  </r>
  <r>
    <n v="4981"/>
    <x v="4182"/>
    <x v="2"/>
    <n v="80"/>
    <n v="69"/>
    <s v="1 U"/>
    <x v="73"/>
  </r>
  <r>
    <n v="4982"/>
    <x v="4183"/>
    <x v="2"/>
    <n v="150"/>
    <n v="89"/>
    <s v="1 U"/>
    <x v="73"/>
  </r>
  <r>
    <n v="4983"/>
    <x v="4184"/>
    <x v="2"/>
    <n v="150"/>
    <n v="89"/>
    <s v="1 U"/>
    <x v="73"/>
  </r>
  <r>
    <n v="4984"/>
    <x v="4185"/>
    <x v="2"/>
    <n v="150"/>
    <n v="99"/>
    <s v="1 U"/>
    <x v="73"/>
  </r>
  <r>
    <n v="4985"/>
    <x v="4186"/>
    <x v="2"/>
    <n v="80"/>
    <n v="69"/>
    <s v="1 U"/>
    <x v="73"/>
  </r>
  <r>
    <n v="4986"/>
    <x v="4187"/>
    <x v="2"/>
    <n v="130"/>
    <n v="79"/>
    <s v="1 U"/>
    <x v="73"/>
  </r>
  <r>
    <n v="4987"/>
    <x v="4188"/>
    <x v="2"/>
    <n v="150"/>
    <n v="99"/>
    <s v="1 U"/>
    <x v="73"/>
  </r>
  <r>
    <n v="4988"/>
    <x v="4189"/>
    <x v="2"/>
    <n v="150"/>
    <n v="89"/>
    <s v="1 U"/>
    <x v="73"/>
  </r>
  <r>
    <n v="4989"/>
    <x v="4190"/>
    <x v="2"/>
    <n v="150"/>
    <n v="89"/>
    <s v="1 U"/>
    <x v="73"/>
  </r>
  <r>
    <n v="4990"/>
    <x v="4191"/>
    <x v="2"/>
    <n v="200"/>
    <n v="99"/>
    <s v="1 U"/>
    <x v="73"/>
  </r>
  <r>
    <n v="4991"/>
    <x v="4192"/>
    <x v="2"/>
    <n v="200"/>
    <n v="99"/>
    <s v="1 U"/>
    <x v="73"/>
  </r>
  <r>
    <n v="4992"/>
    <x v="4193"/>
    <x v="2"/>
    <n v="200"/>
    <n v="99"/>
    <s v="1 U"/>
    <x v="73"/>
  </r>
  <r>
    <n v="4993"/>
    <x v="4194"/>
    <x v="785"/>
    <n v="1075"/>
    <n v="959"/>
    <s v="Size L"/>
    <x v="74"/>
  </r>
  <r>
    <n v="4994"/>
    <x v="4195"/>
    <x v="686"/>
    <n v="998"/>
    <n v="799"/>
    <s v="1 U"/>
    <x v="74"/>
  </r>
  <r>
    <n v="4995"/>
    <x v="4196"/>
    <x v="785"/>
    <n v="1075"/>
    <n v="959"/>
    <s v="Size L"/>
    <x v="74"/>
  </r>
  <r>
    <n v="4996"/>
    <x v="4197"/>
    <x v="686"/>
    <n v="1295"/>
    <n v="1036"/>
    <s v="1 U"/>
    <x v="74"/>
  </r>
  <r>
    <n v="4997"/>
    <x v="4198"/>
    <x v="447"/>
    <n v="99"/>
    <n v="92"/>
    <s v="200 ml"/>
    <x v="60"/>
  </r>
  <r>
    <n v="4998"/>
    <x v="4199"/>
    <x v="447"/>
    <n v="42"/>
    <n v="39"/>
    <s v="175 ml"/>
    <x v="60"/>
  </r>
  <r>
    <n v="4999"/>
    <x v="4200"/>
    <x v="2"/>
    <n v="210"/>
    <n v="149"/>
    <s v="1 U"/>
    <x v="48"/>
  </r>
  <r>
    <n v="5000"/>
    <x v="4201"/>
    <x v="2"/>
    <n v="210"/>
    <n v="149"/>
    <s v="1 U"/>
    <x v="48"/>
  </r>
  <r>
    <n v="5001"/>
    <x v="4202"/>
    <x v="2"/>
    <n v="210"/>
    <n v="149"/>
    <s v="1 U"/>
    <x v="48"/>
  </r>
  <r>
    <n v="5002"/>
    <x v="4203"/>
    <x v="2"/>
    <n v="210"/>
    <n v="149"/>
    <s v="1 U"/>
    <x v="48"/>
  </r>
  <r>
    <n v="5003"/>
    <x v="4204"/>
    <x v="2"/>
    <n v="210"/>
    <n v="149"/>
    <s v="1 U"/>
    <x v="48"/>
  </r>
  <r>
    <n v="5004"/>
    <x v="4205"/>
    <x v="2"/>
    <n v="250"/>
    <n v="225"/>
    <s v="1 U"/>
    <x v="48"/>
  </r>
  <r>
    <n v="5005"/>
    <x v="4206"/>
    <x v="2"/>
    <n v="250"/>
    <n v="225"/>
    <s v="1 U"/>
    <x v="48"/>
  </r>
  <r>
    <n v="5006"/>
    <x v="4207"/>
    <x v="2"/>
    <n v="250"/>
    <n v="225"/>
    <s v="1 U"/>
    <x v="48"/>
  </r>
  <r>
    <n v="5007"/>
    <x v="4208"/>
    <x v="2"/>
    <n v="250"/>
    <n v="225"/>
    <s v="1 U"/>
    <x v="48"/>
  </r>
  <r>
    <n v="5008"/>
    <x v="4209"/>
    <x v="2"/>
    <n v="235"/>
    <n v="169"/>
    <s v="1 U"/>
    <x v="48"/>
  </r>
  <r>
    <n v="5009"/>
    <x v="4210"/>
    <x v="2"/>
    <n v="235"/>
    <n v="169"/>
    <s v="1 U"/>
    <x v="48"/>
  </r>
  <r>
    <n v="5010"/>
    <x v="4211"/>
    <x v="2"/>
    <n v="150"/>
    <n v="99"/>
    <s v="1 U"/>
    <x v="48"/>
  </r>
  <r>
    <n v="5011"/>
    <x v="4212"/>
    <x v="2"/>
    <n v="89"/>
    <n v="69"/>
    <s v="1 U"/>
    <x v="48"/>
  </r>
  <r>
    <n v="5012"/>
    <x v="4213"/>
    <x v="2"/>
    <n v="90"/>
    <n v="69"/>
    <s v="1 U"/>
    <x v="48"/>
  </r>
  <r>
    <n v="5013"/>
    <x v="4214"/>
    <x v="2"/>
    <n v="100"/>
    <n v="79"/>
    <s v="1 U"/>
    <x v="48"/>
  </r>
  <r>
    <n v="5014"/>
    <x v="4215"/>
    <x v="2"/>
    <n v="2000"/>
    <n v="1799"/>
    <s v="1 U"/>
    <x v="31"/>
  </r>
  <r>
    <n v="5015"/>
    <x v="4216"/>
    <x v="594"/>
    <n v="5999"/>
    <n v="2499"/>
    <s v="1 U"/>
    <x v="75"/>
  </r>
  <r>
    <n v="5016"/>
    <x v="4217"/>
    <x v="786"/>
    <n v="499"/>
    <n v="449"/>
    <s v="Size XL"/>
    <x v="76"/>
  </r>
  <r>
    <n v="5017"/>
    <x v="4217"/>
    <x v="786"/>
    <n v="499"/>
    <n v="449"/>
    <s v="Size XXL"/>
    <x v="76"/>
  </r>
  <r>
    <n v="5018"/>
    <x v="4218"/>
    <x v="786"/>
    <n v="499"/>
    <n v="449"/>
    <s v="Size XL"/>
    <x v="76"/>
  </r>
  <r>
    <n v="5019"/>
    <x v="4218"/>
    <x v="786"/>
    <n v="499"/>
    <n v="449"/>
    <s v="Size XXL"/>
    <x v="76"/>
  </r>
  <r>
    <n v="5020"/>
    <x v="4219"/>
    <x v="786"/>
    <n v="499"/>
    <n v="449"/>
    <s v="Size XL"/>
    <x v="76"/>
  </r>
  <r>
    <n v="5021"/>
    <x v="4219"/>
    <x v="786"/>
    <n v="499"/>
    <n v="449"/>
    <s v="Size XXL"/>
    <x v="76"/>
  </r>
  <r>
    <n v="5022"/>
    <x v="4220"/>
    <x v="786"/>
    <n v="499"/>
    <n v="449"/>
    <s v="Size L"/>
    <x v="76"/>
  </r>
  <r>
    <n v="5023"/>
    <x v="4220"/>
    <x v="786"/>
    <n v="499"/>
    <n v="449"/>
    <s v="Size XL"/>
    <x v="76"/>
  </r>
  <r>
    <n v="5024"/>
    <x v="4220"/>
    <x v="786"/>
    <n v="499"/>
    <n v="449"/>
    <s v="Size XXL"/>
    <x v="76"/>
  </r>
  <r>
    <n v="5025"/>
    <x v="4221"/>
    <x v="786"/>
    <n v="499"/>
    <n v="449"/>
    <s v="Size L"/>
    <x v="76"/>
  </r>
  <r>
    <n v="5026"/>
    <x v="4221"/>
    <x v="786"/>
    <n v="499"/>
    <n v="449"/>
    <s v="Size XL"/>
    <x v="76"/>
  </r>
  <r>
    <n v="5027"/>
    <x v="4221"/>
    <x v="786"/>
    <n v="499"/>
    <n v="449"/>
    <s v="Size XXL"/>
    <x v="76"/>
  </r>
  <r>
    <n v="5028"/>
    <x v="4222"/>
    <x v="786"/>
    <n v="499"/>
    <n v="449"/>
    <s v="Size L"/>
    <x v="76"/>
  </r>
  <r>
    <n v="5029"/>
    <x v="4222"/>
    <x v="786"/>
    <n v="499"/>
    <n v="449"/>
    <s v="Size XL"/>
    <x v="76"/>
  </r>
  <r>
    <n v="5030"/>
    <x v="4222"/>
    <x v="786"/>
    <n v="499"/>
    <n v="449"/>
    <s v="Size XXL"/>
    <x v="76"/>
  </r>
  <r>
    <n v="5031"/>
    <x v="4223"/>
    <x v="786"/>
    <n v="1450"/>
    <n v="1199"/>
    <s v="Size XL"/>
    <x v="76"/>
  </r>
  <r>
    <n v="5032"/>
    <x v="4223"/>
    <x v="786"/>
    <n v="1450"/>
    <n v="1199"/>
    <s v="Size XXL"/>
    <x v="76"/>
  </r>
  <r>
    <n v="5033"/>
    <x v="4224"/>
    <x v="786"/>
    <n v="1450"/>
    <n v="1199"/>
    <s v="Size XXL"/>
    <x v="76"/>
  </r>
  <r>
    <n v="5034"/>
    <x v="4225"/>
    <x v="786"/>
    <n v="1500"/>
    <n v="1299"/>
    <s v="Size XL"/>
    <x v="76"/>
  </r>
  <r>
    <n v="5035"/>
    <x v="4225"/>
    <x v="786"/>
    <n v="1500"/>
    <n v="1299"/>
    <s v="Size XXL"/>
    <x v="76"/>
  </r>
  <r>
    <n v="5036"/>
    <x v="4226"/>
    <x v="786"/>
    <n v="1500"/>
    <n v="1299"/>
    <s v="Size XL"/>
    <x v="76"/>
  </r>
  <r>
    <n v="5037"/>
    <x v="4226"/>
    <x v="786"/>
    <n v="1500"/>
    <n v="1299"/>
    <s v="Size XXL"/>
    <x v="76"/>
  </r>
  <r>
    <n v="5038"/>
    <x v="4227"/>
    <x v="786"/>
    <n v="1700"/>
    <n v="1499"/>
    <s v="Size XL"/>
    <x v="76"/>
  </r>
  <r>
    <n v="5039"/>
    <x v="4228"/>
    <x v="786"/>
    <n v="1700"/>
    <n v="1499"/>
    <s v="Size XL"/>
    <x v="76"/>
  </r>
  <r>
    <n v="5040"/>
    <x v="4228"/>
    <x v="786"/>
    <n v="1700"/>
    <n v="1499"/>
    <s v="Size XXL"/>
    <x v="76"/>
  </r>
  <r>
    <n v="5041"/>
    <x v="4229"/>
    <x v="786"/>
    <n v="1700"/>
    <n v="1499"/>
    <s v="Size XL"/>
    <x v="76"/>
  </r>
  <r>
    <n v="5042"/>
    <x v="4229"/>
    <x v="786"/>
    <n v="1700"/>
    <n v="1499"/>
    <s v="Size XXL"/>
    <x v="76"/>
  </r>
  <r>
    <n v="5043"/>
    <x v="4230"/>
    <x v="786"/>
    <n v="550"/>
    <n v="479"/>
    <s v="Size L"/>
    <x v="76"/>
  </r>
  <r>
    <n v="5044"/>
    <x v="4230"/>
    <x v="786"/>
    <n v="550"/>
    <n v="479"/>
    <s v="Size XL"/>
    <x v="76"/>
  </r>
  <r>
    <n v="5045"/>
    <x v="4231"/>
    <x v="786"/>
    <n v="550"/>
    <n v="479"/>
    <s v="Size L"/>
    <x v="76"/>
  </r>
  <r>
    <n v="5046"/>
    <x v="4231"/>
    <x v="786"/>
    <n v="550"/>
    <n v="479"/>
    <s v="Size XL"/>
    <x v="76"/>
  </r>
  <r>
    <n v="5047"/>
    <x v="4232"/>
    <x v="786"/>
    <n v="1199"/>
    <n v="1049"/>
    <s v="Size XL"/>
    <x v="76"/>
  </r>
  <r>
    <n v="5048"/>
    <x v="4232"/>
    <x v="786"/>
    <n v="1199"/>
    <n v="1049"/>
    <s v=""/>
    <x v="76"/>
  </r>
  <r>
    <n v="5049"/>
    <x v="4233"/>
    <x v="2"/>
    <n v="350"/>
    <n v="260"/>
    <s v="5 kg"/>
    <x v="15"/>
  </r>
  <r>
    <n v="5050"/>
    <x v="4233"/>
    <x v="2"/>
    <n v="570"/>
    <n v="370"/>
    <s v="10 kg"/>
    <x v="15"/>
  </r>
  <r>
    <n v="5051"/>
    <x v="4234"/>
    <x v="2"/>
    <n v="26"/>
    <n v="22"/>
    <s v="500 gm"/>
    <x v="15"/>
  </r>
  <r>
    <n v="5052"/>
    <x v="4234"/>
    <x v="2"/>
    <n v="49"/>
    <n v="39"/>
    <s v="1 kg"/>
    <x v="15"/>
  </r>
  <r>
    <n v="5053"/>
    <x v="4235"/>
    <x v="2"/>
    <n v="75"/>
    <n v="60"/>
    <s v="1 kg"/>
    <x v="15"/>
  </r>
  <r>
    <n v="5054"/>
    <x v="4236"/>
    <x v="12"/>
    <n v="80"/>
    <n v="63"/>
    <s v="500 gm"/>
    <x v="4"/>
  </r>
  <r>
    <n v="5055"/>
    <x v="4237"/>
    <x v="457"/>
    <n v="75"/>
    <n v="37"/>
    <s v="500 gm"/>
    <x v="4"/>
  </r>
  <r>
    <n v="5056"/>
    <x v="4238"/>
    <x v="2"/>
    <n v="93"/>
    <n v="76"/>
    <s v="500 gm"/>
    <x v="16"/>
  </r>
  <r>
    <n v="5057"/>
    <x v="4239"/>
    <x v="237"/>
    <n v="60"/>
    <n v="45"/>
    <s v="126 gm"/>
    <x v="77"/>
  </r>
  <r>
    <n v="5058"/>
    <x v="4240"/>
    <x v="2"/>
    <n v="26"/>
    <n v="22"/>
    <s v="500 gm"/>
    <x v="15"/>
  </r>
  <r>
    <n v="5059"/>
    <x v="4240"/>
    <x v="2"/>
    <n v="51"/>
    <n v="45"/>
    <s v="1 kg"/>
    <x v="15"/>
  </r>
  <r>
    <n v="5060"/>
    <x v="4241"/>
    <x v="148"/>
    <n v="60"/>
    <n v="39"/>
    <s v="120 gm"/>
    <x v="77"/>
  </r>
  <r>
    <n v="5061"/>
    <x v="4242"/>
    <x v="627"/>
    <n v="140"/>
    <n v="70"/>
    <s v="750 ml"/>
    <x v="60"/>
  </r>
  <r>
    <n v="5062"/>
    <x v="4242"/>
    <x v="627"/>
    <n v="35"/>
    <n v="20"/>
    <s v="175 ml"/>
    <x v="60"/>
  </r>
  <r>
    <n v="5063"/>
    <x v="4243"/>
    <x v="646"/>
    <n v="115"/>
    <n v="85"/>
    <s v="750 ml"/>
    <x v="60"/>
  </r>
  <r>
    <n v="5064"/>
    <x v="4244"/>
    <x v="787"/>
    <n v="90"/>
    <n v="83"/>
    <s v="800 gm"/>
    <x v="4"/>
  </r>
  <r>
    <n v="5065"/>
    <x v="4245"/>
    <x v="4"/>
    <n v="58"/>
    <n v="53"/>
    <s v="500 gm"/>
    <x v="4"/>
  </r>
  <r>
    <n v="5066"/>
    <x v="4246"/>
    <x v="148"/>
    <n v="20"/>
    <n v="13"/>
    <s v="45 gm"/>
    <x v="77"/>
  </r>
  <r>
    <n v="5067"/>
    <x v="4247"/>
    <x v="627"/>
    <n v="25"/>
    <n v="17"/>
    <s v="50 ml"/>
    <x v="60"/>
  </r>
  <r>
    <n v="5068"/>
    <x v="4247"/>
    <x v="627"/>
    <n v="50"/>
    <n v="24"/>
    <s v="100 ml"/>
    <x v="60"/>
  </r>
  <r>
    <n v="5069"/>
    <x v="4247"/>
    <x v="627"/>
    <n v="250"/>
    <n v="92"/>
    <s v="500 ml"/>
    <x v="60"/>
  </r>
  <r>
    <n v="5070"/>
    <x v="4248"/>
    <x v="13"/>
    <n v="140"/>
    <n v="98"/>
    <s v="1 kg"/>
    <x v="4"/>
  </r>
  <r>
    <n v="5071"/>
    <x v="4249"/>
    <x v="498"/>
    <n v="945"/>
    <n v="849"/>
    <s v="1 Unit"/>
    <x v="31"/>
  </r>
  <r>
    <n v="5072"/>
    <x v="4250"/>
    <x v="54"/>
    <n v="250"/>
    <n v="189"/>
    <s v="450 gm"/>
    <x v="23"/>
  </r>
  <r>
    <n v="5073"/>
    <x v="4251"/>
    <x v="604"/>
    <n v="160"/>
    <n v="126"/>
    <s v="80 gm"/>
    <x v="31"/>
  </r>
  <r>
    <n v="5074"/>
    <x v="4252"/>
    <x v="590"/>
    <n v="829"/>
    <n v="629"/>
    <s v="1 U"/>
    <x v="31"/>
  </r>
  <r>
    <n v="5075"/>
    <x v="4253"/>
    <x v="788"/>
    <n v="235"/>
    <n v="218"/>
    <s v="20 U"/>
    <x v="60"/>
  </r>
  <r>
    <n v="5076"/>
    <x v="4254"/>
    <x v="604"/>
    <n v="40"/>
    <n v="36"/>
    <s v="70 gm"/>
    <x v="31"/>
  </r>
  <r>
    <n v="5077"/>
    <x v="4255"/>
    <x v="220"/>
    <n v="40"/>
    <n v="30"/>
    <s v="120 gm"/>
    <x v="77"/>
  </r>
  <r>
    <n v="5078"/>
    <x v="4256"/>
    <x v="552"/>
    <n v="175"/>
    <n v="129"/>
    <s v="Pack of 25"/>
    <x v="70"/>
  </r>
  <r>
    <n v="5079"/>
    <x v="4257"/>
    <x v="604"/>
    <n v="200"/>
    <n v="157"/>
    <s v="180 gm"/>
    <x v="31"/>
  </r>
  <r>
    <n v="5080"/>
    <x v="4258"/>
    <x v="148"/>
    <n v="50"/>
    <n v="25"/>
    <s v="60 gm"/>
    <x v="77"/>
  </r>
  <r>
    <n v="5081"/>
    <x v="4259"/>
    <x v="148"/>
    <n v="15"/>
    <n v="13"/>
    <s v="50 gm"/>
    <x v="77"/>
  </r>
  <r>
    <n v="5082"/>
    <x v="4260"/>
    <x v="148"/>
    <n v="50"/>
    <n v="25"/>
    <s v="60 gm"/>
    <x v="77"/>
  </r>
  <r>
    <n v="5083"/>
    <x v="4261"/>
    <x v="142"/>
    <n v="303"/>
    <n v="303"/>
    <s v="300 gm"/>
    <x v="63"/>
  </r>
  <r>
    <n v="5084"/>
    <x v="4262"/>
    <x v="789"/>
    <n v="230"/>
    <n v="202"/>
    <s v="50 Shades"/>
    <x v="70"/>
  </r>
  <r>
    <n v="5085"/>
    <x v="4263"/>
    <x v="788"/>
    <n v="235"/>
    <n v="216"/>
    <s v="20 U"/>
    <x v="60"/>
  </r>
  <r>
    <n v="5086"/>
    <x v="4264"/>
    <x v="148"/>
    <n v="15"/>
    <n v="13"/>
    <s v="50 gm"/>
    <x v="77"/>
  </r>
  <r>
    <n v="5087"/>
    <x v="4265"/>
    <x v="542"/>
    <n v="3429"/>
    <n v="2099"/>
    <s v="2 Burners"/>
    <x v="67"/>
  </r>
  <r>
    <n v="5088"/>
    <x v="4266"/>
    <x v="790"/>
    <n v="60"/>
    <n v="48"/>
    <s v="Pack of 10"/>
    <x v="70"/>
  </r>
  <r>
    <n v="5089"/>
    <x v="4267"/>
    <x v="790"/>
    <n v="60"/>
    <n v="53"/>
    <s v="Pack of 10"/>
    <x v="70"/>
  </r>
  <r>
    <n v="5090"/>
    <x v="4268"/>
    <x v="791"/>
    <n v="80"/>
    <n v="60"/>
    <s v="1 Book"/>
    <x v="70"/>
  </r>
  <r>
    <n v="5091"/>
    <x v="4269"/>
    <x v="4"/>
    <n v="14"/>
    <n v="13"/>
    <s v="100 gm"/>
    <x v="4"/>
  </r>
  <r>
    <n v="5092"/>
    <x v="4270"/>
    <x v="3"/>
    <n v="130"/>
    <n v="99"/>
    <s v="100 gm"/>
    <x v="4"/>
  </r>
  <r>
    <n v="5093"/>
    <x v="4271"/>
    <x v="788"/>
    <n v="235"/>
    <n v="218"/>
    <s v="20 U"/>
    <x v="60"/>
  </r>
  <r>
    <n v="5094"/>
    <x v="4272"/>
    <x v="791"/>
    <n v="60"/>
    <n v="55"/>
    <s v="Pack of 10"/>
    <x v="70"/>
  </r>
  <r>
    <n v="5095"/>
    <x v="4273"/>
    <x v="788"/>
    <n v="80"/>
    <n v="74"/>
    <s v="25 gm"/>
    <x v="60"/>
  </r>
  <r>
    <n v="5096"/>
    <x v="4274"/>
    <x v="788"/>
    <n v="80"/>
    <n v="74"/>
    <s v="25 gm"/>
    <x v="60"/>
  </r>
  <r>
    <n v="5097"/>
    <x v="4275"/>
    <x v="792"/>
    <n v="85"/>
    <n v="64"/>
    <s v="1 Book"/>
    <x v="70"/>
  </r>
  <r>
    <n v="5098"/>
    <x v="4276"/>
    <x v="447"/>
    <n v="25"/>
    <n v="24"/>
    <s v="50 ml"/>
    <x v="60"/>
  </r>
  <r>
    <n v="5099"/>
    <x v="4276"/>
    <x v="447"/>
    <n v="100"/>
    <n v="93"/>
    <s v="200 ml"/>
    <x v="60"/>
  </r>
  <r>
    <n v="5100"/>
    <x v="4277"/>
    <x v="792"/>
    <n v="60"/>
    <n v="45"/>
    <s v="1 Book"/>
    <x v="70"/>
  </r>
  <r>
    <n v="5101"/>
    <x v="4278"/>
    <x v="791"/>
    <n v="70"/>
    <n v="65"/>
    <s v="Pack of 10"/>
    <x v="70"/>
  </r>
  <r>
    <n v="5102"/>
    <x v="4279"/>
    <x v="552"/>
    <n v="50"/>
    <n v="45"/>
    <s v="Pack of 5"/>
    <x v="70"/>
  </r>
  <r>
    <n v="5103"/>
    <x v="4280"/>
    <x v="552"/>
    <n v="35"/>
    <n v="31"/>
    <s v="Pack of 5"/>
    <x v="70"/>
  </r>
  <r>
    <n v="5104"/>
    <x v="4281"/>
    <x v="768"/>
    <n v="99"/>
    <n v="79"/>
    <s v="Pack of 6"/>
    <x v="69"/>
  </r>
  <r>
    <n v="5105"/>
    <x v="4282"/>
    <x v="793"/>
    <n v="130"/>
    <n v="104"/>
    <s v="1 U"/>
    <x v="70"/>
  </r>
  <r>
    <n v="5106"/>
    <x v="4283"/>
    <x v="793"/>
    <n v="149"/>
    <n v="131"/>
    <s v="1 U"/>
    <x v="70"/>
  </r>
  <r>
    <n v="5107"/>
    <x v="4284"/>
    <x v="793"/>
    <n v="199"/>
    <n v="175"/>
    <s v="1 U"/>
    <x v="70"/>
  </r>
  <r>
    <n v="5108"/>
    <x v="4268"/>
    <x v="791"/>
    <n v="60"/>
    <n v="45"/>
    <s v="1 Book"/>
    <x v="70"/>
  </r>
  <r>
    <n v="5109"/>
    <x v="4285"/>
    <x v="788"/>
    <n v="245"/>
    <n v="225"/>
    <s v="100 gm"/>
    <x v="60"/>
  </r>
  <r>
    <n v="5110"/>
    <x v="4286"/>
    <x v="792"/>
    <n v="65"/>
    <n v="48"/>
    <s v="1 Book"/>
    <x v="70"/>
  </r>
  <r>
    <n v="5111"/>
    <x v="4287"/>
    <x v="768"/>
    <n v="99"/>
    <n v="79"/>
    <s v="Pack of 6"/>
    <x v="69"/>
  </r>
  <r>
    <n v="5112"/>
    <x v="4288"/>
    <x v="462"/>
    <n v="25"/>
    <n v="22"/>
    <s v="8 gm"/>
    <x v="70"/>
  </r>
  <r>
    <n v="5113"/>
    <x v="4289"/>
    <x v="54"/>
    <n v="250"/>
    <n v="185"/>
    <s v="450 gm"/>
    <x v="23"/>
  </r>
  <r>
    <n v="5114"/>
    <x v="4290"/>
    <x v="616"/>
    <n v="25"/>
    <n v="23"/>
    <s v="50 ml"/>
    <x v="60"/>
  </r>
  <r>
    <n v="5115"/>
    <x v="4290"/>
    <x v="616"/>
    <n v="95"/>
    <n v="88"/>
    <s v="190 ml"/>
    <x v="60"/>
  </r>
  <r>
    <n v="5116"/>
    <x v="4291"/>
    <x v="793"/>
    <n v="60"/>
    <n v="48"/>
    <s v="1 Unit"/>
    <x v="70"/>
  </r>
  <r>
    <n v="5117"/>
    <x v="4292"/>
    <x v="788"/>
    <n v="245"/>
    <n v="225"/>
    <s v="100 gm"/>
    <x v="60"/>
  </r>
  <r>
    <n v="5118"/>
    <x v="4293"/>
    <x v="794"/>
    <n v="550"/>
    <n v="511"/>
    <s v="Size 7"/>
    <x v="31"/>
  </r>
  <r>
    <n v="5119"/>
    <x v="4294"/>
    <x v="462"/>
    <n v="275"/>
    <n v="249"/>
    <s v="1 U"/>
    <x v="70"/>
  </r>
  <r>
    <n v="5120"/>
    <x v="4295"/>
    <x v="462"/>
    <n v="35"/>
    <n v="31"/>
    <s v="60 gm"/>
    <x v="63"/>
  </r>
  <r>
    <n v="5121"/>
    <x v="4296"/>
    <x v="793"/>
    <n v="125"/>
    <n v="94"/>
    <s v="1 Unit"/>
    <x v="70"/>
  </r>
  <r>
    <n v="5122"/>
    <x v="4297"/>
    <x v="447"/>
    <n v="99"/>
    <n v="92"/>
    <s v="200 ml"/>
    <x v="60"/>
  </r>
  <r>
    <n v="5123"/>
    <x v="4298"/>
    <x v="42"/>
    <n v="40"/>
    <n v="35"/>
    <s v="9 gm"/>
    <x v="60"/>
  </r>
  <r>
    <n v="5124"/>
    <x v="4299"/>
    <x v="498"/>
    <n v="1695"/>
    <n v="1499"/>
    <s v="1 U"/>
    <x v="31"/>
  </r>
  <r>
    <n v="5125"/>
    <x v="4300"/>
    <x v="795"/>
    <n v="280"/>
    <n v="259"/>
    <s v="Size 5"/>
    <x v="31"/>
  </r>
  <r>
    <n v="5126"/>
    <x v="4300"/>
    <x v="795"/>
    <n v="280"/>
    <n v="259"/>
    <s v="Size 6"/>
    <x v="31"/>
  </r>
  <r>
    <n v="5127"/>
    <x v="4300"/>
    <x v="795"/>
    <n v="280"/>
    <n v="259"/>
    <s v="Size 7"/>
    <x v="31"/>
  </r>
  <r>
    <n v="5128"/>
    <x v="4301"/>
    <x v="552"/>
    <n v="85"/>
    <n v="74"/>
    <s v="1 U"/>
    <x v="70"/>
  </r>
  <r>
    <n v="5129"/>
    <x v="4302"/>
    <x v="12"/>
    <n v="145"/>
    <n v="115"/>
    <s v="1 kg"/>
    <x v="4"/>
  </r>
  <r>
    <n v="5130"/>
    <x v="4303"/>
    <x v="793"/>
    <n v="99"/>
    <n v="87"/>
    <s v="1 U"/>
    <x v="70"/>
  </r>
  <r>
    <n v="5131"/>
    <x v="4304"/>
    <x v="13"/>
    <n v="75"/>
    <n v="52"/>
    <s v="500 gm"/>
    <x v="4"/>
  </r>
  <r>
    <n v="5132"/>
    <x v="4305"/>
    <x v="616"/>
    <n v="119"/>
    <n v="84"/>
    <s v="750 ml"/>
    <x v="60"/>
  </r>
  <r>
    <n v="5133"/>
    <x v="4306"/>
    <x v="13"/>
    <n v="80"/>
    <n v="64"/>
    <s v="500 gm"/>
    <x v="4"/>
  </r>
  <r>
    <n v="5134"/>
    <x v="4307"/>
    <x v="794"/>
    <n v="264"/>
    <n v="245"/>
    <s v="Size 4"/>
    <x v="31"/>
  </r>
  <r>
    <n v="5135"/>
    <x v="4308"/>
    <x v="185"/>
    <n v="288"/>
    <n v="267"/>
    <s v="250 ml x 48U"/>
    <x v="14"/>
  </r>
  <r>
    <n v="5136"/>
    <x v="4309"/>
    <x v="185"/>
    <n v="70"/>
    <n v="50"/>
    <s v="5 L"/>
    <x v="14"/>
  </r>
  <r>
    <n v="5137"/>
    <x v="4309"/>
    <x v="185"/>
    <n v="20"/>
    <n v="13"/>
    <s v="1 L"/>
    <x v="14"/>
  </r>
  <r>
    <n v="5138"/>
    <x v="4310"/>
    <x v="497"/>
    <n v="99"/>
    <n v="79"/>
    <s v="725 ml"/>
    <x v="60"/>
  </r>
  <r>
    <n v="5139"/>
    <x v="4311"/>
    <x v="142"/>
    <n v="298"/>
    <n v="298"/>
    <s v="300 gm"/>
    <x v="63"/>
  </r>
  <r>
    <n v="5140"/>
    <x v="4312"/>
    <x v="142"/>
    <n v="263"/>
    <n v="263"/>
    <s v="300 gm"/>
    <x v="63"/>
  </r>
  <r>
    <n v="5141"/>
    <x v="4313"/>
    <x v="796"/>
    <n v="98"/>
    <n v="91"/>
    <s v="75 ml"/>
    <x v="31"/>
  </r>
  <r>
    <n v="5142"/>
    <x v="4314"/>
    <x v="797"/>
    <n v="84"/>
    <n v="78"/>
    <s v="1 U"/>
    <x v="31"/>
  </r>
  <r>
    <n v="5143"/>
    <x v="4315"/>
    <x v="797"/>
    <n v="68"/>
    <n v="63"/>
    <s v="40 gm"/>
    <x v="31"/>
  </r>
  <r>
    <n v="5144"/>
    <x v="4316"/>
    <x v="797"/>
    <n v="68"/>
    <n v="63"/>
    <s v="40 gm"/>
    <x v="31"/>
  </r>
  <r>
    <n v="5145"/>
    <x v="4317"/>
    <x v="798"/>
    <n v="110"/>
    <n v="71"/>
    <s v="1 Book"/>
    <x v="70"/>
  </r>
  <r>
    <n v="5146"/>
    <x v="4318"/>
    <x v="798"/>
    <n v="52"/>
    <n v="33"/>
    <s v="1 Book"/>
    <x v="70"/>
  </r>
  <r>
    <n v="5147"/>
    <x v="4319"/>
    <x v="799"/>
    <n v="72"/>
    <n v="54"/>
    <s v="1 Book"/>
    <x v="70"/>
  </r>
  <r>
    <n v="5148"/>
    <x v="4320"/>
    <x v="798"/>
    <n v="55"/>
    <n v="35"/>
    <s v="1 Book"/>
    <x v="70"/>
  </r>
  <r>
    <n v="5149"/>
    <x v="4321"/>
    <x v="800"/>
    <n v="50"/>
    <n v="45"/>
    <s v="Blue"/>
    <x v="70"/>
  </r>
  <r>
    <n v="5150"/>
    <x v="4321"/>
    <x v="800"/>
    <n v="50"/>
    <n v="45"/>
    <s v="Black"/>
    <x v="70"/>
  </r>
  <r>
    <n v="5151"/>
    <x v="4322"/>
    <x v="301"/>
    <n v="50"/>
    <n v="45"/>
    <s v="Pack of 5"/>
    <x v="70"/>
  </r>
  <r>
    <n v="5152"/>
    <x v="4323"/>
    <x v="801"/>
    <n v="125"/>
    <n v="94"/>
    <s v="1 Book"/>
    <x v="70"/>
  </r>
  <r>
    <n v="5153"/>
    <x v="4324"/>
    <x v="301"/>
    <n v="50"/>
    <n v="45"/>
    <s v="Pack of 5"/>
    <x v="70"/>
  </r>
  <r>
    <n v="5154"/>
    <x v="4325"/>
    <x v="802"/>
    <n v="25"/>
    <n v="19"/>
    <s v="1 U"/>
    <x v="60"/>
  </r>
  <r>
    <n v="5155"/>
    <x v="4326"/>
    <x v="791"/>
    <n v="50"/>
    <n v="46"/>
    <s v="Pack of 10"/>
    <x v="70"/>
  </r>
  <r>
    <n v="5156"/>
    <x v="4327"/>
    <x v="789"/>
    <n v="185"/>
    <n v="163"/>
    <s v="1 Unit"/>
    <x v="70"/>
  </r>
  <r>
    <n v="5157"/>
    <x v="4328"/>
    <x v="800"/>
    <n v="150"/>
    <n v="119"/>
    <s v="Pack of 25"/>
    <x v="70"/>
  </r>
  <r>
    <n v="5158"/>
    <x v="4329"/>
    <x v="802"/>
    <n v="100"/>
    <n v="75"/>
    <s v="Pack of 10"/>
    <x v="70"/>
  </r>
  <r>
    <n v="5159"/>
    <x v="4330"/>
    <x v="800"/>
    <n v="40"/>
    <n v="36"/>
    <s v="Pack of 5"/>
    <x v="70"/>
  </r>
  <r>
    <n v="5160"/>
    <x v="4331"/>
    <x v="803"/>
    <n v="120"/>
    <n v="108"/>
    <s v="Pack of 3"/>
    <x v="70"/>
  </r>
  <r>
    <n v="5161"/>
    <x v="4331"/>
    <x v="803"/>
    <n v="120"/>
    <n v="108"/>
    <s v="Pack of 2"/>
    <x v="70"/>
  </r>
  <r>
    <n v="5162"/>
    <x v="4332"/>
    <x v="804"/>
    <n v="300"/>
    <n v="219"/>
    <s v="1 Book"/>
    <x v="70"/>
  </r>
  <r>
    <n v="5163"/>
    <x v="4333"/>
    <x v="805"/>
    <n v="150"/>
    <n v="109"/>
    <s v="1 U"/>
    <x v="70"/>
  </r>
  <r>
    <n v="5164"/>
    <x v="4334"/>
    <x v="800"/>
    <n v="50"/>
    <n v="45"/>
    <s v="Pack of 5"/>
    <x v="70"/>
  </r>
  <r>
    <n v="5165"/>
    <x v="4335"/>
    <x v="2"/>
    <n v="310"/>
    <n v="219"/>
    <s v="1 U"/>
    <x v="70"/>
  </r>
  <r>
    <n v="5166"/>
    <x v="4336"/>
    <x v="801"/>
    <n v="300"/>
    <n v="225"/>
    <s v="1 Book"/>
    <x v="70"/>
  </r>
  <r>
    <n v="5167"/>
    <x v="4337"/>
    <x v="2"/>
    <n v="90"/>
    <n v="68"/>
    <s v="10 x 12 Inches"/>
    <x v="70"/>
  </r>
  <r>
    <n v="5168"/>
    <x v="4337"/>
    <x v="2"/>
    <n v="65"/>
    <n v="48"/>
    <s v="8 x 10 Inches"/>
    <x v="70"/>
  </r>
  <r>
    <n v="5169"/>
    <x v="4338"/>
    <x v="805"/>
    <n v="65"/>
    <n v="57"/>
    <s v="1 U"/>
    <x v="70"/>
  </r>
  <r>
    <n v="5170"/>
    <x v="4339"/>
    <x v="2"/>
    <n v="127"/>
    <n v="114"/>
    <s v="1 Unit"/>
    <x v="70"/>
  </r>
  <r>
    <n v="5171"/>
    <x v="4340"/>
    <x v="789"/>
    <n v="50"/>
    <n v="44"/>
    <s v="12 Shades"/>
    <x v="70"/>
  </r>
  <r>
    <n v="5172"/>
    <x v="4341"/>
    <x v="801"/>
    <n v="50"/>
    <n v="44"/>
    <s v="1 Book"/>
    <x v="70"/>
  </r>
  <r>
    <n v="5173"/>
    <x v="4342"/>
    <x v="552"/>
    <n v="149"/>
    <n v="132"/>
    <s v="1 U"/>
    <x v="70"/>
  </r>
  <r>
    <n v="5174"/>
    <x v="4343"/>
    <x v="2"/>
    <n v="120"/>
    <n v="89"/>
    <s v="12x16.5 gm"/>
    <x v="70"/>
  </r>
  <r>
    <n v="5175"/>
    <x v="4344"/>
    <x v="791"/>
    <n v="220"/>
    <n v="194"/>
    <s v="14 Shades"/>
    <x v="70"/>
  </r>
  <r>
    <n v="5176"/>
    <x v="4345"/>
    <x v="793"/>
    <n v="30"/>
    <n v="26"/>
    <s v="12 Pcs"/>
    <x v="70"/>
  </r>
  <r>
    <n v="5177"/>
    <x v="4346"/>
    <x v="800"/>
    <n v="40"/>
    <n v="36"/>
    <s v="Pack of 5"/>
    <x v="70"/>
  </r>
  <r>
    <n v="5178"/>
    <x v="4347"/>
    <x v="552"/>
    <n v="199"/>
    <n v="149"/>
    <s v="1 U"/>
    <x v="70"/>
  </r>
  <r>
    <n v="5179"/>
    <x v="4348"/>
    <x v="2"/>
    <n v="125"/>
    <n v="79"/>
    <s v="5 Pcs"/>
    <x v="70"/>
  </r>
  <r>
    <n v="5180"/>
    <x v="4349"/>
    <x v="801"/>
    <n v="40"/>
    <n v="30"/>
    <s v="1 Unit"/>
    <x v="70"/>
  </r>
  <r>
    <n v="5181"/>
    <x v="4350"/>
    <x v="789"/>
    <n v="110"/>
    <n v="94"/>
    <s v="1 U"/>
    <x v="70"/>
  </r>
  <r>
    <n v="5182"/>
    <x v="4351"/>
    <x v="2"/>
    <n v="250"/>
    <n v="99"/>
    <s v="1 U"/>
    <x v="70"/>
  </r>
  <r>
    <n v="5183"/>
    <x v="4352"/>
    <x v="801"/>
    <n v="70"/>
    <n v="59"/>
    <s v="1 Book"/>
    <x v="70"/>
  </r>
  <r>
    <n v="5184"/>
    <x v="4353"/>
    <x v="801"/>
    <n v="140"/>
    <n v="115"/>
    <s v="1 Book"/>
    <x v="70"/>
  </r>
  <r>
    <n v="5185"/>
    <x v="4354"/>
    <x v="801"/>
    <n v="55"/>
    <n v="36"/>
    <s v="1 Book"/>
    <x v="70"/>
  </r>
  <r>
    <n v="5186"/>
    <x v="4355"/>
    <x v="801"/>
    <n v="85"/>
    <n v="69"/>
    <s v="1 Book"/>
    <x v="70"/>
  </r>
  <r>
    <n v="5187"/>
    <x v="4356"/>
    <x v="801"/>
    <n v="55"/>
    <n v="40"/>
    <s v="1 Book"/>
    <x v="70"/>
  </r>
  <r>
    <n v="5188"/>
    <x v="4357"/>
    <x v="801"/>
    <n v="110"/>
    <n v="72"/>
    <s v="1 Book"/>
    <x v="70"/>
  </r>
  <r>
    <n v="5189"/>
    <x v="4358"/>
    <x v="801"/>
    <n v="90"/>
    <n v="75"/>
    <s v="1 U"/>
    <x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1A269-E1F6-4D8B-915E-9BC25B6D3A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4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 measureFilter="1" sortType="descending">
      <items count="79">
        <item x="19"/>
        <item x="8"/>
        <item x="1"/>
        <item x="0"/>
        <item x="29"/>
        <item x="7"/>
        <item x="51"/>
        <item x="3"/>
        <item x="2"/>
        <item x="6"/>
        <item x="65"/>
        <item x="63"/>
        <item x="71"/>
        <item x="77"/>
        <item x="42"/>
        <item x="14"/>
        <item x="22"/>
        <item x="45"/>
        <item x="30"/>
        <item x="33"/>
        <item x="69"/>
        <item x="72"/>
        <item x="18"/>
        <item x="46"/>
        <item x="17"/>
        <item x="61"/>
        <item x="36"/>
        <item x="16"/>
        <item x="15"/>
        <item x="11"/>
        <item x="56"/>
        <item x="55"/>
        <item x="48"/>
        <item x="34"/>
        <item x="28"/>
        <item x="35"/>
        <item x="52"/>
        <item x="5"/>
        <item x="10"/>
        <item x="9"/>
        <item x="64"/>
        <item x="39"/>
        <item x="32"/>
        <item x="43"/>
        <item x="4"/>
        <item x="26"/>
        <item x="49"/>
        <item x="25"/>
        <item x="67"/>
        <item x="38"/>
        <item x="57"/>
        <item x="74"/>
        <item x="58"/>
        <item x="27"/>
        <item x="59"/>
        <item x="23"/>
        <item x="20"/>
        <item x="60"/>
        <item x="12"/>
        <item x="68"/>
        <item x="73"/>
        <item x="50"/>
        <item x="76"/>
        <item x="21"/>
        <item x="70"/>
        <item x="62"/>
        <item x="54"/>
        <item x="75"/>
        <item x="13"/>
        <item x="31"/>
        <item x="24"/>
        <item x="66"/>
        <item x="44"/>
        <item x="37"/>
        <item x="47"/>
        <item x="41"/>
        <item x="40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6"/>
  </rowFields>
  <rowItems count="11">
    <i>
      <x v="1"/>
    </i>
    <i>
      <x v="23"/>
    </i>
    <i>
      <x v="69"/>
    </i>
    <i>
      <x v="15"/>
    </i>
    <i>
      <x v="66"/>
    </i>
    <i>
      <x v="41"/>
    </i>
    <i>
      <x v="39"/>
    </i>
    <i>
      <x v="31"/>
    </i>
    <i>
      <x v="14"/>
    </i>
    <i>
      <x v="48"/>
    </i>
    <i t="grand">
      <x/>
    </i>
  </rowItems>
  <colItems count="1">
    <i/>
  </colItems>
  <dataFields count="1">
    <dataField name="Total Sales" fld="4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8EB12-51DC-4EFD-9282-A86F4B532DD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2:B43" firstHeaderRow="1" firstDataRow="1" firstDataCol="1"/>
  <pivotFields count="8">
    <pivotField showAll="0"/>
    <pivotField axis="axisRow" showAll="0" measureFilter="1" sortType="descending">
      <items count="4360">
        <item x="487"/>
        <item x="149"/>
        <item x="4236"/>
        <item x="370"/>
        <item x="90"/>
        <item x="42"/>
        <item x="190"/>
        <item x="464"/>
        <item x="369"/>
        <item x="463"/>
        <item x="459"/>
        <item x="4302"/>
        <item x="67"/>
        <item x="366"/>
        <item x="1642"/>
        <item x="1405"/>
        <item x="1401"/>
        <item x="1400"/>
        <item x="1402"/>
        <item x="1408"/>
        <item x="1407"/>
        <item x="1410"/>
        <item x="1409"/>
        <item x="1406"/>
        <item x="1404"/>
        <item x="909"/>
        <item x="351"/>
        <item x="336"/>
        <item x="345"/>
        <item x="280"/>
        <item x="1761"/>
        <item x="359"/>
        <item x="664"/>
        <item x="358"/>
        <item x="357"/>
        <item x="348"/>
        <item x="2240"/>
        <item x="3891"/>
        <item x="1403"/>
        <item x="1323"/>
        <item x="1337"/>
        <item x="1354"/>
        <item x="1315"/>
        <item x="1321"/>
        <item x="1317"/>
        <item x="1349"/>
        <item x="1345"/>
        <item x="1347"/>
        <item x="1348"/>
        <item x="3911"/>
        <item x="1181"/>
        <item x="1282"/>
        <item x="1264"/>
        <item x="1168"/>
        <item x="1175"/>
        <item x="1751"/>
        <item x="1177"/>
        <item x="2210"/>
        <item x="2186"/>
        <item x="2537"/>
        <item x="2538"/>
        <item x="1823"/>
        <item x="2435"/>
        <item x="4215"/>
        <item x="2439"/>
        <item x="4212"/>
        <item x="468"/>
        <item x="2211"/>
        <item x="2246"/>
        <item x="2247"/>
        <item x="2234"/>
        <item x="2415"/>
        <item x="4131"/>
        <item x="4147"/>
        <item x="4127"/>
        <item x="4139"/>
        <item x="4122"/>
        <item x="4129"/>
        <item x="4008"/>
        <item x="4005"/>
        <item x="4132"/>
        <item x="237"/>
        <item x="1610"/>
        <item x="1580"/>
        <item x="1585"/>
        <item x="1662"/>
        <item x="507"/>
        <item x="3941"/>
        <item x="3924"/>
        <item x="3925"/>
        <item x="3926"/>
        <item x="3929"/>
        <item x="1483"/>
        <item x="962"/>
        <item x="755"/>
        <item x="674"/>
        <item x="697"/>
        <item x="759"/>
        <item x="1581"/>
        <item x="1582"/>
        <item x="1579"/>
        <item x="763"/>
        <item x="768"/>
        <item x="1451"/>
        <item x="335"/>
        <item x="1453"/>
        <item x="775"/>
        <item x="766"/>
        <item x="773"/>
        <item x="813"/>
        <item x="811"/>
        <item x="824"/>
        <item x="1460"/>
        <item x="694"/>
        <item x="734"/>
        <item x="1469"/>
        <item x="1846"/>
        <item x="859"/>
        <item x="1857"/>
        <item x="739"/>
        <item x="740"/>
        <item x="741"/>
        <item x="738"/>
        <item x="744"/>
        <item x="745"/>
        <item x="837"/>
        <item x="705"/>
        <item x="823"/>
        <item x="1861"/>
        <item x="882"/>
        <item x="809"/>
        <item x="1865"/>
        <item x="1496"/>
        <item x="816"/>
        <item x="782"/>
        <item x="765"/>
        <item x="789"/>
        <item x="893"/>
        <item x="872"/>
        <item x="760"/>
        <item x="762"/>
        <item x="333"/>
        <item x="344"/>
        <item x="835"/>
        <item x="963"/>
        <item x="970"/>
        <item x="974"/>
        <item x="969"/>
        <item x="736"/>
        <item x="732"/>
        <item x="710"/>
        <item x="2685"/>
        <item x="2683"/>
        <item x="2453"/>
        <item x="2433"/>
        <item x="2451"/>
        <item x="2692"/>
        <item x="2440"/>
        <item x="2407"/>
        <item x="2456"/>
        <item x="2429"/>
        <item x="2410"/>
        <item x="2432"/>
        <item x="2425"/>
        <item x="2626"/>
        <item x="2452"/>
        <item x="2401"/>
        <item x="2423"/>
        <item x="2405"/>
        <item x="2629"/>
        <item x="4337"/>
        <item x="4332"/>
        <item x="1639"/>
        <item x="109"/>
        <item x="93"/>
        <item x="1982"/>
        <item x="1977"/>
        <item x="1997"/>
        <item x="1306"/>
        <item x="4266"/>
        <item x="4267"/>
        <item x="756"/>
        <item x="716"/>
        <item x="2073"/>
        <item x="2060"/>
        <item x="2058"/>
        <item x="2094"/>
        <item x="2090"/>
        <item x="2053"/>
        <item x="2095"/>
        <item x="2089"/>
        <item x="2824"/>
        <item x="4107"/>
        <item x="4106"/>
        <item x="4104"/>
        <item x="4101"/>
        <item x="4105"/>
        <item x="4145"/>
        <item x="4143"/>
        <item x="4138"/>
        <item x="2286"/>
        <item x="2288"/>
        <item x="2285"/>
        <item x="2287"/>
        <item x="2291"/>
        <item x="3937"/>
        <item x="2758"/>
        <item x="2765"/>
        <item x="2658"/>
        <item x="2661"/>
        <item x="2663"/>
        <item x="3944"/>
        <item x="3771"/>
        <item x="3765"/>
        <item x="3775"/>
        <item x="3943"/>
        <item x="3939"/>
        <item x="108"/>
        <item x="952"/>
        <item x="955"/>
        <item x="950"/>
        <item x="2489"/>
        <item x="559"/>
        <item x="570"/>
        <item x="610"/>
        <item x="557"/>
        <item x="581"/>
        <item x="588"/>
        <item x="547"/>
        <item x="614"/>
        <item x="576"/>
        <item x="540"/>
        <item x="582"/>
        <item x="551"/>
        <item x="1415"/>
        <item x="1439"/>
        <item x="1428"/>
        <item x="979"/>
        <item x="977"/>
        <item x="1929"/>
        <item x="982"/>
        <item x="1643"/>
        <item x="981"/>
        <item x="1935"/>
        <item x="1936"/>
        <item x="1926"/>
        <item x="3312"/>
        <item x="3310"/>
        <item x="4015"/>
        <item x="4026"/>
        <item x="4028"/>
        <item x="4049"/>
        <item x="2847"/>
        <item x="2843"/>
        <item x="4055"/>
        <item x="4054"/>
        <item x="4048"/>
        <item x="4046"/>
        <item x="4017"/>
        <item x="3324"/>
        <item x="376"/>
        <item x="1199"/>
        <item x="1208"/>
        <item x="1201"/>
        <item x="1215"/>
        <item x="1200"/>
        <item x="1715"/>
        <item x="1712"/>
        <item x="1707"/>
        <item x="1703"/>
        <item x="1587"/>
        <item x="1705"/>
        <item x="1702"/>
        <item x="432"/>
        <item x="429"/>
        <item x="422"/>
        <item x="2478"/>
        <item x="2911"/>
        <item x="2912"/>
        <item x="1939"/>
        <item x="1938"/>
        <item x="3084"/>
        <item x="3117"/>
        <item x="3328"/>
        <item x="3327"/>
        <item x="3422"/>
        <item x="3780"/>
        <item x="1879"/>
        <item x="414"/>
        <item x="1905"/>
        <item x="571"/>
        <item x="1900"/>
        <item x="1907"/>
        <item x="1891"/>
        <item x="1890"/>
        <item x="1884"/>
        <item x="1894"/>
        <item x="560"/>
        <item x="1878"/>
        <item x="412"/>
        <item x="2333"/>
        <item x="2462"/>
        <item x="2416"/>
        <item x="2460"/>
        <item x="2465"/>
        <item x="1090"/>
        <item x="1093"/>
        <item x="1074"/>
        <item x="308"/>
        <item x="382"/>
        <item x="1747"/>
        <item x="1780"/>
        <item x="4238"/>
        <item x="398"/>
        <item x="389"/>
        <item x="407"/>
        <item x="413"/>
        <item x="409"/>
        <item x="396"/>
        <item x="403"/>
        <item x="397"/>
        <item x="401"/>
        <item x="402"/>
        <item x="394"/>
        <item x="399"/>
        <item x="1616"/>
        <item x="1617"/>
        <item x="1618"/>
        <item x="1615"/>
        <item x="1143"/>
        <item x="1265"/>
        <item x="1840"/>
        <item x="1851"/>
        <item x="1839"/>
        <item x="1146"/>
        <item x="1847"/>
        <item x="1724"/>
        <item x="1151"/>
        <item x="1207"/>
        <item x="1246"/>
        <item x="1220"/>
        <item x="1212"/>
        <item x="2308"/>
        <item x="3018"/>
        <item x="3353"/>
        <item x="439"/>
        <item x="1083"/>
        <item x="1082"/>
        <item x="1078"/>
        <item x="908"/>
        <item x="924"/>
        <item x="4308"/>
        <item x="934"/>
        <item x="4309"/>
        <item x="2030"/>
        <item x="1779"/>
        <item x="628"/>
        <item x="633"/>
        <item x="1778"/>
        <item x="900"/>
        <item x="391"/>
        <item x="1765"/>
        <item x="1695"/>
        <item x="1698"/>
        <item x="1693"/>
        <item x="617"/>
        <item x="4146"/>
        <item x="4126"/>
        <item x="4141"/>
        <item x="4137"/>
        <item x="4121"/>
        <item x="4124"/>
        <item x="4133"/>
        <item x="880"/>
        <item x="1609"/>
        <item x="304"/>
        <item x="306"/>
        <item x="1697"/>
        <item x="1690"/>
        <item x="4250"/>
        <item x="4289"/>
        <item x="1708"/>
        <item x="1706"/>
        <item x="1689"/>
        <item x="310"/>
        <item x="1692"/>
        <item x="3183"/>
        <item x="3887"/>
        <item x="3888"/>
        <item x="3890"/>
        <item x="3892"/>
        <item x="2642"/>
        <item x="2701"/>
        <item x="4043"/>
        <item x="2448"/>
        <item x="2019"/>
        <item x="1502"/>
        <item x="1468"/>
        <item x="4213"/>
        <item x="4214"/>
        <item x="1072"/>
        <item x="1080"/>
        <item x="769"/>
        <item x="770"/>
        <item x="764"/>
        <item x="771"/>
        <item x="803"/>
        <item x="4241"/>
        <item x="4264"/>
        <item x="1020"/>
        <item x="1025"/>
        <item x="1061"/>
        <item x="1079"/>
        <item x="1032"/>
        <item x="1065"/>
        <item x="1064"/>
        <item x="1027"/>
        <item x="1095"/>
        <item x="4259"/>
        <item x="1195"/>
        <item x="881"/>
        <item x="1033"/>
        <item x="1098"/>
        <item x="4258"/>
        <item x="4246"/>
        <item x="4260"/>
        <item x="1066"/>
        <item x="2043"/>
        <item x="679"/>
        <item x="677"/>
        <item x="688"/>
        <item x="698"/>
        <item x="410"/>
        <item x="1785"/>
        <item x="804"/>
        <item x="3761"/>
        <item x="3770"/>
        <item x="3748"/>
        <item x="3755"/>
        <item x="3942"/>
        <item x="991"/>
        <item x="916"/>
        <item x="4265"/>
        <item x="2609"/>
        <item x="2023"/>
        <item x="1500"/>
        <item x="1455"/>
        <item x="869"/>
        <item x="1089"/>
        <item x="865"/>
        <item x="873"/>
        <item x="1538"/>
        <item x="1542"/>
        <item x="1450"/>
        <item x="4239"/>
        <item x="1461"/>
        <item x="1552"/>
        <item x="1553"/>
        <item x="1464"/>
        <item x="1481"/>
        <item x="1488"/>
        <item x="1449"/>
        <item x="1536"/>
        <item x="1537"/>
        <item x="1503"/>
        <item x="1465"/>
        <item x="1457"/>
        <item x="1454"/>
        <item x="1459"/>
        <item x="1475"/>
        <item x="1472"/>
        <item x="1506"/>
        <item x="1462"/>
        <item x="1474"/>
        <item x="883"/>
        <item x="1087"/>
        <item x="1092"/>
        <item x="1081"/>
        <item x="1077"/>
        <item x="1094"/>
        <item x="1512"/>
        <item x="1535"/>
        <item x="2980"/>
        <item x="4262"/>
        <item x="4340"/>
        <item x="4327"/>
        <item x="4350"/>
        <item x="4291"/>
        <item x="4283"/>
        <item x="4296"/>
        <item x="4284"/>
        <item x="4282"/>
        <item x="4345"/>
        <item x="4303"/>
        <item x="3094"/>
        <item x="2454"/>
        <item x="1473"/>
        <item x="3742"/>
        <item x="74"/>
        <item x="72"/>
        <item x="158"/>
        <item x="157"/>
        <item x="160"/>
        <item x="159"/>
        <item x="186"/>
        <item x="132"/>
        <item x="508"/>
        <item x="509"/>
        <item x="510"/>
        <item x="618"/>
        <item x="619"/>
        <item x="620"/>
        <item x="2010"/>
        <item x="743"/>
        <item x="844"/>
        <item x="746"/>
        <item x="4347"/>
        <item x="4342"/>
        <item x="2656"/>
        <item x="4280"/>
        <item x="4256"/>
        <item x="4279"/>
        <item x="2648"/>
        <item x="4301"/>
        <item x="2647"/>
        <item x="2662"/>
        <item x="4010"/>
        <item x="2265"/>
        <item x="2155"/>
        <item x="2340"/>
        <item x="117"/>
        <item x="2"/>
        <item x="121"/>
        <item x="116"/>
        <item x="1801"/>
        <item x="1812"/>
        <item x="1972"/>
        <item x="1969"/>
        <item x="1968"/>
        <item x="1970"/>
        <item x="1826"/>
        <item x="1822"/>
        <item x="1966"/>
        <item x="1821"/>
        <item x="1973"/>
        <item x="1964"/>
        <item x="1963"/>
        <item x="1961"/>
        <item x="2970"/>
        <item x="1962"/>
        <item x="2945"/>
        <item x="1358"/>
        <item x="1251"/>
        <item x="1356"/>
        <item x="1357"/>
        <item x="1170"/>
        <item x="1351"/>
        <item x="1320"/>
        <item x="1342"/>
        <item x="1330"/>
        <item x="1271"/>
        <item x="1276"/>
        <item x="1273"/>
        <item x="4316"/>
        <item x="4313"/>
        <item x="4315"/>
        <item x="4314"/>
        <item x="990"/>
        <item x="1305"/>
        <item x="1250"/>
        <item x="1144"/>
        <item x="1153"/>
        <item x="1184"/>
        <item x="1253"/>
        <item x="1187"/>
        <item x="1140"/>
        <item x="1160"/>
        <item x="1188"/>
        <item x="1156"/>
        <item x="1194"/>
        <item x="1183"/>
        <item x="1607"/>
        <item x="612"/>
        <item x="1572"/>
        <item x="1956"/>
        <item x="1679"/>
        <item x="1951"/>
        <item x="1677"/>
        <item x="1959"/>
        <item x="1566"/>
        <item x="1602"/>
        <item x="563"/>
        <item x="1676"/>
        <item x="1567"/>
        <item x="1960"/>
        <item x="1687"/>
        <item x="1249"/>
        <item x="1768"/>
        <item x="1745"/>
        <item x="340"/>
        <item x="346"/>
        <item x="758"/>
        <item x="754"/>
        <item x="819"/>
        <item x="972"/>
        <item x="976"/>
        <item x="957"/>
        <item x="1759"/>
        <item x="1746"/>
        <item x="1877"/>
        <item x="862"/>
        <item x="1760"/>
        <item x="27"/>
        <item x="28"/>
        <item x="37"/>
        <item x="30"/>
        <item x="631"/>
        <item x="630"/>
        <item x="1783"/>
        <item x="898"/>
        <item x="1528"/>
        <item x="897"/>
        <item x="1511"/>
        <item x="2147"/>
        <item x="2151"/>
        <item x="2154"/>
        <item x="2153"/>
        <item x="2150"/>
        <item x="2156"/>
        <item x="2931"/>
        <item x="2942"/>
        <item x="993"/>
        <item x="992"/>
        <item x="2533"/>
        <item x="3050"/>
        <item x="3167"/>
        <item x="3166"/>
        <item x="3169"/>
        <item x="2301"/>
        <item x="2292"/>
        <item x="2304"/>
        <item x="2314"/>
        <item x="3335"/>
        <item x="3360"/>
        <item x="3362"/>
        <item x="3372"/>
        <item x="4086"/>
        <item x="4089"/>
        <item x="4088"/>
        <item x="4087"/>
        <item x="4090"/>
        <item x="4093"/>
        <item x="4091"/>
        <item x="4092"/>
        <item x="4094"/>
        <item x="3676"/>
        <item x="2880"/>
        <item x="910"/>
        <item x="905"/>
        <item x="931"/>
        <item x="3308"/>
        <item x="2001"/>
        <item x="925"/>
        <item x="3697"/>
        <item x="3689"/>
        <item x="3687"/>
        <item x="3696"/>
        <item x="3672"/>
        <item x="3721"/>
        <item x="3710"/>
        <item x="3717"/>
        <item x="3720"/>
        <item x="3691"/>
        <item x="3694"/>
        <item x="3683"/>
        <item x="3673"/>
        <item x="3703"/>
        <item x="3704"/>
        <item x="3701"/>
        <item x="3711"/>
        <item x="3681"/>
        <item x="3675"/>
        <item x="3706"/>
        <item x="3698"/>
        <item x="3699"/>
        <item x="3685"/>
        <item x="3715"/>
        <item x="3722"/>
        <item x="3709"/>
        <item x="3714"/>
        <item x="3713"/>
        <item x="2111"/>
        <item x="836"/>
        <item x="839"/>
        <item x="864"/>
        <item x="842"/>
        <item x="851"/>
        <item x="848"/>
        <item x="846"/>
        <item x="854"/>
        <item x="833"/>
        <item x="826"/>
        <item x="2092"/>
        <item x="2085"/>
        <item x="2086"/>
        <item x="2472"/>
        <item x="2470"/>
        <item x="2471"/>
        <item x="2473"/>
        <item x="875"/>
        <item x="888"/>
        <item x="2299"/>
        <item x="2841"/>
        <item x="1717"/>
        <item x="855"/>
        <item x="821"/>
        <item x="825"/>
        <item x="1042"/>
        <item x="1043"/>
        <item x="1051"/>
        <item x="1048"/>
        <item x="1044"/>
        <item x="1052"/>
        <item x="915"/>
        <item x="918"/>
        <item x="932"/>
        <item x="936"/>
        <item x="927"/>
        <item x="2694"/>
        <item x="1204"/>
        <item x="1232"/>
        <item x="1213"/>
        <item x="2259"/>
        <item x="2261"/>
        <item x="2262"/>
        <item x="2250"/>
        <item x="2251"/>
        <item x="2529"/>
        <item x="2530"/>
        <item x="2525"/>
        <item x="2526"/>
        <item x="2518"/>
        <item x="2521"/>
        <item x="2515"/>
        <item x="2513"/>
        <item x="2517"/>
        <item x="2519"/>
        <item x="2520"/>
        <item x="2522"/>
        <item x="2264"/>
        <item x="2514"/>
        <item x="2516"/>
        <item x="2527"/>
        <item x="2524"/>
        <item x="2531"/>
        <item x="2523"/>
        <item x="2528"/>
        <item x="830"/>
        <item x="1854"/>
        <item x="1864"/>
        <item x="1853"/>
        <item x="1852"/>
        <item x="917"/>
        <item x="929"/>
        <item x="922"/>
        <item x="920"/>
        <item x="926"/>
        <item x="4044"/>
        <item x="4032"/>
        <item x="4018"/>
        <item x="2849"/>
        <item x="4021"/>
        <item x="4016"/>
        <item x="4022"/>
        <item x="4039"/>
        <item x="4041"/>
        <item x="4040"/>
        <item x="2443"/>
        <item x="2687"/>
        <item x="2653"/>
        <item x="2449"/>
        <item x="2650"/>
        <item x="2777"/>
        <item x="2786"/>
        <item x="2781"/>
        <item x="2776"/>
        <item x="2816"/>
        <item x="2803"/>
        <item x="2784"/>
        <item x="2427"/>
        <item x="2859"/>
        <item x="2386"/>
        <item x="2191"/>
        <item x="431"/>
        <item x="441"/>
        <item x="418"/>
        <item x="417"/>
        <item x="436"/>
        <item x="426"/>
        <item x="419"/>
        <item x="437"/>
        <item x="445"/>
        <item x="424"/>
        <item x="444"/>
        <item x="3320"/>
        <item x="3314"/>
        <item x="3313"/>
        <item x="1920"/>
        <item x="1913"/>
        <item x="3068"/>
        <item x="3898"/>
        <item x="3899"/>
        <item x="3900"/>
        <item x="622"/>
        <item x="1636"/>
        <item x="1637"/>
        <item x="3678"/>
        <item x="3904"/>
        <item x="3684"/>
        <item x="3677"/>
        <item x="3345"/>
        <item x="150"/>
        <item x="274"/>
        <item x="356"/>
        <item x="137"/>
        <item x="1619"/>
        <item x="1667"/>
        <item x="91"/>
        <item x="81"/>
        <item x="856"/>
        <item x="828"/>
        <item x="853"/>
        <item x="831"/>
        <item x="4202"/>
        <item x="4200"/>
        <item x="4203"/>
        <item x="4204"/>
        <item x="4201"/>
        <item x="2871"/>
        <item x="2868"/>
        <item x="2869"/>
        <item x="2864"/>
        <item x="4211"/>
        <item x="4209"/>
        <item x="4210"/>
        <item x="4205"/>
        <item x="4208"/>
        <item x="4206"/>
        <item x="4207"/>
        <item x="1649"/>
        <item x="303"/>
        <item x="1556"/>
        <item x="690"/>
        <item x="79"/>
        <item x="2109"/>
        <item x="2281"/>
        <item x="2142"/>
        <item x="2283"/>
        <item x="4276"/>
        <item x="2930"/>
        <item x="4198"/>
        <item x="4199"/>
        <item x="3916"/>
        <item x="4297"/>
        <item x="3990"/>
        <item x="2927"/>
        <item x="3988"/>
        <item x="2938"/>
        <item x="440"/>
        <item x="2081"/>
        <item x="296"/>
        <item x="314"/>
        <item x="293"/>
        <item x="290"/>
        <item x="272"/>
        <item x="2876"/>
        <item x="2393"/>
        <item x="2878"/>
        <item x="2402"/>
        <item x="2877"/>
        <item x="2665"/>
        <item x="2664"/>
        <item x="2865"/>
        <item x="2858"/>
        <item x="2860"/>
        <item x="2413"/>
        <item x="2441"/>
        <item x="2556"/>
        <item x="1940"/>
        <item x="1943"/>
        <item x="1941"/>
        <item x="1942"/>
        <item x="1480"/>
        <item x="1515"/>
        <item x="1520"/>
        <item x="1499"/>
        <item x="1517"/>
        <item x="1490"/>
        <item x="1519"/>
        <item x="1494"/>
        <item x="1487"/>
        <item x="913"/>
        <item x="2698"/>
        <item x="4115"/>
        <item x="2603"/>
        <item x="2606"/>
        <item x="2602"/>
        <item x="4113"/>
        <item x="2604"/>
        <item x="2599"/>
        <item x="2608"/>
        <item x="2600"/>
        <item x="2605"/>
        <item x="2607"/>
        <item x="2601"/>
        <item x="1862"/>
        <item x="779"/>
        <item x="774"/>
        <item x="787"/>
        <item x="783"/>
        <item x="832"/>
        <item x="857"/>
        <item x="790"/>
        <item x="788"/>
        <item x="792"/>
        <item x="785"/>
        <item x="784"/>
        <item x="778"/>
        <item x="11"/>
        <item x="32"/>
        <item x="55"/>
        <item x="17"/>
        <item x="49"/>
        <item x="44"/>
        <item x="2112"/>
        <item x="2140"/>
        <item x="2141"/>
        <item x="4278"/>
        <item x="4272"/>
        <item x="4344"/>
        <item x="4268"/>
        <item x="4326"/>
        <item x="1196"/>
        <item x="1244"/>
        <item x="1205"/>
        <item x="2932"/>
        <item x="2920"/>
        <item x="3384"/>
        <item x="3336"/>
        <item x="3363"/>
        <item x="3122"/>
        <item x="2987"/>
        <item x="3341"/>
        <item x="3383"/>
        <item x="3386"/>
        <item x="3343"/>
        <item x="2985"/>
        <item x="2965"/>
        <item x="2954"/>
        <item x="2646"/>
        <item x="3927"/>
        <item x="3938"/>
        <item x="2464"/>
        <item x="2463"/>
        <item x="2397"/>
        <item x="2146"/>
        <item x="2025"/>
        <item x="1086"/>
        <item x="914"/>
        <item x="1118"/>
        <item x="1119"/>
        <item x="1121"/>
        <item x="1122"/>
        <item x="1123"/>
        <item x="1125"/>
        <item x="2866"/>
        <item x="2837"/>
        <item x="2838"/>
        <item x="4007"/>
        <item x="4009"/>
        <item x="3953"/>
        <item x="3971"/>
        <item x="3956"/>
        <item x="3951"/>
        <item x="3960"/>
        <item x="3957"/>
        <item x="3962"/>
        <item x="3955"/>
        <item x="3974"/>
        <item x="3970"/>
        <item x="3973"/>
        <item x="3977"/>
        <item x="3969"/>
        <item x="3965"/>
        <item x="3964"/>
        <item x="2332"/>
        <item x="4074"/>
        <item x="4072"/>
        <item x="4061"/>
        <item x="2749"/>
        <item x="350"/>
        <item x="342"/>
        <item x="352"/>
        <item x="2300"/>
        <item x="2677"/>
        <item x="458"/>
        <item x="2550"/>
        <item x="2551"/>
        <item x="2548"/>
        <item x="2552"/>
        <item x="2544"/>
        <item x="2541"/>
        <item x="2540"/>
        <item x="2549"/>
        <item x="2547"/>
        <item x="2539"/>
        <item x="2546"/>
        <item x="2543"/>
        <item x="2542"/>
        <item x="3654"/>
        <item x="3649"/>
        <item x="3668"/>
        <item x="3662"/>
        <item x="3658"/>
        <item x="3665"/>
        <item x="3656"/>
        <item x="3642"/>
        <item x="3657"/>
        <item x="3627"/>
        <item x="3659"/>
        <item x="3653"/>
        <item x="3655"/>
        <item x="3667"/>
        <item x="3670"/>
        <item x="3319"/>
        <item x="3067"/>
        <item x="3349"/>
        <item x="3322"/>
        <item x="3318"/>
        <item x="83"/>
        <item x="89"/>
        <item x="104"/>
        <item x="88"/>
        <item x="3790"/>
        <item x="3793"/>
        <item x="3894"/>
        <item x="3902"/>
        <item x="3893"/>
        <item x="886"/>
        <item x="939"/>
        <item x="850"/>
        <item x="923"/>
        <item x="935"/>
        <item x="937"/>
        <item x="933"/>
        <item x="938"/>
        <item x="928"/>
        <item x="919"/>
        <item x="921"/>
        <item x="930"/>
        <item x="742"/>
        <item x="747"/>
        <item x="829"/>
        <item x="632"/>
        <item x="1763"/>
        <item x="1749"/>
        <item x="1769"/>
        <item x="1773"/>
        <item x="1967"/>
        <item x="3889"/>
        <item x="2458"/>
        <item x="2394"/>
        <item x="2832"/>
        <item x="2833"/>
        <item x="2867"/>
        <item x="2861"/>
        <item x="519"/>
        <item x="531"/>
        <item x="534"/>
        <item x="528"/>
        <item x="515"/>
        <item x="513"/>
        <item x="647"/>
        <item x="524"/>
        <item x="564"/>
        <item x="537"/>
        <item x="552"/>
        <item x="523"/>
        <item x="567"/>
        <item x="536"/>
        <item x="527"/>
        <item x="545"/>
        <item x="533"/>
        <item x="514"/>
        <item x="525"/>
        <item x="529"/>
        <item x="2204"/>
        <item x="2199"/>
        <item x="3160"/>
        <item x="3054"/>
        <item x="3058"/>
        <item x="3061"/>
        <item x="4335"/>
        <item x="2163"/>
        <item x="4333"/>
        <item x="4338"/>
        <item x="3302"/>
        <item x="3286"/>
        <item x="3283"/>
        <item x="3268"/>
        <item x="3273"/>
        <item x="3475"/>
        <item x="3478"/>
        <item x="3535"/>
        <item x="3509"/>
        <item x="3505"/>
        <item x="3513"/>
        <item x="3503"/>
        <item x="3515"/>
        <item x="3524"/>
        <item x="3504"/>
        <item x="3467"/>
        <item x="3293"/>
        <item x="3539"/>
        <item x="3546"/>
        <item x="3514"/>
        <item x="3575"/>
        <item x="3520"/>
        <item x="3551"/>
        <item x="3540"/>
        <item x="3527"/>
        <item x="3532"/>
        <item x="3292"/>
        <item x="3040"/>
        <item x="3274"/>
        <item x="3604"/>
        <item x="3481"/>
        <item x="3444"/>
        <item x="3445"/>
        <item x="3456"/>
        <item x="3464"/>
        <item x="3451"/>
        <item x="3457"/>
        <item x="3433"/>
        <item x="3434"/>
        <item x="3435"/>
        <item x="3439"/>
        <item x="3437"/>
        <item x="3436"/>
        <item x="3441"/>
        <item x="3272"/>
        <item x="3219"/>
        <item x="3216"/>
        <item x="3215"/>
        <item x="3223"/>
        <item x="3237"/>
        <item x="3233"/>
        <item x="3230"/>
        <item x="3508"/>
        <item x="3526"/>
        <item x="3529"/>
        <item x="3542"/>
        <item x="3506"/>
        <item x="3533"/>
        <item x="3576"/>
        <item x="3547"/>
        <item x="3534"/>
        <item x="3462"/>
        <item x="3603"/>
        <item x="3037"/>
        <item x="3264"/>
        <item x="3245"/>
        <item x="3242"/>
        <item x="3260"/>
        <item x="3646"/>
        <item x="3637"/>
        <item x="3613"/>
        <item x="3632"/>
        <item x="3636"/>
        <item x="3639"/>
        <item x="3605"/>
        <item x="3629"/>
        <item x="3635"/>
        <item x="3606"/>
        <item x="3614"/>
        <item x="3618"/>
        <item x="3650"/>
        <item x="3647"/>
        <item x="3617"/>
        <item x="3615"/>
        <item x="3630"/>
        <item x="3663"/>
        <item x="3619"/>
        <item x="3666"/>
        <item x="3622"/>
        <item x="3624"/>
        <item x="3638"/>
        <item x="3294"/>
        <item x="3470"/>
        <item x="3465"/>
        <item x="3443"/>
        <item x="3275"/>
        <item x="3266"/>
        <item x="3452"/>
        <item x="100"/>
        <item x="96"/>
        <item x="106"/>
        <item x="86"/>
        <item x="907"/>
        <item x="4081"/>
        <item x="4083"/>
        <item x="4084"/>
        <item x="4085"/>
        <item x="4082"/>
        <item x="1458"/>
        <item x="1463"/>
        <item x="1493"/>
        <item x="1526"/>
        <item x="3096"/>
        <item x="3099"/>
        <item x="309"/>
        <item x="305"/>
        <item x="2177"/>
        <item x="1974"/>
        <item x="4329"/>
        <item x="4325"/>
        <item x="2376"/>
        <item x="659"/>
        <item x="1501"/>
        <item x="4080"/>
        <item x="3783"/>
        <item x="3752"/>
        <item x="3750"/>
        <item x="3747"/>
        <item x="3749"/>
        <item x="3787"/>
        <item x="3756"/>
        <item x="3753"/>
        <item x="3760"/>
        <item x="3754"/>
        <item x="2129"/>
        <item x="2355"/>
        <item x="2130"/>
        <item x="434"/>
        <item x="361"/>
        <item x="383"/>
        <item x="423"/>
        <item x="316"/>
        <item x="313"/>
        <item x="327"/>
        <item x="332"/>
        <item x="266"/>
        <item x="287"/>
        <item x="265"/>
        <item x="284"/>
        <item x="330"/>
        <item x="2032"/>
        <item x="1992"/>
        <item x="1985"/>
        <item x="2017"/>
        <item x="2029"/>
        <item x="2027"/>
        <item x="1980"/>
        <item x="2022"/>
        <item x="2021"/>
        <item x="2033"/>
        <item x="2036"/>
        <item x="2006"/>
        <item x="2042"/>
        <item x="2011"/>
        <item x="2026"/>
        <item x="2037"/>
        <item x="2031"/>
        <item x="2008"/>
        <item x="2035"/>
        <item x="1988"/>
        <item x="2028"/>
        <item x="2012"/>
        <item x="2018"/>
        <item x="2020"/>
        <item x="2014"/>
        <item x="1989"/>
        <item x="1990"/>
        <item x="1983"/>
        <item x="2009"/>
        <item x="2004"/>
        <item x="2041"/>
        <item x="1979"/>
        <item x="2296"/>
        <item x="1999"/>
        <item x="1981"/>
        <item x="1984"/>
        <item x="1996"/>
        <item x="1978"/>
        <item x="1976"/>
        <item x="2000"/>
        <item x="1986"/>
        <item x="1993"/>
        <item x="2034"/>
        <item x="2038"/>
        <item x="2050"/>
        <item x="2024"/>
        <item x="1987"/>
        <item x="2003"/>
        <item x="1975"/>
        <item x="1362"/>
        <item x="3877"/>
        <item x="3878"/>
        <item x="3879"/>
        <item x="3880"/>
        <item x="947"/>
        <item x="1819"/>
        <item x="1629"/>
        <item x="1651"/>
        <item x="1568"/>
        <item x="1626"/>
        <item x="1625"/>
        <item x="1658"/>
        <item x="1646"/>
        <item x="1650"/>
        <item x="4351"/>
        <item x="1436"/>
        <item x="1438"/>
        <item x="895"/>
        <item x="2372"/>
        <item x="2370"/>
        <item x="2357"/>
        <item x="2323"/>
        <item x="2383"/>
        <item x="2390"/>
        <item x="2343"/>
        <item x="2379"/>
        <item x="2342"/>
        <item x="2338"/>
        <item x="2378"/>
        <item x="2327"/>
        <item x="2329"/>
        <item x="2382"/>
        <item x="2388"/>
        <item x="2354"/>
        <item x="2322"/>
        <item x="2171"/>
        <item x="2328"/>
        <item x="2362"/>
        <item x="2373"/>
        <item x="2381"/>
        <item x="2330"/>
        <item x="2324"/>
        <item x="2321"/>
        <item x="2391"/>
        <item x="2377"/>
        <item x="2345"/>
        <item x="2358"/>
        <item x="2385"/>
        <item x="2366"/>
        <item x="2351"/>
        <item x="2174"/>
        <item x="2337"/>
        <item x="2352"/>
        <item x="2353"/>
        <item x="2346"/>
        <item x="2380"/>
        <item x="1525"/>
        <item x="1518"/>
        <item x="1539"/>
        <item x="1725"/>
        <item x="1721"/>
        <item x="1722"/>
        <item x="1732"/>
        <item x="1729"/>
        <item x="1726"/>
        <item x="1734"/>
        <item x="1735"/>
        <item x="1727"/>
        <item x="1737"/>
        <item x="1731"/>
        <item x="1162"/>
        <item x="1165"/>
        <item x="1262"/>
        <item x="1728"/>
        <item x="1252"/>
        <item x="1206"/>
        <item x="1164"/>
        <item x="1171"/>
        <item x="2910"/>
        <item x="1295"/>
        <item x="2002"/>
        <item x="3410"/>
        <item x="3203"/>
        <item x="3190"/>
        <item x="3060"/>
        <item x="3195"/>
        <item x="3192"/>
        <item x="3019"/>
        <item x="3407"/>
        <item x="3401"/>
        <item x="3399"/>
        <item x="3414"/>
        <item x="3408"/>
        <item x="3417"/>
        <item x="3071"/>
        <item x="3026"/>
        <item x="3055"/>
        <item x="3057"/>
        <item x="3210"/>
        <item x="3416"/>
        <item x="3418"/>
        <item x="3056"/>
        <item x="3066"/>
        <item x="3270"/>
        <item x="3409"/>
        <item x="3065"/>
        <item x="3073"/>
        <item x="3271"/>
        <item x="3905"/>
        <item x="673"/>
        <item x="2884"/>
        <item x="2887"/>
        <item x="2886"/>
        <item x="321"/>
        <item x="268"/>
        <item x="278"/>
        <item x="292"/>
        <item x="2091"/>
        <item x="2082"/>
        <item x="2063"/>
        <item x="1868"/>
        <item x="1873"/>
        <item x="2178"/>
        <item x="2170"/>
        <item x="3808"/>
        <item x="3836"/>
        <item x="3802"/>
        <item x="3800"/>
        <item x="3816"/>
        <item x="3819"/>
        <item x="3813"/>
        <item x="3803"/>
        <item x="3817"/>
        <item x="3798"/>
        <item x="3806"/>
        <item x="3809"/>
        <item x="3805"/>
        <item x="3815"/>
        <item x="3799"/>
        <item x="3837"/>
        <item x="3822"/>
        <item x="3832"/>
        <item x="3834"/>
        <item x="3831"/>
        <item x="3833"/>
        <item x="3823"/>
        <item x="3821"/>
        <item x="3820"/>
        <item x="3827"/>
        <item x="3804"/>
        <item x="3818"/>
        <item x="3801"/>
        <item x="3828"/>
        <item x="3829"/>
        <item x="2005"/>
        <item x="706"/>
        <item x="696"/>
        <item x="700"/>
        <item x="703"/>
        <item x="680"/>
        <item x="1764"/>
        <item x="1742"/>
        <item x="1782"/>
        <item x="1750"/>
        <item x="2369"/>
        <item x="2115"/>
        <item x="2149"/>
        <item x="2120"/>
        <item x="2119"/>
        <item x="2116"/>
        <item x="2175"/>
        <item x="2133"/>
        <item x="3188"/>
        <item x="3163"/>
        <item x="986"/>
        <item x="984"/>
        <item x="988"/>
        <item x="4348"/>
        <item x="3035"/>
        <item x="2885"/>
        <item x="2883"/>
        <item x="4033"/>
        <item x="4035"/>
        <item x="735"/>
        <item x="2226"/>
        <item x="2188"/>
        <item x="2194"/>
        <item x="2202"/>
        <item x="2214"/>
        <item x="2192"/>
        <item x="2244"/>
        <item x="2196"/>
        <item x="2231"/>
        <item x="2219"/>
        <item x="2220"/>
        <item x="2195"/>
        <item x="2215"/>
        <item x="2446"/>
        <item x="2939"/>
        <item x="2973"/>
        <item x="2949"/>
        <item x="2967"/>
        <item x="3415"/>
        <item x="3412"/>
        <item x="3405"/>
        <item x="3413"/>
        <item x="2096"/>
        <item x="2882"/>
        <item x="2198"/>
        <item x="3995"/>
        <item x="3994"/>
        <item x="4298"/>
        <item x="2964"/>
        <item x="2936"/>
        <item x="2951"/>
        <item x="2990"/>
        <item x="2991"/>
        <item x="2976"/>
        <item x="3406"/>
        <item x="3997"/>
        <item x="279"/>
        <item x="1381"/>
        <item x="1366"/>
        <item x="1363"/>
        <item x="1373"/>
        <item x="1379"/>
        <item x="1390"/>
        <item x="1384"/>
        <item x="2684"/>
        <item x="2667"/>
        <item x="2434"/>
        <item x="2741"/>
        <item x="2676"/>
        <item x="2693"/>
        <item x="2674"/>
        <item x="2744"/>
        <item x="2670"/>
        <item x="606"/>
        <item x="572"/>
        <item x="607"/>
        <item x="583"/>
        <item x="566"/>
        <item x="553"/>
        <item x="579"/>
        <item x="604"/>
        <item x="597"/>
        <item x="602"/>
        <item x="2229"/>
        <item x="2245"/>
        <item x="2208"/>
        <item x="2190"/>
        <item x="2189"/>
        <item x="2235"/>
        <item x="2218"/>
        <item x="2182"/>
        <item x="2181"/>
        <item x="2898"/>
        <item x="2902"/>
        <item x="2899"/>
        <item x="2901"/>
        <item x="2900"/>
        <item x="1788"/>
        <item x="1777"/>
        <item x="1781"/>
        <item x="1786"/>
        <item x="1787"/>
        <item x="702"/>
        <item x="343"/>
        <item x="761"/>
        <item x="776"/>
        <item x="786"/>
        <item x="808"/>
        <item x="767"/>
        <item x="791"/>
        <item x="341"/>
        <item x="334"/>
        <item x="2926"/>
        <item x="3093"/>
        <item x="3104"/>
        <item x="3107"/>
        <item x="2924"/>
        <item x="2935"/>
        <item x="3086"/>
        <item x="3092"/>
        <item x="302"/>
        <item x="300"/>
        <item x="331"/>
        <item x="3033"/>
        <item x="3016"/>
        <item x="295"/>
        <item x="301"/>
        <item x="1818"/>
        <item x="1814"/>
        <item x="1804"/>
        <item x="294"/>
        <item x="298"/>
        <item x="277"/>
        <item x="269"/>
        <item x="997"/>
        <item x="1015"/>
        <item x="3323"/>
        <item x="1139"/>
        <item x="1855"/>
        <item x="1845"/>
        <item x="1138"/>
        <item x="1150"/>
        <item x="1301"/>
        <item x="1838"/>
        <item x="1142"/>
        <item x="1309"/>
        <item x="1147"/>
        <item x="1145"/>
        <item x="1157"/>
        <item x="1163"/>
        <item x="1837"/>
        <item x="1836"/>
        <item x="1308"/>
        <item x="2969"/>
        <item x="1916"/>
        <item x="1927"/>
        <item x="3991"/>
        <item x="3989"/>
        <item x="3993"/>
        <item x="2988"/>
        <item x="4247"/>
        <item x="4242"/>
        <item x="2375"/>
        <item x="4175"/>
        <item x="4174"/>
        <item x="3980"/>
        <item x="3982"/>
        <item x="3981"/>
        <item x="3978"/>
        <item x="3983"/>
        <item x="3984"/>
        <item x="3979"/>
        <item x="2532"/>
        <item x="2536"/>
        <item x="2535"/>
        <item x="353"/>
        <item x="1755"/>
        <item x="2113"/>
        <item x="2128"/>
        <item x="2131"/>
        <item x="2138"/>
        <item x="2132"/>
        <item x="2136"/>
        <item x="2137"/>
        <item x="2135"/>
        <item x="2139"/>
        <item x="2127"/>
        <item x="4037"/>
        <item x="4023"/>
        <item x="3896"/>
        <item x="2620"/>
        <item x="2622"/>
        <item x="2619"/>
        <item x="3373"/>
        <item x="3367"/>
        <item x="3371"/>
        <item x="3346"/>
        <item x="3357"/>
        <item x="3340"/>
        <item x="1793"/>
        <item x="1797"/>
        <item x="1796"/>
        <item x="1795"/>
        <item x="1794"/>
        <item x="1798"/>
        <item x="1648"/>
        <item x="2819"/>
        <item x="2793"/>
        <item x="2788"/>
        <item x="2789"/>
        <item x="2799"/>
        <item x="2785"/>
        <item x="2791"/>
        <item x="2825"/>
        <item x="2798"/>
        <item x="2790"/>
        <item x="2074"/>
        <item x="2075"/>
        <item x="2071"/>
        <item x="2787"/>
        <item x="1509"/>
        <item x="1624"/>
        <item x="1621"/>
        <item x="1000"/>
        <item x="1529"/>
        <item x="1532"/>
        <item x="1521"/>
        <item x="1522"/>
        <item x="1523"/>
        <item x="1489"/>
        <item x="1508"/>
        <item x="1491"/>
        <item x="896"/>
        <item x="892"/>
        <item x="1632"/>
        <item x="1019"/>
        <item x="1530"/>
        <item x="4118"/>
        <item x="4099"/>
        <item x="3370"/>
        <item x="3364"/>
        <item x="3985"/>
        <item x="3986"/>
        <item x="3838"/>
        <item x="3842"/>
        <item x="3844"/>
        <item x="3850"/>
        <item x="3840"/>
        <item x="3355"/>
        <item x="3848"/>
        <item x="3881"/>
        <item x="3361"/>
        <item x="3987"/>
        <item x="3133"/>
        <item x="2977"/>
        <item x="3934"/>
        <item x="4243"/>
        <item x="3049"/>
        <item x="3132"/>
        <item x="3690"/>
        <item x="3853"/>
        <item x="3856"/>
        <item x="3861"/>
        <item x="3936"/>
        <item x="3933"/>
        <item x="2289"/>
        <item x="2290"/>
        <item x="2185"/>
        <item x="2179"/>
        <item x="2184"/>
        <item x="2180"/>
        <item x="457"/>
        <item x="1704"/>
        <item x="1713"/>
        <item x="1555"/>
        <item x="1716"/>
        <item x="1014"/>
        <item x="1003"/>
        <item x="1012"/>
        <item x="1009"/>
        <item x="1011"/>
        <item x="1696"/>
        <item x="2809"/>
        <item x="626"/>
        <item x="627"/>
        <item x="3910"/>
        <item x="1919"/>
        <item x="899"/>
        <item x="891"/>
        <item x="889"/>
        <item x="887"/>
        <item x="871"/>
        <item x="874"/>
        <item x="815"/>
        <item x="285"/>
        <item x="3854"/>
        <item x="3864"/>
        <item x="3867"/>
        <item x="3875"/>
        <item x="3876"/>
        <item x="4057"/>
        <item x="4058"/>
        <item x="884"/>
        <item x="1771"/>
        <item x="1744"/>
        <item x="849"/>
        <item x="852"/>
        <item x="1766"/>
        <item x="827"/>
        <item x="1389"/>
        <item x="323"/>
        <item x="329"/>
        <item x="4240"/>
        <item x="469"/>
        <item x="4096"/>
        <item x="4095"/>
        <item x="1903"/>
        <item x="1680"/>
        <item x="1688"/>
        <item x="430"/>
        <item x="443"/>
        <item x="425"/>
        <item x="428"/>
        <item x="435"/>
        <item x="416"/>
        <item x="460"/>
        <item x="420"/>
        <item x="446"/>
        <item x="421"/>
        <item x="3411"/>
        <item x="3309"/>
        <item x="3352"/>
        <item x="3554"/>
        <item x="3537"/>
        <item x="3567"/>
        <item x="3564"/>
        <item x="3594"/>
        <item x="3558"/>
        <item x="3562"/>
        <item x="3566"/>
        <item x="3584"/>
        <item x="3262"/>
        <item x="3278"/>
        <item x="3300"/>
        <item x="3301"/>
        <item x="3299"/>
        <item x="3303"/>
        <item x="3296"/>
        <item x="3304"/>
        <item x="3298"/>
        <item x="3243"/>
        <item x="3247"/>
        <item x="3250"/>
        <item x="3438"/>
        <item x="3460"/>
        <item x="3295"/>
        <item x="3297"/>
        <item x="3628"/>
        <item x="3284"/>
        <item x="3450"/>
        <item x="3519"/>
        <item x="3552"/>
        <item x="3581"/>
        <item x="3541"/>
        <item x="3578"/>
        <item x="3588"/>
        <item x="3550"/>
        <item x="3563"/>
        <item x="3530"/>
        <item x="3556"/>
        <item x="3561"/>
        <item x="3579"/>
        <item x="3555"/>
        <item x="3593"/>
        <item x="3573"/>
        <item x="3590"/>
        <item x="3565"/>
        <item x="3583"/>
        <item x="3595"/>
        <item x="3574"/>
        <item x="3591"/>
        <item x="3580"/>
        <item x="3625"/>
        <item x="3660"/>
        <item x="3643"/>
        <item x="3651"/>
        <item x="3669"/>
        <item x="3616"/>
        <item x="3621"/>
        <item x="3645"/>
        <item x="3664"/>
        <item x="3641"/>
        <item x="3640"/>
        <item x="3671"/>
        <item x="3652"/>
        <item x="3545"/>
        <item x="3531"/>
        <item x="3543"/>
        <item x="3538"/>
        <item x="3511"/>
        <item x="3516"/>
        <item x="3528"/>
        <item x="3634"/>
        <item x="3644"/>
        <item x="3620"/>
        <item x="3661"/>
        <item x="3626"/>
        <item x="3648"/>
        <item x="3276"/>
        <item x="3290"/>
        <item x="3461"/>
        <item x="3244"/>
        <item x="3248"/>
        <item x="3249"/>
        <item x="3918"/>
        <item x="472"/>
        <item x="4324"/>
        <item x="4322"/>
        <item x="1399"/>
        <item x="1391"/>
        <item x="1382"/>
        <item x="1397"/>
        <item x="1380"/>
        <item x="1377"/>
        <item x="1392"/>
        <item x="1284"/>
        <item x="1283"/>
        <item x="1288"/>
        <item x="1277"/>
        <item x="1289"/>
        <item x="1340"/>
        <item x="1326"/>
        <item x="1339"/>
        <item x="1329"/>
        <item x="1336"/>
        <item x="2306"/>
        <item x="2315"/>
        <item x="4319"/>
        <item x="208"/>
        <item x="1733"/>
        <item x="1909"/>
        <item x="1902"/>
        <item x="1901"/>
        <item x="1910"/>
        <item x="1730"/>
        <item x="1287"/>
        <item x="1290"/>
        <item x="1280"/>
        <item x="1753"/>
        <item x="605"/>
        <item x="549"/>
        <item x="584"/>
        <item x="608"/>
        <item x="590"/>
        <item x="595"/>
        <item x="634"/>
        <item x="2316"/>
        <item x="2317"/>
        <item x="2318"/>
        <item x="4235"/>
        <item x="388"/>
        <item x="1152"/>
        <item x="1811"/>
        <item x="1808"/>
        <item x="1809"/>
        <item x="1817"/>
        <item x="1010"/>
        <item x="1004"/>
        <item x="1005"/>
        <item x="1007"/>
        <item x="1006"/>
        <item x="1008"/>
        <item x="2959"/>
        <item x="2937"/>
        <item x="2975"/>
        <item x="4156"/>
        <item x="4164"/>
        <item x="3839"/>
        <item x="3845"/>
        <item x="3351"/>
        <item x="3849"/>
        <item x="3852"/>
        <item x="2651"/>
        <item x="3031"/>
        <item x="3007"/>
        <item x="3014"/>
        <item x="3009"/>
        <item x="3020"/>
        <item x="3030"/>
        <item x="3013"/>
        <item x="2770"/>
        <item x="2771"/>
        <item x="2482"/>
        <item x="2487"/>
        <item x="2481"/>
        <item x="2483"/>
        <item x="2474"/>
        <item x="2475"/>
        <item x="2466"/>
        <item x="2476"/>
        <item x="2479"/>
        <item x="2769"/>
        <item x="2411"/>
        <item x="2485"/>
        <item x="2486"/>
        <item x="2436"/>
        <item x="2491"/>
        <item x="4166"/>
        <item x="2754"/>
        <item x="2757"/>
        <item x="2746"/>
        <item x="2469"/>
        <item x="2678"/>
        <item x="2740"/>
        <item x="2430"/>
        <item x="2468"/>
        <item x="2467"/>
        <item x="2477"/>
        <item x="2488"/>
        <item x="2408"/>
        <item x="2484"/>
        <item x="2480"/>
        <item x="2745"/>
        <item x="2750"/>
        <item x="2331"/>
        <item x="3886"/>
        <item x="4045"/>
        <item x="25"/>
        <item x="1611"/>
        <item x="1608"/>
        <item x="3972"/>
        <item x="3952"/>
        <item x="3976"/>
        <item x="3958"/>
        <item x="3966"/>
        <item x="3954"/>
        <item x="3773"/>
        <item x="3778"/>
        <item x="3746"/>
        <item x="3961"/>
        <item x="3967"/>
        <item x="3777"/>
        <item x="4339"/>
        <item x="599"/>
        <item x="591"/>
        <item x="652"/>
        <item x="573"/>
        <item x="577"/>
        <item x="1799"/>
        <item x="1022"/>
        <item x="2775"/>
        <item x="2773"/>
        <item x="3901"/>
        <item x="1419"/>
        <item x="1412"/>
        <item x="1418"/>
        <item x="1417"/>
        <item x="1414"/>
        <item x="1411"/>
        <item x="1416"/>
        <item x="1420"/>
        <item x="1442"/>
        <item x="1435"/>
        <item x="1437"/>
        <item x="1429"/>
        <item x="200"/>
        <item x="644"/>
        <item x="643"/>
        <item x="645"/>
        <item x="642"/>
        <item x="2634"/>
        <item x="3181"/>
        <item x="2952"/>
        <item x="3379"/>
        <item x="3329"/>
        <item x="3375"/>
        <item x="3330"/>
        <item x="3113"/>
        <item x="2963"/>
        <item x="3396"/>
        <item x="3047"/>
        <item x="3046"/>
        <item x="2971"/>
        <item x="2953"/>
        <item x="3380"/>
        <item x="2958"/>
        <item x="2956"/>
        <item x="2950"/>
        <item x="2974"/>
        <item x="2223"/>
        <item x="3766"/>
        <item x="3772"/>
        <item x="1504"/>
        <item x="1471"/>
        <item x="1550"/>
        <item x="1476"/>
        <item x="1549"/>
        <item x="94"/>
        <item x="101"/>
        <item x="1562"/>
        <item x="1554"/>
        <item x="1612"/>
        <item x="1565"/>
        <item x="2640"/>
        <item x="2363"/>
        <item x="324"/>
        <item x="2114"/>
        <item x="15"/>
        <item x="10"/>
        <item x="183"/>
        <item x="127"/>
        <item x="40"/>
        <item x="166"/>
        <item x="155"/>
        <item x="128"/>
        <item x="156"/>
        <item x="70"/>
        <item x="75"/>
        <item x="141"/>
        <item x="140"/>
        <item x="1945"/>
        <item x="1950"/>
        <item x="1948"/>
        <item x="1946"/>
        <item x="1955"/>
        <item x="1958"/>
        <item x="1954"/>
        <item x="1947"/>
        <item x="1957"/>
        <item x="1949"/>
        <item x="1575"/>
        <item x="1574"/>
        <item x="1952"/>
        <item x="1953"/>
        <item x="1944"/>
        <item x="34"/>
        <item x="35"/>
        <item x="45"/>
        <item x="1876"/>
        <item x="1001"/>
        <item x="1875"/>
        <item x="998"/>
        <item x="411"/>
        <item x="406"/>
        <item x="238"/>
        <item x="1828"/>
        <item x="328"/>
        <item x="415"/>
        <item x="3028"/>
        <item x="4187"/>
        <item x="4179"/>
        <item x="4180"/>
        <item x="4190"/>
        <item x="4183"/>
        <item x="4189"/>
        <item x="4184"/>
        <item x="4176"/>
        <item x="4172"/>
        <item x="4171"/>
        <item x="4185"/>
        <item x="4188"/>
        <item x="4181"/>
        <item x="565"/>
        <item x="589"/>
        <item x="1887"/>
        <item x="1897"/>
        <item x="657"/>
        <item x="601"/>
        <item x="561"/>
        <item x="546"/>
        <item x="575"/>
        <item x="185"/>
        <item x="1172"/>
        <item x="1169"/>
        <item x="1166"/>
        <item x="1254"/>
        <item x="1223"/>
        <item x="1421"/>
        <item x="1423"/>
        <item x="1103"/>
        <item x="1101"/>
        <item x="2705"/>
        <item x="2710"/>
        <item x="2707"/>
        <item x="2708"/>
        <item x="2713"/>
        <item x="2704"/>
        <item x="2672"/>
        <item x="2717"/>
        <item x="2714"/>
        <item x="2712"/>
        <item x="2700"/>
        <item x="2715"/>
        <item x="2703"/>
        <item x="2720"/>
        <item x="3011"/>
        <item x="3587"/>
        <item x="3269"/>
        <item x="3267"/>
        <item x="3459"/>
        <item x="3142"/>
        <item x="3257"/>
        <item x="3254"/>
        <item x="3442"/>
        <item x="3631"/>
        <item x="3610"/>
        <item x="3608"/>
        <item x="3612"/>
        <item x="3611"/>
        <item x="3609"/>
        <item x="3607"/>
        <item x="3258"/>
        <item x="3259"/>
        <item x="3256"/>
        <item x="3252"/>
        <item x="3253"/>
        <item x="3251"/>
        <item x="3599"/>
        <item x="3582"/>
        <item x="3592"/>
        <item x="3585"/>
        <item x="3600"/>
        <item x="3255"/>
        <item x="3200"/>
        <item x="4002"/>
        <item x="3261"/>
        <item x="3032"/>
        <item x="3039"/>
        <item x="3228"/>
        <item x="3041"/>
        <item x="3208"/>
        <item x="3548"/>
        <item x="3560"/>
        <item x="3559"/>
        <item x="3571"/>
        <item x="3544"/>
        <item x="3577"/>
        <item x="3569"/>
        <item x="3510"/>
        <item x="3449"/>
        <item x="3440"/>
        <item x="3458"/>
        <item x="3453"/>
        <item x="3572"/>
        <item x="3597"/>
        <item x="3589"/>
        <item x="3521"/>
        <item x="3525"/>
        <item x="3598"/>
        <item x="3490"/>
        <item x="3570"/>
        <item x="3500"/>
        <item x="3492"/>
        <item x="3496"/>
        <item x="3489"/>
        <item x="3494"/>
        <item x="3601"/>
        <item x="3596"/>
        <item x="3586"/>
        <item x="3279"/>
        <item x="3277"/>
        <item x="3217"/>
        <item x="3232"/>
        <item x="3238"/>
        <item x="3234"/>
        <item x="3240"/>
        <item x="3008"/>
        <item x="3127"/>
        <item x="3129"/>
        <item x="3125"/>
        <item x="3633"/>
        <item x="3623"/>
        <item x="3042"/>
        <item x="1849"/>
        <item x="1860"/>
        <item x="1842"/>
        <item x="1844"/>
        <item x="454"/>
        <item x="453"/>
        <item x="452"/>
        <item x="450"/>
        <item x="451"/>
        <item x="449"/>
        <item x="1856"/>
        <item x="386"/>
        <item x="385"/>
        <item x="3830"/>
        <item x="3812"/>
        <item x="3825"/>
        <item x="2767"/>
        <item x="2792"/>
        <item x="248"/>
        <item x="1185"/>
        <item x="1192"/>
        <item x="1202"/>
        <item x="1186"/>
        <item x="1214"/>
        <item x="1193"/>
        <item x="1216"/>
        <item x="1219"/>
        <item x="1225"/>
        <item x="806"/>
        <item x="820"/>
        <item x="834"/>
        <item x="311"/>
        <item x="307"/>
        <item x="520"/>
        <item x="4290"/>
        <item x="2944"/>
        <item x="4305"/>
        <item x="2984"/>
        <item x="3992"/>
        <item x="2989"/>
        <item x="2933"/>
        <item x="1303"/>
        <item x="1307"/>
        <item x="1304"/>
        <item x="1311"/>
        <item x="1302"/>
        <item x="911"/>
        <item x="4346"/>
        <item x="4328"/>
        <item x="4330"/>
        <item x="4334"/>
        <item x="4321"/>
        <item x="1546"/>
        <item x="1547"/>
        <item x="1548"/>
        <item x="1545"/>
        <item x="1544"/>
        <item x="711"/>
        <item x="751"/>
        <item x="692"/>
        <item x="701"/>
        <item x="704"/>
        <item x="2928"/>
        <item x="3700"/>
        <item x="3702"/>
        <item x="3882"/>
        <item x="3391"/>
        <item x="2104"/>
        <item x="2108"/>
        <item x="2110"/>
        <item x="1127"/>
        <item x="1128"/>
        <item x="1129"/>
        <item x="1130"/>
        <item x="2748"/>
        <item x="2657"/>
        <item x="2761"/>
        <item x="2759"/>
        <item x="2753"/>
        <item x="2755"/>
        <item x="2763"/>
        <item x="2760"/>
        <item x="2356"/>
        <item x="471"/>
        <item x="3945"/>
        <item x="3400"/>
        <item x="3398"/>
        <item x="3404"/>
        <item x="3366"/>
        <item x="3402"/>
        <item x="3403"/>
        <item x="3390"/>
        <item x="3350"/>
        <item x="3392"/>
        <item x="3358"/>
        <item x="3394"/>
        <item x="3145"/>
        <item x="3196"/>
        <item x="3387"/>
        <item x="3337"/>
        <item x="3193"/>
        <item x="3197"/>
        <item x="3209"/>
        <item x="3211"/>
        <item x="1076"/>
        <item x="1049"/>
        <item x="1634"/>
        <item x="3479"/>
        <item x="3080"/>
        <item x="3287"/>
        <item x="3000"/>
        <item x="3172"/>
        <item x="3015"/>
        <item x="3175"/>
        <item x="3038"/>
        <item x="3078"/>
        <item x="3137"/>
        <item x="3136"/>
        <item x="3143"/>
        <item x="3128"/>
        <item x="3126"/>
        <item x="3123"/>
        <item x="3023"/>
        <item x="3017"/>
        <item x="3002"/>
        <item x="3171"/>
        <item x="3077"/>
        <item x="3029"/>
        <item x="3138"/>
        <item x="3140"/>
        <item x="3149"/>
        <item x="3466"/>
        <item x="3241"/>
        <item x="3265"/>
        <item x="3246"/>
        <item x="3225"/>
        <item x="3226"/>
        <item x="3224"/>
        <item x="3152"/>
        <item x="3463"/>
        <item x="3536"/>
        <item x="3227"/>
        <item x="3151"/>
        <item x="3146"/>
        <item x="3281"/>
        <item x="3124"/>
        <item x="3139"/>
        <item x="1635"/>
        <item x="2243"/>
        <item x="2242"/>
        <item x="1802"/>
        <item x="1513"/>
        <item x="1498"/>
        <item x="1505"/>
        <item x="2983"/>
        <item x="2957"/>
        <item x="4000"/>
        <item x="2947"/>
        <item x="2923"/>
        <item x="2925"/>
        <item x="4331"/>
        <item x="943"/>
        <item x="4059"/>
        <item x="4062"/>
        <item x="4063"/>
        <item x="4065"/>
        <item x="1874"/>
        <item x="1859"/>
        <item x="1686"/>
        <item x="1564"/>
        <item x="625"/>
        <item x="554"/>
        <item x="1668"/>
        <item x="518"/>
        <item x="1673"/>
        <item x="1671"/>
        <item x="1691"/>
        <item x="1694"/>
        <item x="1558"/>
        <item x="1569"/>
        <item x="1674"/>
        <item x="1560"/>
        <item x="3316"/>
        <item x="124"/>
        <item x="4234"/>
        <item x="404"/>
        <item x="373"/>
        <item x="169"/>
        <item x="1331"/>
        <item x="1325"/>
        <item x="1328"/>
        <item x="1268"/>
        <item x="1270"/>
        <item x="1267"/>
        <item x="1263"/>
        <item x="1278"/>
        <item x="1269"/>
        <item x="1334"/>
        <item x="1335"/>
        <item x="1234"/>
        <item x="1209"/>
        <item x="1247"/>
        <item x="1237"/>
        <item x="1218"/>
        <item x="1248"/>
        <item x="1235"/>
        <item x="1228"/>
        <item x="1240"/>
        <item x="1238"/>
        <item x="1613"/>
        <item x="999"/>
        <item x="2049"/>
        <item x="2046"/>
        <item x="2040"/>
        <item x="2015"/>
        <item x="2045"/>
        <item x="2047"/>
        <item x="2048"/>
        <item x="1038"/>
        <item x="1037"/>
        <item x="1050"/>
        <item x="3189"/>
        <item x="3432"/>
        <item x="3164"/>
        <item x="3165"/>
        <item x="3376"/>
        <item x="3841"/>
        <item x="3847"/>
        <item x="3846"/>
        <item x="3851"/>
        <item x="3389"/>
        <item x="3315"/>
        <item x="3344"/>
        <item x="3074"/>
        <item x="3159"/>
        <item x="3101"/>
        <item x="3204"/>
        <item x="3187"/>
        <item x="3157"/>
        <item x="3024"/>
        <item x="3472"/>
        <item x="3109"/>
        <item x="3191"/>
        <item x="3158"/>
        <item x="3022"/>
        <item x="3207"/>
        <item x="3131"/>
        <item x="207"/>
        <item x="3859"/>
        <item x="3871"/>
        <item x="3858"/>
        <item x="3857"/>
        <item x="3868"/>
        <item x="3870"/>
        <item x="3869"/>
        <item x="3963"/>
        <item x="3968"/>
        <item x="2232"/>
        <item x="2217"/>
        <item x="2216"/>
        <item x="2187"/>
        <item x="2222"/>
        <item x="2207"/>
        <item x="2774"/>
        <item x="2780"/>
        <item x="2794"/>
        <item x="2800"/>
        <item x="2783"/>
        <item x="2778"/>
        <item x="2782"/>
        <item x="2779"/>
        <item x="2806"/>
        <item x="948"/>
        <item x="2822"/>
        <item x="1002"/>
        <item x="996"/>
        <item x="2960"/>
        <item x="480"/>
        <item x="114"/>
        <item x="151"/>
        <item x="473"/>
        <item x="2742"/>
        <item x="2743"/>
        <item x="170"/>
        <item x="171"/>
        <item x="3473"/>
        <item x="3471"/>
        <item x="3557"/>
        <item x="3553"/>
        <item x="3523"/>
        <item x="3568"/>
        <item x="3549"/>
        <item x="3430"/>
        <item x="3218"/>
        <item x="3214"/>
        <item x="3221"/>
        <item x="3220"/>
        <item x="3222"/>
        <item x="3469"/>
        <item x="3484"/>
        <item x="3480"/>
        <item x="3455"/>
        <item x="3468"/>
        <item x="3482"/>
        <item x="3485"/>
        <item x="3474"/>
        <item x="3483"/>
        <item x="3477"/>
        <item x="3476"/>
        <item x="3502"/>
        <item x="3497"/>
        <item x="3454"/>
        <item x="3448"/>
        <item x="3522"/>
        <item x="3512"/>
        <item x="3518"/>
        <item x="3602"/>
        <item x="3507"/>
        <item x="3517"/>
        <item x="3288"/>
        <item x="3282"/>
        <item x="3280"/>
        <item x="3285"/>
        <item x="3263"/>
        <item x="3236"/>
        <item x="3229"/>
        <item x="3235"/>
        <item x="3231"/>
        <item x="3239"/>
        <item x="3289"/>
        <item x="3291"/>
        <item x="3447"/>
        <item x="3488"/>
        <item x="3499"/>
        <item x="3501"/>
        <item x="3495"/>
        <item x="3493"/>
        <item x="3431"/>
        <item x="3491"/>
        <item x="3487"/>
        <item x="3498"/>
        <item x="1368"/>
        <item x="1370"/>
        <item x="1365"/>
        <item x="1396"/>
        <item x="1378"/>
        <item x="1360"/>
        <item x="1364"/>
        <item x="1369"/>
        <item x="1375"/>
        <item x="1371"/>
        <item x="1367"/>
        <item x="1097"/>
        <item x="1069"/>
        <item x="609"/>
        <item x="616"/>
        <item x="592"/>
        <item x="598"/>
        <item x="596"/>
        <item x="593"/>
        <item x="615"/>
        <item x="646"/>
        <item x="2200"/>
        <item x="2209"/>
        <item x="2228"/>
        <item x="2237"/>
        <item x="2239"/>
        <item x="1614"/>
        <item x="2428"/>
        <item x="2921"/>
        <item x="2934"/>
        <item x="2943"/>
        <item x="1543"/>
        <item x="2557"/>
        <item x="3940"/>
        <item x="4191"/>
        <item x="4193"/>
        <item x="4192"/>
        <item x="2567"/>
        <item x="2570"/>
        <item x="2569"/>
        <item x="2559"/>
        <item x="2563"/>
        <item x="2560"/>
        <item x="2562"/>
        <item x="2561"/>
        <item x="2568"/>
        <item x="2566"/>
        <item x="2565"/>
        <item x="2253"/>
        <item x="2252"/>
        <item x="2257"/>
        <item x="2254"/>
        <item x="2260"/>
        <item x="2256"/>
        <item x="2255"/>
        <item x="2263"/>
        <item x="2258"/>
        <item x="2893"/>
        <item x="257"/>
        <item x="2941"/>
        <item x="2919"/>
        <item x="1551"/>
        <item x="2659"/>
        <item x="2666"/>
        <item x="2660"/>
        <item x="946"/>
        <item x="3072"/>
        <item x="3069"/>
        <item x="3079"/>
        <item x="3081"/>
        <item x="3206"/>
        <item x="3063"/>
        <item x="3205"/>
        <item x="3075"/>
        <item x="901"/>
        <item x="178"/>
        <item x="145"/>
        <item x="173"/>
        <item x="2584"/>
        <item x="2585"/>
        <item x="2586"/>
        <item x="448"/>
        <item x="1016"/>
        <item x="1017"/>
        <item x="1013"/>
        <item x="1018"/>
        <item x="3935"/>
        <item x="3922"/>
        <item x="987"/>
        <item x="20"/>
        <item x="23"/>
        <item x="144"/>
        <item x="175"/>
        <item x="3920"/>
        <item x="3921"/>
        <item x="1482"/>
        <item x="1466"/>
        <item x="1486"/>
        <item x="1497"/>
        <item x="2066"/>
        <item x="4050"/>
        <item x="2212"/>
        <item x="2248"/>
        <item x="2249"/>
        <item x="172"/>
        <item x="1191"/>
        <item x="780"/>
        <item x="781"/>
        <item x="894"/>
        <item x="689"/>
        <item x="337"/>
        <item x="656"/>
        <item x="624"/>
        <item x="1908"/>
        <item x="1911"/>
        <item x="651"/>
        <item x="1881"/>
        <item x="1886"/>
        <item x="1892"/>
        <item x="1895"/>
        <item x="654"/>
        <item x="1723"/>
        <item x="621"/>
        <item x="1344"/>
        <item x="4233"/>
        <item x="2145"/>
        <item x="2070"/>
        <item x="2365"/>
        <item x="2512"/>
        <item x="2368"/>
        <item x="1756"/>
        <item x="1758"/>
        <item x="1757"/>
        <item x="1772"/>
        <item x="548"/>
        <item x="1754"/>
        <item x="1743"/>
        <item x="1718"/>
        <item x="530"/>
        <item x="1770"/>
        <item x="1776"/>
        <item x="1711"/>
        <item x="1445"/>
        <item x="1446"/>
        <item x="1444"/>
        <item x="1040"/>
        <item x="1047"/>
        <item x="1041"/>
        <item x="1046"/>
        <item x="2946"/>
        <item x="2810"/>
        <item x="2968"/>
        <item x="2922"/>
        <item x="2320"/>
        <item x="1601"/>
        <item x="1599"/>
        <item x="1600"/>
        <item x="374"/>
        <item x="393"/>
        <item x="733"/>
        <item x="1904"/>
        <item x="1259"/>
        <item x="1800"/>
        <item x="1807"/>
        <item x="1272"/>
        <item x="1281"/>
        <item x="1813"/>
        <item x="1815"/>
        <item x="1827"/>
        <item x="1274"/>
        <item x="1319"/>
        <item x="1279"/>
        <item x="1338"/>
        <item x="1327"/>
        <item x="1806"/>
        <item x="273"/>
        <item x="362"/>
        <item x="1540"/>
        <item x="1541"/>
        <item x="1971"/>
        <item x="4336"/>
        <item x="4349"/>
        <item x="4323"/>
        <item x="4341"/>
        <item x="4353"/>
        <item x="4354"/>
        <item x="4358"/>
        <item x="4357"/>
        <item x="4356"/>
        <item x="4352"/>
        <item x="4355"/>
        <item x="3311"/>
        <item x="2655"/>
        <item x="2649"/>
        <item x="2652"/>
        <item x="847"/>
        <item x="840"/>
        <item x="838"/>
        <item x="861"/>
        <item x="805"/>
        <item x="863"/>
        <item x="812"/>
        <item x="818"/>
        <item x="843"/>
        <item x="841"/>
        <item x="810"/>
        <item x="737"/>
        <item x="4261"/>
        <item x="4311"/>
        <item x="4312"/>
        <item x="1507"/>
        <item x="807"/>
        <item x="1484"/>
        <item x="1452"/>
        <item x="1527"/>
        <item x="817"/>
        <item x="1510"/>
        <item x="1456"/>
        <item x="3173"/>
        <item x="3174"/>
        <item x="3178"/>
        <item x="3179"/>
        <item x="3112"/>
        <item x="3194"/>
        <item x="2689"/>
        <item x="2632"/>
        <item x="2267"/>
        <item x="2280"/>
        <item x="2266"/>
        <item x="2125"/>
        <item x="2126"/>
        <item x="2836"/>
        <item x="2834"/>
        <item x="2197"/>
        <item x="2797"/>
        <item x="2795"/>
        <item x="2802"/>
        <item x="2796"/>
        <item x="543"/>
        <item x="3012"/>
        <item x="2996"/>
        <item x="3134"/>
        <item x="3025"/>
        <item x="2994"/>
        <item x="2998"/>
        <item x="3010"/>
        <item x="3036"/>
        <item x="3005"/>
        <item x="3105"/>
        <item x="3789"/>
        <item x="3794"/>
        <item x="3097"/>
        <item x="3103"/>
        <item x="3095"/>
        <item x="3059"/>
        <item x="3768"/>
        <item x="3064"/>
        <item x="3758"/>
        <item x="3744"/>
        <item x="3751"/>
        <item x="3170"/>
        <item x="3070"/>
        <item x="3106"/>
        <item x="3162"/>
        <item x="3161"/>
        <item x="3021"/>
        <item x="3130"/>
        <item x="3785"/>
        <item x="3784"/>
        <item x="3795"/>
        <item x="3027"/>
        <item x="3098"/>
        <item x="2995"/>
        <item x="3168"/>
        <item x="3102"/>
        <item x="3792"/>
        <item x="3788"/>
        <item x="4075"/>
        <item x="4076"/>
        <item x="4078"/>
        <item x="4070"/>
        <item x="4067"/>
        <item x="4060"/>
        <item x="4077"/>
        <item x="4079"/>
        <item x="4068"/>
        <item x="4069"/>
        <item x="4071"/>
        <item x="4073"/>
        <item x="4287"/>
        <item x="4281"/>
        <item x="1682"/>
        <item x="1681"/>
        <item x="1683"/>
        <item x="2444"/>
        <item x="2421"/>
        <item x="1620"/>
        <item x="8"/>
        <item x="47"/>
        <item x="1"/>
        <item x="134"/>
        <item x="136"/>
        <item x="21"/>
        <item x="138"/>
        <item x="99"/>
        <item x="58"/>
        <item x="153"/>
        <item x="59"/>
        <item x="120"/>
        <item x="187"/>
        <item x="686"/>
        <item x="699"/>
        <item x="65"/>
        <item x="69"/>
        <item x="62"/>
        <item x="1413"/>
        <item x="1430"/>
        <item x="1425"/>
        <item x="1137"/>
        <item x="641"/>
        <item x="1934"/>
        <item x="1136"/>
        <item x="3365"/>
        <item x="3369"/>
        <item x="942"/>
        <item x="2711"/>
        <item x="989"/>
        <item x="983"/>
        <item x="2706"/>
        <item x="2227"/>
        <item x="2183"/>
        <item x="2201"/>
        <item x="2224"/>
        <item x="2206"/>
        <item x="2205"/>
        <item x="2230"/>
        <item x="2213"/>
        <item x="3150"/>
        <item x="3154"/>
        <item x="3083"/>
        <item x="3043"/>
        <item x="3135"/>
        <item x="3144"/>
        <item x="3045"/>
        <item x="3141"/>
        <item x="3044"/>
        <item x="3153"/>
        <item x="2679"/>
        <item x="2807"/>
        <item x="2808"/>
        <item x="2805"/>
        <item x="2419"/>
        <item x="2447"/>
        <item x="3724"/>
        <item x="3719"/>
        <item x="3707"/>
        <item x="3708"/>
        <item x="3723"/>
        <item x="3716"/>
        <item x="3726"/>
        <item x="3728"/>
        <item x="1835"/>
        <item x="1820"/>
        <item x="1937"/>
        <item x="1644"/>
        <item x="355"/>
        <item x="377"/>
        <item x="714"/>
        <item x="63"/>
        <item x="4304"/>
        <item x="191"/>
        <item x="4306"/>
        <item x="98"/>
        <item x="130"/>
        <item x="48"/>
        <item x="368"/>
        <item x="467"/>
        <item x="466"/>
        <item x="4248"/>
        <item x="400"/>
        <item x="107"/>
        <item x="111"/>
        <item x="794"/>
        <item x="2310"/>
        <item x="2309"/>
        <item x="2312"/>
        <item x="2295"/>
        <item x="2293"/>
        <item x="2302"/>
        <item x="2297"/>
        <item x="2241"/>
        <item x="1060"/>
        <item x="4030"/>
        <item x="3108"/>
        <item x="3120"/>
        <item x="3121"/>
        <item x="3111"/>
        <item x="3100"/>
        <item x="3110"/>
        <item x="3883"/>
        <item x="3874"/>
        <item x="3863"/>
        <item x="3860"/>
        <item x="3873"/>
        <item x="3872"/>
        <item x="3855"/>
        <item x="3866"/>
        <item x="3862"/>
        <item x="3865"/>
        <item x="2830"/>
        <item x="4013"/>
        <item x="2891"/>
        <item x="4011"/>
        <item x="1266"/>
        <item x="1257"/>
        <item x="1256"/>
        <item x="1260"/>
        <item x="3354"/>
        <item x="3393"/>
        <item x="3368"/>
        <item x="3395"/>
        <item x="958"/>
        <item x="968"/>
        <item x="975"/>
        <item x="965"/>
        <item x="971"/>
        <item x="3317"/>
        <item x="3332"/>
        <item x="3321"/>
        <item x="3331"/>
        <item x="3307"/>
        <item x="2668"/>
        <item x="2399"/>
        <item x="3359"/>
        <item x="2962"/>
        <item x="3781"/>
        <item x="2955"/>
        <item x="3757"/>
        <item x="3745"/>
        <item x="3764"/>
        <item x="3782"/>
        <item x="1029"/>
        <item x="1805"/>
        <item x="4255"/>
        <item x="1088"/>
        <item x="1021"/>
        <item x="1810"/>
        <item x="1071"/>
        <item x="1068"/>
        <item x="1467"/>
        <item x="1073"/>
        <item x="1070"/>
        <item x="1023"/>
        <item x="1099"/>
        <item x="1063"/>
        <item x="1062"/>
        <item x="354"/>
        <item x="349"/>
        <item x="2709"/>
        <item x="3034"/>
        <item x="2982"/>
        <item x="3674"/>
        <item x="1034"/>
        <item x="2979"/>
        <item x="1638"/>
        <item x="312"/>
        <item x="315"/>
        <item x="2972"/>
        <item x="1917"/>
        <item x="3052"/>
        <item x="2169"/>
        <item x="4343"/>
        <item x="2978"/>
        <item x="2918"/>
        <item x="3118"/>
        <item x="3062"/>
        <item x="2986"/>
        <item x="2940"/>
        <item x="3119"/>
        <item x="866"/>
        <item x="885"/>
        <item x="877"/>
        <item x="2913"/>
        <item x="2915"/>
        <item x="4257"/>
        <item x="4251"/>
        <item x="2917"/>
        <item x="4254"/>
        <item x="1148"/>
        <item x="1149"/>
        <item x="906"/>
        <item x="3695"/>
        <item x="3679"/>
        <item x="3907"/>
        <item x="3906"/>
        <item x="2107"/>
        <item x="4006"/>
        <item x="2854"/>
        <item x="4249"/>
        <item x="2857"/>
        <item x="4004"/>
        <item x="2862"/>
        <item x="2855"/>
        <item x="3423"/>
        <item x="4299"/>
        <item x="3426"/>
        <item x="2848"/>
        <item x="2852"/>
        <item x="2875"/>
        <item x="2873"/>
        <item x="2856"/>
        <item x="2850"/>
        <item x="2851"/>
        <item x="2844"/>
        <item x="2870"/>
        <item x="2872"/>
        <item x="2874"/>
        <item x="2846"/>
        <item x="2284"/>
        <item x="1803"/>
        <item x="1641"/>
        <item x="1850"/>
        <item x="3116"/>
        <item x="1124"/>
        <item x="1126"/>
        <item x="1120"/>
        <item x="4288"/>
        <item x="2904"/>
        <item x="2903"/>
        <item x="4294"/>
        <item x="2907"/>
        <item x="2909"/>
        <item x="2908"/>
        <item x="4295"/>
        <item x="2157"/>
        <item x="2853"/>
        <item x="2686"/>
        <item x="2617"/>
        <item x="2412"/>
        <item x="2395"/>
        <item x="2610"/>
        <item x="4051"/>
        <item x="2840"/>
        <item x="2845"/>
        <item x="2398"/>
        <item x="2624"/>
        <item x="2611"/>
        <item x="1316"/>
        <item x="2578"/>
        <item x="2583"/>
        <item x="2581"/>
        <item x="2580"/>
        <item x="2582"/>
        <item x="2579"/>
        <item x="360"/>
        <item x="1774"/>
        <item x="1633"/>
        <item x="365"/>
        <item x="1775"/>
        <item x="1762"/>
        <item x="511"/>
        <item x="1709"/>
        <item x="1710"/>
        <item x="512"/>
        <item x="380"/>
        <item x="2673"/>
        <item x="1628"/>
        <item x="1627"/>
        <item x="2804"/>
        <item x="2144"/>
        <item x="4237"/>
        <item x="2143"/>
        <item x="4186"/>
        <item x="4182"/>
        <item x="2879"/>
        <item x="3796"/>
        <item x="3156"/>
        <item x="3199"/>
        <item x="3184"/>
        <item x="4003"/>
        <item x="3198"/>
        <item x="1998"/>
        <item x="3446"/>
        <item x="3397"/>
        <item x="3797"/>
        <item x="3486"/>
        <item x="3114"/>
        <item x="3115"/>
        <item x="3381"/>
        <item x="4001"/>
        <item x="3006"/>
        <item x="3076"/>
        <item x="3051"/>
        <item x="3213"/>
        <item x="3085"/>
        <item x="3082"/>
        <item x="3202"/>
        <item x="3087"/>
        <item x="3212"/>
        <item x="3053"/>
        <item x="3091"/>
        <item x="3201"/>
        <item x="3003"/>
        <item x="2894"/>
        <item x="2895"/>
        <item x="2896"/>
        <item x="2863"/>
        <item x="4167"/>
        <item x="2889"/>
        <item x="2897"/>
        <item x="4216"/>
        <item x="4168"/>
        <item x="4150"/>
        <item x="4149"/>
        <item x="2892"/>
        <item x="4144"/>
        <item x="4125"/>
        <item x="4178"/>
        <item x="4177"/>
        <item x="4173"/>
        <item x="339"/>
        <item x="822"/>
        <item x="2812"/>
        <item x="2815"/>
        <item x="1376"/>
        <item x="1372"/>
        <item x="1383"/>
        <item x="1898"/>
        <item x="1880"/>
        <item x="1882"/>
        <item x="1893"/>
        <item x="1605"/>
        <item x="476"/>
        <item x="212"/>
        <item x="135"/>
        <item x="670"/>
        <item x="234"/>
        <item x="247"/>
        <item x="184"/>
        <item x="0"/>
        <item x="204"/>
        <item x="235"/>
        <item x="671"/>
        <item x="95"/>
        <item x="201"/>
        <item x="232"/>
        <item x="31"/>
        <item x="209"/>
        <item x="167"/>
        <item x="493"/>
        <item x="236"/>
        <item x="217"/>
        <item x="193"/>
        <item x="261"/>
        <item x="245"/>
        <item x="243"/>
        <item x="211"/>
        <item x="202"/>
        <item x="225"/>
        <item x="259"/>
        <item x="148"/>
        <item x="199"/>
        <item x="258"/>
        <item x="254"/>
        <item x="213"/>
        <item x="517"/>
        <item x="239"/>
        <item x="255"/>
        <item x="669"/>
        <item x="482"/>
        <item x="198"/>
        <item x="220"/>
        <item x="188"/>
        <item x="222"/>
        <item x="210"/>
        <item x="264"/>
        <item x="246"/>
        <item x="240"/>
        <item x="147"/>
        <item x="195"/>
        <item x="230"/>
        <item x="29"/>
        <item x="33"/>
        <item x="26"/>
        <item x="256"/>
        <item x="206"/>
        <item x="203"/>
        <item x="227"/>
        <item x="219"/>
        <item x="119"/>
        <item x="122"/>
        <item x="115"/>
        <item x="125"/>
        <item x="253"/>
        <item x="224"/>
        <item x="218"/>
        <item x="249"/>
        <item x="5"/>
        <item x="242"/>
        <item x="228"/>
        <item x="68"/>
        <item x="152"/>
        <item x="260"/>
        <item x="56"/>
        <item x="54"/>
        <item x="226"/>
        <item x="194"/>
        <item x="215"/>
        <item x="41"/>
        <item x="205"/>
        <item x="506"/>
        <item x="214"/>
        <item x="532"/>
        <item x="87"/>
        <item x="288"/>
        <item x="22"/>
        <item x="251"/>
        <item x="223"/>
        <item x="229"/>
        <item x="196"/>
        <item x="231"/>
        <item x="262"/>
        <item x="233"/>
        <item x="73"/>
        <item x="60"/>
        <item x="221"/>
        <item x="192"/>
        <item x="250"/>
        <item x="244"/>
        <item x="263"/>
        <item x="668"/>
        <item x="241"/>
        <item x="252"/>
        <item x="216"/>
        <item x="667"/>
        <item x="522"/>
        <item x="2294"/>
        <item x="2303"/>
        <item x="2311"/>
        <item x="3835"/>
        <item x="197"/>
        <item x="1714"/>
        <item x="709"/>
        <item x="717"/>
        <item x="2618"/>
        <item x="2633"/>
        <item x="2612"/>
        <item x="2615"/>
        <item x="4052"/>
        <item x="4053"/>
        <item x="2417"/>
        <item x="2623"/>
        <item x="2621"/>
        <item x="2628"/>
        <item x="2636"/>
        <item x="2616"/>
        <item x="2614"/>
        <item x="2172"/>
        <item x="2167"/>
        <item x="2176"/>
        <item x="1203"/>
        <item x="1189"/>
        <item x="1198"/>
        <item x="1190"/>
        <item x="868"/>
        <item x="890"/>
        <item x="870"/>
        <item x="867"/>
        <item x="876"/>
        <item x="18"/>
        <item x="19"/>
        <item x="50"/>
        <item x="661"/>
        <item x="1426"/>
        <item x="1590"/>
        <item x="1588"/>
        <item x="1591"/>
        <item x="1589"/>
        <item x="1584"/>
        <item x="1158"/>
        <item x="1261"/>
        <item x="1324"/>
        <item x="1141"/>
        <item x="1178"/>
        <item x="1155"/>
        <item x="1314"/>
        <item x="1258"/>
        <item x="1255"/>
        <item x="1161"/>
        <item x="1318"/>
        <item x="1359"/>
        <item x="1197"/>
        <item x="4"/>
        <item x="7"/>
        <item x="3"/>
        <item x="544"/>
        <item x="568"/>
        <item x="516"/>
        <item x="556"/>
        <item x="179"/>
        <item x="4244"/>
        <item x="655"/>
        <item x="653"/>
        <item x="649"/>
        <item x="648"/>
        <item x="381"/>
        <item x="1995"/>
        <item x="749"/>
        <item x="956"/>
        <item x="858"/>
        <item x="973"/>
        <item x="978"/>
        <item x="980"/>
        <item x="2504"/>
        <item x="2505"/>
        <item x="2506"/>
        <item x="2507"/>
        <item x="2508"/>
        <item x="2509"/>
        <item x="2510"/>
        <item x="2511"/>
        <item x="959"/>
        <item x="953"/>
        <item x="951"/>
        <item x="960"/>
        <item x="961"/>
        <item x="949"/>
        <item x="945"/>
        <item x="658"/>
        <item x="1790"/>
        <item x="1791"/>
        <item x="2193"/>
        <item x="2555"/>
        <item x="2554"/>
        <item x="985"/>
        <item x="994"/>
        <item x="470"/>
        <item x="2165"/>
        <item x="2166"/>
        <item x="2159"/>
        <item x="2347"/>
        <item x="2161"/>
        <item x="4300"/>
        <item x="4307"/>
        <item x="4293"/>
        <item x="3917"/>
        <item x="3949"/>
        <item x="3948"/>
        <item x="2098"/>
        <item x="3419"/>
        <item x="3420"/>
        <item x="3421"/>
        <item x="2981"/>
        <item x="367"/>
        <item x="433"/>
        <item x="438"/>
        <item x="447"/>
        <item x="427"/>
        <item x="442"/>
        <item x="291"/>
        <item x="2054"/>
        <item x="2087"/>
        <item x="2076"/>
        <item x="2064"/>
        <item x="289"/>
        <item x="1918"/>
        <item x="1921"/>
        <item x="1923"/>
        <item x="1932"/>
        <item x="1931"/>
        <item x="1994"/>
        <item x="665"/>
        <item x="3843"/>
        <item x="995"/>
        <item x="3176"/>
        <item x="3177"/>
        <item x="2307"/>
        <item x="110"/>
        <item x="112"/>
        <item x="102"/>
        <item x="113"/>
        <item x="1841"/>
        <item x="1102"/>
        <item x="1310"/>
        <item x="1720"/>
        <item x="1848"/>
        <item x="1100"/>
        <item x="1719"/>
        <item x="1312"/>
        <item x="319"/>
        <item x="318"/>
        <item x="297"/>
        <item x="299"/>
        <item x="325"/>
        <item x="2490"/>
        <item x="1604"/>
        <item x="1603"/>
        <item x="4066"/>
        <item x="4064"/>
        <item x="1395"/>
        <item x="1387"/>
        <item x="1361"/>
        <item x="1393"/>
        <item x="4100"/>
        <item x="282"/>
        <item x="281"/>
        <item x="1640"/>
        <item x="1924"/>
        <item x="1432"/>
        <item x="1431"/>
        <item x="1427"/>
        <item x="77"/>
        <item x="1678"/>
        <item x="283"/>
        <item x="338"/>
        <item x="347"/>
        <item x="2545"/>
        <item x="2016"/>
        <item x="2134"/>
        <item x="2735"/>
        <item x="2734"/>
        <item x="2733"/>
        <item x="2732"/>
        <item x="2738"/>
        <item x="2739"/>
        <item x="2737"/>
        <item x="2736"/>
        <item x="2961"/>
        <item x="2948"/>
        <item x="3996"/>
        <item x="2966"/>
        <item x="2929"/>
        <item x="2905"/>
        <item x="2906"/>
        <item x="3895"/>
        <item x="502"/>
        <item x="491"/>
        <item x="379"/>
        <item x="479"/>
        <item x="390"/>
        <item x="501"/>
        <item x="13"/>
        <item x="131"/>
        <item x="126"/>
        <item x="129"/>
        <item x="483"/>
        <item x="46"/>
        <item x="142"/>
        <item x="486"/>
        <item x="484"/>
        <item x="489"/>
        <item x="499"/>
        <item x="4245"/>
        <item x="475"/>
        <item x="84"/>
        <item x="477"/>
        <item x="485"/>
        <item x="378"/>
        <item x="500"/>
        <item x="392"/>
        <item x="180"/>
        <item x="154"/>
        <item x="123"/>
        <item x="176"/>
        <item x="504"/>
        <item x="478"/>
        <item x="43"/>
        <item x="38"/>
        <item x="146"/>
        <item x="1965"/>
        <item x="498"/>
        <item x="465"/>
        <item x="462"/>
        <item x="481"/>
        <item x="503"/>
        <item x="505"/>
        <item x="497"/>
        <item x="395"/>
        <item x="1789"/>
        <item x="9"/>
        <item x="12"/>
        <item x="384"/>
        <item x="408"/>
        <item x="494"/>
        <item x="375"/>
        <item x="163"/>
        <item x="474"/>
        <item x="4269"/>
        <item x="189"/>
        <item x="495"/>
        <item x="492"/>
        <item x="496"/>
        <item x="71"/>
        <item x="61"/>
        <item x="92"/>
        <item x="143"/>
        <item x="168"/>
        <item x="165"/>
        <item x="182"/>
        <item x="177"/>
        <item x="490"/>
        <item x="3884"/>
        <item x="3998"/>
        <item x="4310"/>
        <item x="3999"/>
        <item x="2282"/>
        <item x="2564"/>
        <item x="2558"/>
        <item x="2820"/>
        <item x="940"/>
        <item x="941"/>
        <item x="2360"/>
        <item x="2392"/>
        <item x="2387"/>
        <item x="2350"/>
        <item x="2371"/>
        <item x="2384"/>
        <item x="2374"/>
        <item x="2325"/>
        <item x="2349"/>
        <item x="2359"/>
        <item x="2341"/>
        <item x="2334"/>
        <item x="2339"/>
        <item x="2335"/>
        <item x="2364"/>
        <item x="2361"/>
        <item x="2336"/>
        <item x="2173"/>
        <item x="2461"/>
        <item x="2389"/>
        <item x="2344"/>
        <item x="2319"/>
        <item x="2348"/>
        <item x="2367"/>
        <item x="2396"/>
        <item x="3727"/>
        <item x="3686"/>
        <item x="3688"/>
        <item x="3682"/>
        <item x="3680"/>
        <item x="3712"/>
        <item x="3725"/>
        <item x="3718"/>
        <item x="3692"/>
        <item x="2276"/>
        <item x="2577"/>
        <item x="2573"/>
        <item x="2571"/>
        <item x="2574"/>
        <item x="2576"/>
        <item x="2575"/>
        <item x="2572"/>
        <item x="2278"/>
        <item x="2279"/>
        <item x="2277"/>
        <item x="2274"/>
        <item x="2270"/>
        <item x="2269"/>
        <item x="2271"/>
        <item x="2275"/>
        <item x="2273"/>
        <item x="103"/>
        <item x="611"/>
        <item x="585"/>
        <item x="600"/>
        <item x="550"/>
        <item x="594"/>
        <item x="2268"/>
        <item x="2272"/>
        <item x="2811"/>
        <item x="1243"/>
        <item x="1739"/>
        <item x="1333"/>
        <item x="1740"/>
        <item x="1352"/>
        <item x="1346"/>
        <item x="1738"/>
        <item x="672"/>
        <item x="1899"/>
        <item x="1889"/>
        <item x="1883"/>
        <item x="1896"/>
        <item x="1888"/>
        <item x="1885"/>
        <item x="2630"/>
        <item x="3950"/>
        <item x="1843"/>
        <item x="2801"/>
        <item x="2826"/>
        <item x="2828"/>
        <item x="2813"/>
        <item x="2817"/>
        <item x="2821"/>
        <item x="2818"/>
        <item x="2814"/>
        <item x="2829"/>
        <item x="2831"/>
        <item x="2827"/>
        <item x="2823"/>
        <item x="2643"/>
        <item x="2766"/>
        <item x="2764"/>
        <item x="2747"/>
        <item x="2752"/>
        <item x="2756"/>
        <item x="2751"/>
        <item x="456"/>
        <item x="1154"/>
        <item x="1167"/>
        <item x="1159"/>
        <item x="1341"/>
        <item x="1322"/>
        <item x="1350"/>
        <item x="1343"/>
        <item x="2654"/>
        <item x="1816"/>
        <item x="1825"/>
        <item x="3959"/>
        <item x="3975"/>
        <item x="4102"/>
        <item x="4103"/>
        <item x="944"/>
        <item x="1684"/>
        <item x="1685"/>
        <item x="623"/>
        <item x="3705"/>
        <item x="574"/>
        <item x="639"/>
        <item x="539"/>
        <item x="603"/>
        <item x="587"/>
        <item x="637"/>
        <item x="635"/>
        <item x="638"/>
        <item x="640"/>
        <item x="636"/>
        <item x="1478"/>
        <item x="1470"/>
        <item x="724"/>
        <item x="693"/>
        <item x="684"/>
        <item x="731"/>
        <item x="730"/>
        <item x="675"/>
        <item x="2099"/>
        <item x="750"/>
        <item x="757"/>
        <item x="748"/>
        <item x="752"/>
        <item x="3732"/>
        <item x="2675"/>
        <item x="3305"/>
        <item x="3306"/>
        <item x="3186"/>
        <item x="3382"/>
        <item x="3334"/>
        <item x="2992"/>
        <item x="3333"/>
        <item x="3185"/>
        <item x="3048"/>
        <item x="1422"/>
        <item x="1424"/>
        <item x="2105"/>
        <item x="2117"/>
        <item x="2118"/>
        <item x="2152"/>
        <item x="2148"/>
        <item x="3791"/>
        <item x="2326"/>
        <item x="903"/>
        <item x="1586"/>
        <item x="1576"/>
        <item x="2728"/>
        <item x="2729"/>
        <item x="2724"/>
        <item x="2723"/>
        <item x="2722"/>
        <item x="2731"/>
        <item x="2730"/>
        <item x="2727"/>
        <item x="2726"/>
        <item x="2725"/>
        <item x="1665"/>
        <item x="1666"/>
        <item x="1664"/>
        <item x="2400"/>
        <item x="2418"/>
        <item x="2438"/>
        <item x="2459"/>
        <item x="2414"/>
        <item x="2625"/>
        <item x="2445"/>
        <item x="2442"/>
        <item x="2406"/>
        <item x="2691"/>
        <item x="2422"/>
        <item x="2420"/>
        <item x="2431"/>
        <item x="2450"/>
        <item x="2437"/>
        <item x="2682"/>
        <item x="2403"/>
        <item x="2671"/>
        <item x="2534"/>
        <item x="2055"/>
        <item x="2078"/>
        <item x="2088"/>
        <item x="3730"/>
        <item x="3736"/>
        <item x="3731"/>
        <item x="3738"/>
        <item x="3741"/>
        <item x="2424"/>
        <item x="2768"/>
        <item x="4196"/>
        <item x="4194"/>
        <item x="1912"/>
        <item x="1914"/>
        <item x="1933"/>
        <item x="1928"/>
        <item x="1925"/>
        <item x="1915"/>
        <item x="1922"/>
        <item x="1930"/>
        <item x="569"/>
        <item x="542"/>
        <item x="558"/>
        <item x="578"/>
        <item x="650"/>
        <item x="555"/>
        <item x="580"/>
        <item x="541"/>
        <item x="562"/>
        <item x="538"/>
        <item x="586"/>
        <item x="1398"/>
        <item x="1394"/>
        <item x="1374"/>
        <item x="1385"/>
        <item x="1736"/>
        <item x="1355"/>
        <item x="1332"/>
        <item x="1182"/>
        <item x="1858"/>
        <item x="1176"/>
        <item x="4163"/>
        <item x="4158"/>
        <item x="4159"/>
        <item x="4160"/>
        <item x="4161"/>
        <item x="4162"/>
        <item x="4154"/>
        <item x="4151"/>
        <item x="4152"/>
        <item x="4153"/>
        <item x="4157"/>
        <item x="4155"/>
        <item x="1313"/>
        <item x="4275"/>
        <item x="4277"/>
        <item x="4286"/>
        <item x="270"/>
        <item x="275"/>
        <item x="1091"/>
        <item x="1084"/>
        <item x="1075"/>
        <item x="1085"/>
        <item x="1024"/>
        <item x="1096"/>
        <item x="1067"/>
        <item x="1045"/>
        <item x="1028"/>
        <item x="1039"/>
        <item x="1701"/>
        <item x="1675"/>
        <item x="1699"/>
        <item x="1669"/>
        <item x="1700"/>
        <item x="2080"/>
        <item x="2106"/>
        <item x="276"/>
        <item x="267"/>
        <item x="3388"/>
        <item x="3338"/>
        <item x="3348"/>
        <item x="3339"/>
        <item x="3824"/>
        <item x="3826"/>
        <item x="3814"/>
        <item x="3811"/>
        <item x="3807"/>
        <item x="3810"/>
        <item x="1557"/>
        <item x="2772"/>
        <item x="2077"/>
        <item x="2051"/>
        <item x="2056"/>
        <item x="2084"/>
        <item x="2057"/>
        <item x="2062"/>
        <item x="2083"/>
        <item x="2613"/>
        <item x="286"/>
        <item x="271"/>
        <item x="322"/>
        <item x="2013"/>
        <item x="1991"/>
        <item x="1386"/>
        <item x="1388"/>
        <item x="2842"/>
        <item x="4252"/>
        <item x="2839"/>
        <item x="2835"/>
        <item x="4029"/>
        <item x="4031"/>
        <item x="4014"/>
        <item x="1173"/>
        <item x="1179"/>
        <item x="1174"/>
        <item x="1180"/>
        <item x="1583"/>
        <item x="1578"/>
        <item x="2305"/>
        <item x="2313"/>
        <item x="682"/>
        <item x="1741"/>
        <item x="1784"/>
        <item x="1752"/>
        <item x="1748"/>
        <item x="488"/>
        <item x="363"/>
        <item x="371"/>
        <item x="1210"/>
        <item x="1226"/>
        <item x="1231"/>
        <item x="1227"/>
        <item x="1233"/>
        <item x="1217"/>
        <item x="613"/>
        <item x="4270"/>
        <item x="663"/>
        <item x="660"/>
        <item x="662"/>
        <item x="14"/>
        <item x="39"/>
        <item x="57"/>
        <item x="6"/>
        <item x="387"/>
        <item x="118"/>
        <item x="36"/>
        <item x="24"/>
        <item x="133"/>
        <item x="97"/>
        <item x="16"/>
        <item x="105"/>
        <item x="461"/>
        <item x="52"/>
        <item x="535"/>
        <item x="82"/>
        <item x="1447"/>
        <item x="1448"/>
        <item x="666"/>
        <item x="678"/>
        <item x="683"/>
        <item x="691"/>
        <item x="681"/>
        <item x="695"/>
        <item x="708"/>
        <item x="720"/>
        <item x="753"/>
        <item x="799"/>
        <item x="800"/>
        <item x="797"/>
        <item x="796"/>
        <item x="801"/>
        <item x="2007"/>
        <item x="777"/>
        <item x="707"/>
        <item x="772"/>
        <item x="687"/>
        <item x="712"/>
        <item x="317"/>
        <item x="320"/>
        <item x="860"/>
        <item x="725"/>
        <item x="726"/>
        <item x="1131"/>
        <item x="1132"/>
        <item x="1135"/>
        <item x="1134"/>
        <item x="1133"/>
        <item x="902"/>
        <item x="904"/>
        <item x="1832"/>
        <item x="1831"/>
        <item x="1833"/>
        <item x="1834"/>
        <item x="2079"/>
        <item x="2067"/>
        <item x="2059"/>
        <item x="2052"/>
        <item x="3923"/>
        <item x="3932"/>
        <item x="4148"/>
        <item x="326"/>
        <item x="1524"/>
        <item x="1514"/>
        <item x="1516"/>
        <item x="1534"/>
        <item x="1533"/>
        <item x="1531"/>
        <item x="1299"/>
        <item x="1296"/>
        <item x="1291"/>
        <item x="1275"/>
        <item x="1286"/>
        <item x="1294"/>
        <item x="1300"/>
        <item x="1297"/>
        <item x="1298"/>
        <item x="1285"/>
        <item x="1245"/>
        <item x="1242"/>
        <item x="1292"/>
        <item x="1293"/>
        <item x="1353"/>
        <item x="1241"/>
        <item x="66"/>
        <item x="64"/>
        <item x="1672"/>
        <item x="1670"/>
        <item x="1114"/>
        <item x="1115"/>
        <item x="1116"/>
        <item x="1055"/>
        <item x="1053"/>
        <item x="1112"/>
        <item x="1054"/>
        <item x="1113"/>
        <item x="1110"/>
        <item x="1109"/>
        <item x="1107"/>
        <item x="1108"/>
        <item x="1106"/>
        <item x="1104"/>
        <item x="1117"/>
        <item x="1105"/>
        <item x="1111"/>
        <item x="2721"/>
        <item x="3347"/>
        <item x="3385"/>
        <item x="3342"/>
        <item x="3374"/>
        <item x="3356"/>
        <item x="2598"/>
        <item x="2588"/>
        <item x="2494"/>
        <item x="2495"/>
        <item x="2496"/>
        <item x="2497"/>
        <item x="2493"/>
        <item x="2492"/>
        <item x="2502"/>
        <item x="2503"/>
        <item x="2501"/>
        <item x="2500"/>
        <item x="2498"/>
        <item x="2499"/>
        <item x="964"/>
        <item x="967"/>
        <item x="954"/>
        <item x="966"/>
        <item x="4320"/>
        <item x="4318"/>
        <item x="4317"/>
        <item x="2639"/>
        <item x="2680"/>
        <item x="3946"/>
        <item x="3947"/>
        <item x="51"/>
        <item x="53"/>
        <item x="76"/>
        <item x="802"/>
        <item x="727"/>
        <item x="728"/>
        <item x="795"/>
        <item x="729"/>
        <item x="798"/>
        <item x="80"/>
        <item x="139"/>
        <item x="78"/>
        <item x="85"/>
        <item x="2097"/>
        <item x="1031"/>
        <item x="1026"/>
        <item x="1036"/>
        <item x="1035"/>
        <item x="1030"/>
        <item x="1057"/>
        <item x="1056"/>
        <item x="1058"/>
        <item x="1059"/>
        <item x="2298"/>
        <item x="2455"/>
        <item x="4136"/>
        <item x="4025"/>
        <item x="4027"/>
        <item x="4020"/>
        <item x="4019"/>
        <item x="4042"/>
        <item x="4056"/>
        <item x="4036"/>
        <item x="4038"/>
        <item x="4034"/>
        <item x="4024"/>
        <item x="1906"/>
        <item x="1872"/>
        <item x="1863"/>
        <item x="1870"/>
        <item x="1871"/>
        <item x="1867"/>
        <item x="1866"/>
        <item x="1869"/>
        <item x="526"/>
        <item x="521"/>
        <item x="2093"/>
        <item x="2068"/>
        <item x="3148"/>
        <item x="2997"/>
        <item x="3001"/>
        <item x="2993"/>
        <item x="3147"/>
        <item x="164"/>
        <item x="162"/>
        <item x="161"/>
        <item x="4117"/>
        <item x="4116"/>
        <item x="2645"/>
        <item x="2644"/>
        <item x="1630"/>
        <item x="1659"/>
        <item x="1631"/>
        <item x="1660"/>
        <item x="1655"/>
        <item x="1654"/>
        <item x="1645"/>
        <item x="1606"/>
        <item x="1653"/>
        <item x="1561"/>
        <item x="1573"/>
        <item x="1623"/>
        <item x="1622"/>
        <item x="1657"/>
        <item x="1792"/>
        <item x="1577"/>
        <item x="1656"/>
        <item x="1661"/>
        <item x="1559"/>
        <item x="1563"/>
        <item x="2426"/>
        <item x="2627"/>
        <item x="2690"/>
        <item x="2669"/>
        <item x="4274"/>
        <item x="4263"/>
        <item x="4271"/>
        <item x="4253"/>
        <item x="4273"/>
        <item x="4292"/>
        <item x="4285"/>
        <item x="3425"/>
        <item x="4195"/>
        <item x="3424"/>
        <item x="4197"/>
        <item x="3428"/>
        <item x="3427"/>
        <item x="2762"/>
        <item x="3004"/>
        <item x="2999"/>
        <item x="3885"/>
        <item x="3693"/>
        <item x="3909"/>
        <item x="3913"/>
        <item x="3914"/>
        <item x="3912"/>
        <item x="3908"/>
        <item x="2168"/>
        <item x="2158"/>
        <item x="2164"/>
        <item x="2160"/>
        <item x="2162"/>
        <item x="3737"/>
        <item x="455"/>
        <item x="723"/>
        <item x="713"/>
        <item x="722"/>
        <item x="718"/>
        <item x="685"/>
        <item x="676"/>
        <item x="721"/>
        <item x="715"/>
        <item x="719"/>
        <item x="793"/>
        <item x="174"/>
        <item x="181"/>
        <item x="1221"/>
        <item x="1236"/>
        <item x="1229"/>
        <item x="1222"/>
        <item x="1211"/>
        <item x="1224"/>
        <item x="629"/>
        <item x="405"/>
        <item x="1767"/>
        <item x="2553"/>
        <item x="2592"/>
        <item x="2593"/>
        <item x="2597"/>
        <item x="2591"/>
        <item x="2587"/>
        <item x="2590"/>
        <item x="2595"/>
        <item x="2596"/>
        <item x="2594"/>
        <item x="2589"/>
        <item x="364"/>
        <item x="372"/>
        <item x="2065"/>
        <item x="2061"/>
        <item x="2914"/>
        <item x="2916"/>
        <item x="3734"/>
        <item x="3743"/>
        <item x="3735"/>
        <item x="3739"/>
        <item x="3740"/>
        <item x="3729"/>
        <item x="3733"/>
        <item x="3088"/>
        <item x="3774"/>
        <item x="3769"/>
        <item x="3762"/>
        <item x="3759"/>
        <item x="3779"/>
        <item x="3763"/>
        <item x="4114"/>
        <item x="4098"/>
        <item x="4097"/>
        <item x="4112"/>
        <item x="4111"/>
        <item x="4108"/>
        <item x="4109"/>
        <item x="4110"/>
        <item x="2236"/>
        <item x="2238"/>
        <item x="2225"/>
        <item x="2233"/>
        <item x="2203"/>
        <item x="2221"/>
        <item x="1596"/>
        <item x="1598"/>
        <item x="1663"/>
        <item x="1571"/>
        <item x="1593"/>
        <item x="1652"/>
        <item x="1594"/>
        <item x="1230"/>
        <item x="1239"/>
        <item x="1570"/>
        <item x="1647"/>
        <item x="1592"/>
        <item x="1597"/>
        <item x="1595"/>
        <item x="2122"/>
        <item x="2121"/>
        <item x="2124"/>
        <item x="2123"/>
        <item x="2072"/>
        <item x="2069"/>
        <item x="2100"/>
        <item x="2101"/>
        <item x="2103"/>
        <item x="2102"/>
        <item x="878"/>
        <item x="879"/>
        <item x="2631"/>
        <item x="2404"/>
        <item x="2457"/>
        <item x="2688"/>
        <item x="2695"/>
        <item x="2409"/>
        <item x="4047"/>
        <item x="2641"/>
        <item x="2635"/>
        <item x="2637"/>
        <item x="2638"/>
        <item x="2881"/>
        <item x="2681"/>
        <item x="3155"/>
        <item x="3182"/>
        <item x="3378"/>
        <item x="3326"/>
        <item x="3325"/>
        <item x="3377"/>
        <item x="3180"/>
        <item x="1830"/>
        <item x="1829"/>
        <item x="1824"/>
        <item x="912"/>
        <item x="845"/>
        <item x="814"/>
        <item x="3089"/>
        <item x="3767"/>
        <item x="3776"/>
        <item x="3090"/>
        <item x="3786"/>
        <item x="2696"/>
        <item x="2719"/>
        <item x="2718"/>
        <item x="2699"/>
        <item x="2716"/>
        <item x="2702"/>
        <item x="2697"/>
        <item x="1477"/>
        <item x="1479"/>
        <item x="1485"/>
        <item x="1443"/>
        <item x="1440"/>
        <item x="1441"/>
        <item x="1495"/>
        <item x="1492"/>
        <item x="4165"/>
        <item x="1433"/>
        <item x="1434"/>
        <item x="3915"/>
        <item x="3919"/>
        <item x="3930"/>
        <item x="3903"/>
        <item x="3897"/>
        <item x="3931"/>
        <item x="3928"/>
        <item x="4142"/>
        <item x="4130"/>
        <item x="4012"/>
        <item x="2890"/>
        <item x="4123"/>
        <item x="4120"/>
        <item x="4170"/>
        <item x="4169"/>
        <item x="4134"/>
        <item x="4140"/>
        <item x="4128"/>
        <item x="4135"/>
        <item x="2888"/>
        <item x="4119"/>
        <item x="4231"/>
        <item x="4230"/>
        <item x="4225"/>
        <item x="4226"/>
        <item x="4227"/>
        <item x="4228"/>
        <item x="4229"/>
        <item x="4223"/>
        <item x="4224"/>
        <item x="4217"/>
        <item x="4219"/>
        <item x="4218"/>
        <item x="4220"/>
        <item x="4222"/>
        <item x="4221"/>
        <item x="4232"/>
        <item x="3429"/>
        <item x="2039"/>
        <item x="20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 v="3102"/>
    </i>
    <i>
      <x v="1660"/>
    </i>
    <i>
      <x v="1513"/>
    </i>
    <i>
      <x v="1221"/>
    </i>
    <i>
      <x v="278"/>
    </i>
    <i>
      <x v="277"/>
    </i>
    <i>
      <x v="2684"/>
    </i>
    <i>
      <x v="3489"/>
    </i>
    <i>
      <x v="3476"/>
    </i>
    <i>
      <x v="776"/>
    </i>
    <i t="grand">
      <x/>
    </i>
  </rowItems>
  <colItems count="1">
    <i/>
  </colItems>
  <dataFields count="1">
    <dataField name="Total Sales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ED260-BFCA-43C9-9890-9E949F8F1F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7:B28" firstHeaderRow="1" firstDataRow="1" firstDataCol="1"/>
  <pivotFields count="8">
    <pivotField showAll="0"/>
    <pivotField axis="axisRow" showAll="0" measureFilter="1" sortType="descending">
      <items count="4360">
        <item x="487"/>
        <item x="149"/>
        <item x="4236"/>
        <item x="370"/>
        <item x="90"/>
        <item x="42"/>
        <item x="190"/>
        <item x="464"/>
        <item x="369"/>
        <item x="463"/>
        <item x="459"/>
        <item x="4302"/>
        <item x="67"/>
        <item x="366"/>
        <item x="1642"/>
        <item x="1405"/>
        <item x="1401"/>
        <item x="1400"/>
        <item x="1402"/>
        <item x="1408"/>
        <item x="1407"/>
        <item x="1410"/>
        <item x="1409"/>
        <item x="1406"/>
        <item x="1404"/>
        <item x="909"/>
        <item x="351"/>
        <item x="336"/>
        <item x="345"/>
        <item x="280"/>
        <item x="1761"/>
        <item x="359"/>
        <item x="664"/>
        <item x="358"/>
        <item x="357"/>
        <item x="348"/>
        <item x="2240"/>
        <item x="3891"/>
        <item x="1403"/>
        <item x="1323"/>
        <item x="1337"/>
        <item x="1354"/>
        <item x="1315"/>
        <item x="1321"/>
        <item x="1317"/>
        <item x="1349"/>
        <item x="1345"/>
        <item x="1347"/>
        <item x="1348"/>
        <item x="3911"/>
        <item x="1181"/>
        <item x="1282"/>
        <item x="1264"/>
        <item x="1168"/>
        <item x="1175"/>
        <item x="1751"/>
        <item x="1177"/>
        <item x="2210"/>
        <item x="2186"/>
        <item x="2537"/>
        <item x="2538"/>
        <item x="1823"/>
        <item x="2435"/>
        <item x="4215"/>
        <item x="2439"/>
        <item x="4212"/>
        <item x="468"/>
        <item x="2211"/>
        <item x="2246"/>
        <item x="2247"/>
        <item x="2234"/>
        <item x="2415"/>
        <item x="4131"/>
        <item x="4147"/>
        <item x="4127"/>
        <item x="4139"/>
        <item x="4122"/>
        <item x="4129"/>
        <item x="4008"/>
        <item x="4005"/>
        <item x="4132"/>
        <item x="237"/>
        <item x="1610"/>
        <item x="1580"/>
        <item x="1585"/>
        <item x="1662"/>
        <item x="507"/>
        <item x="3941"/>
        <item x="3924"/>
        <item x="3925"/>
        <item x="3926"/>
        <item x="3929"/>
        <item x="1483"/>
        <item x="962"/>
        <item x="755"/>
        <item x="674"/>
        <item x="697"/>
        <item x="759"/>
        <item x="1581"/>
        <item x="1582"/>
        <item x="1579"/>
        <item x="763"/>
        <item x="768"/>
        <item x="1451"/>
        <item x="335"/>
        <item x="1453"/>
        <item x="775"/>
        <item x="766"/>
        <item x="773"/>
        <item x="813"/>
        <item x="811"/>
        <item x="824"/>
        <item x="1460"/>
        <item x="694"/>
        <item x="734"/>
        <item x="1469"/>
        <item x="1846"/>
        <item x="859"/>
        <item x="1857"/>
        <item x="739"/>
        <item x="740"/>
        <item x="741"/>
        <item x="738"/>
        <item x="744"/>
        <item x="745"/>
        <item x="837"/>
        <item x="705"/>
        <item x="823"/>
        <item x="1861"/>
        <item x="882"/>
        <item x="809"/>
        <item x="1865"/>
        <item x="1496"/>
        <item x="816"/>
        <item x="782"/>
        <item x="765"/>
        <item x="789"/>
        <item x="893"/>
        <item x="872"/>
        <item x="760"/>
        <item x="762"/>
        <item x="333"/>
        <item x="344"/>
        <item x="835"/>
        <item x="963"/>
        <item x="970"/>
        <item x="974"/>
        <item x="969"/>
        <item x="736"/>
        <item x="732"/>
        <item x="710"/>
        <item x="2685"/>
        <item x="2683"/>
        <item x="2453"/>
        <item x="2433"/>
        <item x="2451"/>
        <item x="2692"/>
        <item x="2440"/>
        <item x="2407"/>
        <item x="2456"/>
        <item x="2429"/>
        <item x="2410"/>
        <item x="2432"/>
        <item x="2425"/>
        <item x="2626"/>
        <item x="2452"/>
        <item x="2401"/>
        <item x="2423"/>
        <item x="2405"/>
        <item x="2629"/>
        <item x="4337"/>
        <item x="4332"/>
        <item x="1639"/>
        <item x="109"/>
        <item x="93"/>
        <item x="1982"/>
        <item x="1977"/>
        <item x="1997"/>
        <item x="1306"/>
        <item x="4266"/>
        <item x="4267"/>
        <item x="756"/>
        <item x="716"/>
        <item x="2073"/>
        <item x="2060"/>
        <item x="2058"/>
        <item x="2094"/>
        <item x="2090"/>
        <item x="2053"/>
        <item x="2095"/>
        <item x="2089"/>
        <item x="2824"/>
        <item x="4107"/>
        <item x="4106"/>
        <item x="4104"/>
        <item x="4101"/>
        <item x="4105"/>
        <item x="4145"/>
        <item x="4143"/>
        <item x="4138"/>
        <item x="2286"/>
        <item x="2288"/>
        <item x="2285"/>
        <item x="2287"/>
        <item x="2291"/>
        <item x="3937"/>
        <item x="2758"/>
        <item x="2765"/>
        <item x="2658"/>
        <item x="2661"/>
        <item x="2663"/>
        <item x="3944"/>
        <item x="3771"/>
        <item x="3765"/>
        <item x="3775"/>
        <item x="3943"/>
        <item x="3939"/>
        <item x="108"/>
        <item x="952"/>
        <item x="955"/>
        <item x="950"/>
        <item x="2489"/>
        <item x="559"/>
        <item x="570"/>
        <item x="610"/>
        <item x="557"/>
        <item x="581"/>
        <item x="588"/>
        <item x="547"/>
        <item x="614"/>
        <item x="576"/>
        <item x="540"/>
        <item x="582"/>
        <item x="551"/>
        <item x="1415"/>
        <item x="1439"/>
        <item x="1428"/>
        <item x="979"/>
        <item x="977"/>
        <item x="1929"/>
        <item x="982"/>
        <item x="1643"/>
        <item x="981"/>
        <item x="1935"/>
        <item x="1936"/>
        <item x="1926"/>
        <item x="3312"/>
        <item x="3310"/>
        <item x="4015"/>
        <item x="4026"/>
        <item x="4028"/>
        <item x="4049"/>
        <item x="2847"/>
        <item x="2843"/>
        <item x="4055"/>
        <item x="4054"/>
        <item x="4048"/>
        <item x="4046"/>
        <item x="4017"/>
        <item x="3324"/>
        <item x="376"/>
        <item x="1199"/>
        <item x="1208"/>
        <item x="1201"/>
        <item x="1215"/>
        <item x="1200"/>
        <item x="1715"/>
        <item x="1712"/>
        <item x="1707"/>
        <item x="1703"/>
        <item x="1587"/>
        <item x="1705"/>
        <item x="1702"/>
        <item x="432"/>
        <item x="429"/>
        <item x="422"/>
        <item x="2478"/>
        <item x="2911"/>
        <item x="2912"/>
        <item x="1939"/>
        <item x="1938"/>
        <item x="3084"/>
        <item x="3117"/>
        <item x="3328"/>
        <item x="3327"/>
        <item x="3422"/>
        <item x="3780"/>
        <item x="1879"/>
        <item x="414"/>
        <item x="1905"/>
        <item x="571"/>
        <item x="1900"/>
        <item x="1907"/>
        <item x="1891"/>
        <item x="1890"/>
        <item x="1884"/>
        <item x="1894"/>
        <item x="560"/>
        <item x="1878"/>
        <item x="412"/>
        <item x="2333"/>
        <item x="2462"/>
        <item x="2416"/>
        <item x="2460"/>
        <item x="2465"/>
        <item x="1090"/>
        <item x="1093"/>
        <item x="1074"/>
        <item x="308"/>
        <item x="382"/>
        <item x="1747"/>
        <item x="1780"/>
        <item x="4238"/>
        <item x="398"/>
        <item x="389"/>
        <item x="407"/>
        <item x="413"/>
        <item x="409"/>
        <item x="396"/>
        <item x="403"/>
        <item x="397"/>
        <item x="401"/>
        <item x="402"/>
        <item x="394"/>
        <item x="399"/>
        <item x="1616"/>
        <item x="1617"/>
        <item x="1618"/>
        <item x="1615"/>
        <item x="1143"/>
        <item x="1265"/>
        <item x="1840"/>
        <item x="1851"/>
        <item x="1839"/>
        <item x="1146"/>
        <item x="1847"/>
        <item x="1724"/>
        <item x="1151"/>
        <item x="1207"/>
        <item x="1246"/>
        <item x="1220"/>
        <item x="1212"/>
        <item x="2308"/>
        <item x="3018"/>
        <item x="3353"/>
        <item x="439"/>
        <item x="1083"/>
        <item x="1082"/>
        <item x="1078"/>
        <item x="908"/>
        <item x="924"/>
        <item x="4308"/>
        <item x="934"/>
        <item x="4309"/>
        <item x="2030"/>
        <item x="1779"/>
        <item x="628"/>
        <item x="633"/>
        <item x="1778"/>
        <item x="900"/>
        <item x="391"/>
        <item x="1765"/>
        <item x="1695"/>
        <item x="1698"/>
        <item x="1693"/>
        <item x="617"/>
        <item x="4146"/>
        <item x="4126"/>
        <item x="4141"/>
        <item x="4137"/>
        <item x="4121"/>
        <item x="4124"/>
        <item x="4133"/>
        <item x="880"/>
        <item x="1609"/>
        <item x="304"/>
        <item x="306"/>
        <item x="1697"/>
        <item x="1690"/>
        <item x="4250"/>
        <item x="4289"/>
        <item x="1708"/>
        <item x="1706"/>
        <item x="1689"/>
        <item x="310"/>
        <item x="1692"/>
        <item x="3183"/>
        <item x="3887"/>
        <item x="3888"/>
        <item x="3890"/>
        <item x="3892"/>
        <item x="2642"/>
        <item x="2701"/>
        <item x="4043"/>
        <item x="2448"/>
        <item x="2019"/>
        <item x="1502"/>
        <item x="1468"/>
        <item x="4213"/>
        <item x="4214"/>
        <item x="1072"/>
        <item x="1080"/>
        <item x="769"/>
        <item x="770"/>
        <item x="764"/>
        <item x="771"/>
        <item x="803"/>
        <item x="4241"/>
        <item x="4264"/>
        <item x="1020"/>
        <item x="1025"/>
        <item x="1061"/>
        <item x="1079"/>
        <item x="1032"/>
        <item x="1065"/>
        <item x="1064"/>
        <item x="1027"/>
        <item x="1095"/>
        <item x="4259"/>
        <item x="1195"/>
        <item x="881"/>
        <item x="1033"/>
        <item x="1098"/>
        <item x="4258"/>
        <item x="4246"/>
        <item x="4260"/>
        <item x="1066"/>
        <item x="2043"/>
        <item x="679"/>
        <item x="677"/>
        <item x="688"/>
        <item x="698"/>
        <item x="410"/>
        <item x="1785"/>
        <item x="804"/>
        <item x="3761"/>
        <item x="3770"/>
        <item x="3748"/>
        <item x="3755"/>
        <item x="3942"/>
        <item x="991"/>
        <item x="916"/>
        <item x="4265"/>
        <item x="2609"/>
        <item x="2023"/>
        <item x="1500"/>
        <item x="1455"/>
        <item x="869"/>
        <item x="1089"/>
        <item x="865"/>
        <item x="873"/>
        <item x="1538"/>
        <item x="1542"/>
        <item x="1450"/>
        <item x="4239"/>
        <item x="1461"/>
        <item x="1552"/>
        <item x="1553"/>
        <item x="1464"/>
        <item x="1481"/>
        <item x="1488"/>
        <item x="1449"/>
        <item x="1536"/>
        <item x="1537"/>
        <item x="1503"/>
        <item x="1465"/>
        <item x="1457"/>
        <item x="1454"/>
        <item x="1459"/>
        <item x="1475"/>
        <item x="1472"/>
        <item x="1506"/>
        <item x="1462"/>
        <item x="1474"/>
        <item x="883"/>
        <item x="1087"/>
        <item x="1092"/>
        <item x="1081"/>
        <item x="1077"/>
        <item x="1094"/>
        <item x="1512"/>
        <item x="1535"/>
        <item x="2980"/>
        <item x="4262"/>
        <item x="4340"/>
        <item x="4327"/>
        <item x="4350"/>
        <item x="4291"/>
        <item x="4283"/>
        <item x="4296"/>
        <item x="4284"/>
        <item x="4282"/>
        <item x="4345"/>
        <item x="4303"/>
        <item x="3094"/>
        <item x="2454"/>
        <item x="1473"/>
        <item x="3742"/>
        <item x="74"/>
        <item x="72"/>
        <item x="158"/>
        <item x="157"/>
        <item x="160"/>
        <item x="159"/>
        <item x="186"/>
        <item x="132"/>
        <item x="508"/>
        <item x="509"/>
        <item x="510"/>
        <item x="618"/>
        <item x="619"/>
        <item x="620"/>
        <item x="2010"/>
        <item x="743"/>
        <item x="844"/>
        <item x="746"/>
        <item x="4347"/>
        <item x="4342"/>
        <item x="2656"/>
        <item x="4280"/>
        <item x="4256"/>
        <item x="4279"/>
        <item x="2648"/>
        <item x="4301"/>
        <item x="2647"/>
        <item x="2662"/>
        <item x="4010"/>
        <item x="2265"/>
        <item x="2155"/>
        <item x="2340"/>
        <item x="117"/>
        <item x="2"/>
        <item x="121"/>
        <item x="116"/>
        <item x="1801"/>
        <item x="1812"/>
        <item x="1972"/>
        <item x="1969"/>
        <item x="1968"/>
        <item x="1970"/>
        <item x="1826"/>
        <item x="1822"/>
        <item x="1966"/>
        <item x="1821"/>
        <item x="1973"/>
        <item x="1964"/>
        <item x="1963"/>
        <item x="1961"/>
        <item x="2970"/>
        <item x="1962"/>
        <item x="2945"/>
        <item x="1358"/>
        <item x="1251"/>
        <item x="1356"/>
        <item x="1357"/>
        <item x="1170"/>
        <item x="1351"/>
        <item x="1320"/>
        <item x="1342"/>
        <item x="1330"/>
        <item x="1271"/>
        <item x="1276"/>
        <item x="1273"/>
        <item x="4316"/>
        <item x="4313"/>
        <item x="4315"/>
        <item x="4314"/>
        <item x="990"/>
        <item x="1305"/>
        <item x="1250"/>
        <item x="1144"/>
        <item x="1153"/>
        <item x="1184"/>
        <item x="1253"/>
        <item x="1187"/>
        <item x="1140"/>
        <item x="1160"/>
        <item x="1188"/>
        <item x="1156"/>
        <item x="1194"/>
        <item x="1183"/>
        <item x="1607"/>
        <item x="612"/>
        <item x="1572"/>
        <item x="1956"/>
        <item x="1679"/>
        <item x="1951"/>
        <item x="1677"/>
        <item x="1959"/>
        <item x="1566"/>
        <item x="1602"/>
        <item x="563"/>
        <item x="1676"/>
        <item x="1567"/>
        <item x="1960"/>
        <item x="1687"/>
        <item x="1249"/>
        <item x="1768"/>
        <item x="1745"/>
        <item x="340"/>
        <item x="346"/>
        <item x="758"/>
        <item x="754"/>
        <item x="819"/>
        <item x="972"/>
        <item x="976"/>
        <item x="957"/>
        <item x="1759"/>
        <item x="1746"/>
        <item x="1877"/>
        <item x="862"/>
        <item x="1760"/>
        <item x="27"/>
        <item x="28"/>
        <item x="37"/>
        <item x="30"/>
        <item x="631"/>
        <item x="630"/>
        <item x="1783"/>
        <item x="898"/>
        <item x="1528"/>
        <item x="897"/>
        <item x="1511"/>
        <item x="2147"/>
        <item x="2151"/>
        <item x="2154"/>
        <item x="2153"/>
        <item x="2150"/>
        <item x="2156"/>
        <item x="2931"/>
        <item x="2942"/>
        <item x="993"/>
        <item x="992"/>
        <item x="2533"/>
        <item x="3050"/>
        <item x="3167"/>
        <item x="3166"/>
        <item x="3169"/>
        <item x="2301"/>
        <item x="2292"/>
        <item x="2304"/>
        <item x="2314"/>
        <item x="3335"/>
        <item x="3360"/>
        <item x="3362"/>
        <item x="3372"/>
        <item x="4086"/>
        <item x="4089"/>
        <item x="4088"/>
        <item x="4087"/>
        <item x="4090"/>
        <item x="4093"/>
        <item x="4091"/>
        <item x="4092"/>
        <item x="4094"/>
        <item x="3676"/>
        <item x="2880"/>
        <item x="910"/>
        <item x="905"/>
        <item x="931"/>
        <item x="3308"/>
        <item x="2001"/>
        <item x="925"/>
        <item x="3697"/>
        <item x="3689"/>
        <item x="3687"/>
        <item x="3696"/>
        <item x="3672"/>
        <item x="3721"/>
        <item x="3710"/>
        <item x="3717"/>
        <item x="3720"/>
        <item x="3691"/>
        <item x="3694"/>
        <item x="3683"/>
        <item x="3673"/>
        <item x="3703"/>
        <item x="3704"/>
        <item x="3701"/>
        <item x="3711"/>
        <item x="3681"/>
        <item x="3675"/>
        <item x="3706"/>
        <item x="3698"/>
        <item x="3699"/>
        <item x="3685"/>
        <item x="3715"/>
        <item x="3722"/>
        <item x="3709"/>
        <item x="3714"/>
        <item x="3713"/>
        <item x="2111"/>
        <item x="836"/>
        <item x="839"/>
        <item x="864"/>
        <item x="842"/>
        <item x="851"/>
        <item x="848"/>
        <item x="846"/>
        <item x="854"/>
        <item x="833"/>
        <item x="826"/>
        <item x="2092"/>
        <item x="2085"/>
        <item x="2086"/>
        <item x="2472"/>
        <item x="2470"/>
        <item x="2471"/>
        <item x="2473"/>
        <item x="875"/>
        <item x="888"/>
        <item x="2299"/>
        <item x="2841"/>
        <item x="1717"/>
        <item x="855"/>
        <item x="821"/>
        <item x="825"/>
        <item x="1042"/>
        <item x="1043"/>
        <item x="1051"/>
        <item x="1048"/>
        <item x="1044"/>
        <item x="1052"/>
        <item x="915"/>
        <item x="918"/>
        <item x="932"/>
        <item x="936"/>
        <item x="927"/>
        <item x="2694"/>
        <item x="1204"/>
        <item x="1232"/>
        <item x="1213"/>
        <item x="2259"/>
        <item x="2261"/>
        <item x="2262"/>
        <item x="2250"/>
        <item x="2251"/>
        <item x="2529"/>
        <item x="2530"/>
        <item x="2525"/>
        <item x="2526"/>
        <item x="2518"/>
        <item x="2521"/>
        <item x="2515"/>
        <item x="2513"/>
        <item x="2517"/>
        <item x="2519"/>
        <item x="2520"/>
        <item x="2522"/>
        <item x="2264"/>
        <item x="2514"/>
        <item x="2516"/>
        <item x="2527"/>
        <item x="2524"/>
        <item x="2531"/>
        <item x="2523"/>
        <item x="2528"/>
        <item x="830"/>
        <item x="1854"/>
        <item x="1864"/>
        <item x="1853"/>
        <item x="1852"/>
        <item x="917"/>
        <item x="929"/>
        <item x="922"/>
        <item x="920"/>
        <item x="926"/>
        <item x="4044"/>
        <item x="4032"/>
        <item x="4018"/>
        <item x="2849"/>
        <item x="4021"/>
        <item x="4016"/>
        <item x="4022"/>
        <item x="4039"/>
        <item x="4041"/>
        <item x="4040"/>
        <item x="2443"/>
        <item x="2687"/>
        <item x="2653"/>
        <item x="2449"/>
        <item x="2650"/>
        <item x="2777"/>
        <item x="2786"/>
        <item x="2781"/>
        <item x="2776"/>
        <item x="2816"/>
        <item x="2803"/>
        <item x="2784"/>
        <item x="2427"/>
        <item x="2859"/>
        <item x="2386"/>
        <item x="2191"/>
        <item x="431"/>
        <item x="441"/>
        <item x="418"/>
        <item x="417"/>
        <item x="436"/>
        <item x="426"/>
        <item x="419"/>
        <item x="437"/>
        <item x="445"/>
        <item x="424"/>
        <item x="444"/>
        <item x="3320"/>
        <item x="3314"/>
        <item x="3313"/>
        <item x="1920"/>
        <item x="1913"/>
        <item x="3068"/>
        <item x="3898"/>
        <item x="3899"/>
        <item x="3900"/>
        <item x="622"/>
        <item x="1636"/>
        <item x="1637"/>
        <item x="3678"/>
        <item x="3904"/>
        <item x="3684"/>
        <item x="3677"/>
        <item x="3345"/>
        <item x="150"/>
        <item x="274"/>
        <item x="356"/>
        <item x="137"/>
        <item x="1619"/>
        <item x="1667"/>
        <item x="91"/>
        <item x="81"/>
        <item x="856"/>
        <item x="828"/>
        <item x="853"/>
        <item x="831"/>
        <item x="4202"/>
        <item x="4200"/>
        <item x="4203"/>
        <item x="4204"/>
        <item x="4201"/>
        <item x="2871"/>
        <item x="2868"/>
        <item x="2869"/>
        <item x="2864"/>
        <item x="4211"/>
        <item x="4209"/>
        <item x="4210"/>
        <item x="4205"/>
        <item x="4208"/>
        <item x="4206"/>
        <item x="4207"/>
        <item x="1649"/>
        <item x="303"/>
        <item x="1556"/>
        <item x="690"/>
        <item x="79"/>
        <item x="2109"/>
        <item x="2281"/>
        <item x="2142"/>
        <item x="2283"/>
        <item x="4276"/>
        <item x="2930"/>
        <item x="4198"/>
        <item x="4199"/>
        <item x="3916"/>
        <item x="4297"/>
        <item x="3990"/>
        <item x="2927"/>
        <item x="3988"/>
        <item x="2938"/>
        <item x="440"/>
        <item x="2081"/>
        <item x="296"/>
        <item x="314"/>
        <item x="293"/>
        <item x="290"/>
        <item x="272"/>
        <item x="2876"/>
        <item x="2393"/>
        <item x="2878"/>
        <item x="2402"/>
        <item x="2877"/>
        <item x="2665"/>
        <item x="2664"/>
        <item x="2865"/>
        <item x="2858"/>
        <item x="2860"/>
        <item x="2413"/>
        <item x="2441"/>
        <item x="2556"/>
        <item x="1940"/>
        <item x="1943"/>
        <item x="1941"/>
        <item x="1942"/>
        <item x="1480"/>
        <item x="1515"/>
        <item x="1520"/>
        <item x="1499"/>
        <item x="1517"/>
        <item x="1490"/>
        <item x="1519"/>
        <item x="1494"/>
        <item x="1487"/>
        <item x="913"/>
        <item x="2698"/>
        <item x="4115"/>
        <item x="2603"/>
        <item x="2606"/>
        <item x="2602"/>
        <item x="4113"/>
        <item x="2604"/>
        <item x="2599"/>
        <item x="2608"/>
        <item x="2600"/>
        <item x="2605"/>
        <item x="2607"/>
        <item x="2601"/>
        <item x="1862"/>
        <item x="779"/>
        <item x="774"/>
        <item x="787"/>
        <item x="783"/>
        <item x="832"/>
        <item x="857"/>
        <item x="790"/>
        <item x="788"/>
        <item x="792"/>
        <item x="785"/>
        <item x="784"/>
        <item x="778"/>
        <item x="11"/>
        <item x="32"/>
        <item x="55"/>
        <item x="17"/>
        <item x="49"/>
        <item x="44"/>
        <item x="2112"/>
        <item x="2140"/>
        <item x="2141"/>
        <item x="4278"/>
        <item x="4272"/>
        <item x="4344"/>
        <item x="4268"/>
        <item x="4326"/>
        <item x="1196"/>
        <item x="1244"/>
        <item x="1205"/>
        <item x="2932"/>
        <item x="2920"/>
        <item x="3384"/>
        <item x="3336"/>
        <item x="3363"/>
        <item x="3122"/>
        <item x="2987"/>
        <item x="3341"/>
        <item x="3383"/>
        <item x="3386"/>
        <item x="3343"/>
        <item x="2985"/>
        <item x="2965"/>
        <item x="2954"/>
        <item x="2646"/>
        <item x="3927"/>
        <item x="3938"/>
        <item x="2464"/>
        <item x="2463"/>
        <item x="2397"/>
        <item x="2146"/>
        <item x="2025"/>
        <item x="1086"/>
        <item x="914"/>
        <item x="1118"/>
        <item x="1119"/>
        <item x="1121"/>
        <item x="1122"/>
        <item x="1123"/>
        <item x="1125"/>
        <item x="2866"/>
        <item x="2837"/>
        <item x="2838"/>
        <item x="4007"/>
        <item x="4009"/>
        <item x="3953"/>
        <item x="3971"/>
        <item x="3956"/>
        <item x="3951"/>
        <item x="3960"/>
        <item x="3957"/>
        <item x="3962"/>
        <item x="3955"/>
        <item x="3974"/>
        <item x="3970"/>
        <item x="3973"/>
        <item x="3977"/>
        <item x="3969"/>
        <item x="3965"/>
        <item x="3964"/>
        <item x="2332"/>
        <item x="4074"/>
        <item x="4072"/>
        <item x="4061"/>
        <item x="2749"/>
        <item x="350"/>
        <item x="342"/>
        <item x="352"/>
        <item x="2300"/>
        <item x="2677"/>
        <item x="458"/>
        <item x="2550"/>
        <item x="2551"/>
        <item x="2548"/>
        <item x="2552"/>
        <item x="2544"/>
        <item x="2541"/>
        <item x="2540"/>
        <item x="2549"/>
        <item x="2547"/>
        <item x="2539"/>
        <item x="2546"/>
        <item x="2543"/>
        <item x="2542"/>
        <item x="3654"/>
        <item x="3649"/>
        <item x="3668"/>
        <item x="3662"/>
        <item x="3658"/>
        <item x="3665"/>
        <item x="3656"/>
        <item x="3642"/>
        <item x="3657"/>
        <item x="3627"/>
        <item x="3659"/>
        <item x="3653"/>
        <item x="3655"/>
        <item x="3667"/>
        <item x="3670"/>
        <item x="3319"/>
        <item x="3067"/>
        <item x="3349"/>
        <item x="3322"/>
        <item x="3318"/>
        <item x="83"/>
        <item x="89"/>
        <item x="104"/>
        <item x="88"/>
        <item x="3790"/>
        <item x="3793"/>
        <item x="3894"/>
        <item x="3902"/>
        <item x="3893"/>
        <item x="886"/>
        <item x="939"/>
        <item x="850"/>
        <item x="923"/>
        <item x="935"/>
        <item x="937"/>
        <item x="933"/>
        <item x="938"/>
        <item x="928"/>
        <item x="919"/>
        <item x="921"/>
        <item x="930"/>
        <item x="742"/>
        <item x="747"/>
        <item x="829"/>
        <item x="632"/>
        <item x="1763"/>
        <item x="1749"/>
        <item x="1769"/>
        <item x="1773"/>
        <item x="1967"/>
        <item x="3889"/>
        <item x="2458"/>
        <item x="2394"/>
        <item x="2832"/>
        <item x="2833"/>
        <item x="2867"/>
        <item x="2861"/>
        <item x="519"/>
        <item x="531"/>
        <item x="534"/>
        <item x="528"/>
        <item x="515"/>
        <item x="513"/>
        <item x="647"/>
        <item x="524"/>
        <item x="564"/>
        <item x="537"/>
        <item x="552"/>
        <item x="523"/>
        <item x="567"/>
        <item x="536"/>
        <item x="527"/>
        <item x="545"/>
        <item x="533"/>
        <item x="514"/>
        <item x="525"/>
        <item x="529"/>
        <item x="2204"/>
        <item x="2199"/>
        <item x="3160"/>
        <item x="3054"/>
        <item x="3058"/>
        <item x="3061"/>
        <item x="4335"/>
        <item x="2163"/>
        <item x="4333"/>
        <item x="4338"/>
        <item x="3302"/>
        <item x="3286"/>
        <item x="3283"/>
        <item x="3268"/>
        <item x="3273"/>
        <item x="3475"/>
        <item x="3478"/>
        <item x="3535"/>
        <item x="3509"/>
        <item x="3505"/>
        <item x="3513"/>
        <item x="3503"/>
        <item x="3515"/>
        <item x="3524"/>
        <item x="3504"/>
        <item x="3467"/>
        <item x="3293"/>
        <item x="3539"/>
        <item x="3546"/>
        <item x="3514"/>
        <item x="3575"/>
        <item x="3520"/>
        <item x="3551"/>
        <item x="3540"/>
        <item x="3527"/>
        <item x="3532"/>
        <item x="3292"/>
        <item x="3040"/>
        <item x="3274"/>
        <item x="3604"/>
        <item x="3481"/>
        <item x="3444"/>
        <item x="3445"/>
        <item x="3456"/>
        <item x="3464"/>
        <item x="3451"/>
        <item x="3457"/>
        <item x="3433"/>
        <item x="3434"/>
        <item x="3435"/>
        <item x="3439"/>
        <item x="3437"/>
        <item x="3436"/>
        <item x="3441"/>
        <item x="3272"/>
        <item x="3219"/>
        <item x="3216"/>
        <item x="3215"/>
        <item x="3223"/>
        <item x="3237"/>
        <item x="3233"/>
        <item x="3230"/>
        <item x="3508"/>
        <item x="3526"/>
        <item x="3529"/>
        <item x="3542"/>
        <item x="3506"/>
        <item x="3533"/>
        <item x="3576"/>
        <item x="3547"/>
        <item x="3534"/>
        <item x="3462"/>
        <item x="3603"/>
        <item x="3037"/>
        <item x="3264"/>
        <item x="3245"/>
        <item x="3242"/>
        <item x="3260"/>
        <item x="3646"/>
        <item x="3637"/>
        <item x="3613"/>
        <item x="3632"/>
        <item x="3636"/>
        <item x="3639"/>
        <item x="3605"/>
        <item x="3629"/>
        <item x="3635"/>
        <item x="3606"/>
        <item x="3614"/>
        <item x="3618"/>
        <item x="3650"/>
        <item x="3647"/>
        <item x="3617"/>
        <item x="3615"/>
        <item x="3630"/>
        <item x="3663"/>
        <item x="3619"/>
        <item x="3666"/>
        <item x="3622"/>
        <item x="3624"/>
        <item x="3638"/>
        <item x="3294"/>
        <item x="3470"/>
        <item x="3465"/>
        <item x="3443"/>
        <item x="3275"/>
        <item x="3266"/>
        <item x="3452"/>
        <item x="100"/>
        <item x="96"/>
        <item x="106"/>
        <item x="86"/>
        <item x="907"/>
        <item x="4081"/>
        <item x="4083"/>
        <item x="4084"/>
        <item x="4085"/>
        <item x="4082"/>
        <item x="1458"/>
        <item x="1463"/>
        <item x="1493"/>
        <item x="1526"/>
        <item x="3096"/>
        <item x="3099"/>
        <item x="309"/>
        <item x="305"/>
        <item x="2177"/>
        <item x="1974"/>
        <item x="4329"/>
        <item x="4325"/>
        <item x="2376"/>
        <item x="659"/>
        <item x="1501"/>
        <item x="4080"/>
        <item x="3783"/>
        <item x="3752"/>
        <item x="3750"/>
        <item x="3747"/>
        <item x="3749"/>
        <item x="3787"/>
        <item x="3756"/>
        <item x="3753"/>
        <item x="3760"/>
        <item x="3754"/>
        <item x="2129"/>
        <item x="2355"/>
        <item x="2130"/>
        <item x="434"/>
        <item x="361"/>
        <item x="383"/>
        <item x="423"/>
        <item x="316"/>
        <item x="313"/>
        <item x="327"/>
        <item x="332"/>
        <item x="266"/>
        <item x="287"/>
        <item x="265"/>
        <item x="284"/>
        <item x="330"/>
        <item x="2032"/>
        <item x="1992"/>
        <item x="1985"/>
        <item x="2017"/>
        <item x="2029"/>
        <item x="2027"/>
        <item x="1980"/>
        <item x="2022"/>
        <item x="2021"/>
        <item x="2033"/>
        <item x="2036"/>
        <item x="2006"/>
        <item x="2042"/>
        <item x="2011"/>
        <item x="2026"/>
        <item x="2037"/>
        <item x="2031"/>
        <item x="2008"/>
        <item x="2035"/>
        <item x="1988"/>
        <item x="2028"/>
        <item x="2012"/>
        <item x="2018"/>
        <item x="2020"/>
        <item x="2014"/>
        <item x="1989"/>
        <item x="1990"/>
        <item x="1983"/>
        <item x="2009"/>
        <item x="2004"/>
        <item x="2041"/>
        <item x="1979"/>
        <item x="2296"/>
        <item x="1999"/>
        <item x="1981"/>
        <item x="1984"/>
        <item x="1996"/>
        <item x="1978"/>
        <item x="1976"/>
        <item x="2000"/>
        <item x="1986"/>
        <item x="1993"/>
        <item x="2034"/>
        <item x="2038"/>
        <item x="2050"/>
        <item x="2024"/>
        <item x="1987"/>
        <item x="2003"/>
        <item x="1975"/>
        <item x="1362"/>
        <item x="3877"/>
        <item x="3878"/>
        <item x="3879"/>
        <item x="3880"/>
        <item x="947"/>
        <item x="1819"/>
        <item x="1629"/>
        <item x="1651"/>
        <item x="1568"/>
        <item x="1626"/>
        <item x="1625"/>
        <item x="1658"/>
        <item x="1646"/>
        <item x="1650"/>
        <item x="4351"/>
        <item x="1436"/>
        <item x="1438"/>
        <item x="895"/>
        <item x="2372"/>
        <item x="2370"/>
        <item x="2357"/>
        <item x="2323"/>
        <item x="2383"/>
        <item x="2390"/>
        <item x="2343"/>
        <item x="2379"/>
        <item x="2342"/>
        <item x="2338"/>
        <item x="2378"/>
        <item x="2327"/>
        <item x="2329"/>
        <item x="2382"/>
        <item x="2388"/>
        <item x="2354"/>
        <item x="2322"/>
        <item x="2171"/>
        <item x="2328"/>
        <item x="2362"/>
        <item x="2373"/>
        <item x="2381"/>
        <item x="2330"/>
        <item x="2324"/>
        <item x="2321"/>
        <item x="2391"/>
        <item x="2377"/>
        <item x="2345"/>
        <item x="2358"/>
        <item x="2385"/>
        <item x="2366"/>
        <item x="2351"/>
        <item x="2174"/>
        <item x="2337"/>
        <item x="2352"/>
        <item x="2353"/>
        <item x="2346"/>
        <item x="2380"/>
        <item x="1525"/>
        <item x="1518"/>
        <item x="1539"/>
        <item x="1725"/>
        <item x="1721"/>
        <item x="1722"/>
        <item x="1732"/>
        <item x="1729"/>
        <item x="1726"/>
        <item x="1734"/>
        <item x="1735"/>
        <item x="1727"/>
        <item x="1737"/>
        <item x="1731"/>
        <item x="1162"/>
        <item x="1165"/>
        <item x="1262"/>
        <item x="1728"/>
        <item x="1252"/>
        <item x="1206"/>
        <item x="1164"/>
        <item x="1171"/>
        <item x="2910"/>
        <item x="1295"/>
        <item x="2002"/>
        <item x="3410"/>
        <item x="3203"/>
        <item x="3190"/>
        <item x="3060"/>
        <item x="3195"/>
        <item x="3192"/>
        <item x="3019"/>
        <item x="3407"/>
        <item x="3401"/>
        <item x="3399"/>
        <item x="3414"/>
        <item x="3408"/>
        <item x="3417"/>
        <item x="3071"/>
        <item x="3026"/>
        <item x="3055"/>
        <item x="3057"/>
        <item x="3210"/>
        <item x="3416"/>
        <item x="3418"/>
        <item x="3056"/>
        <item x="3066"/>
        <item x="3270"/>
        <item x="3409"/>
        <item x="3065"/>
        <item x="3073"/>
        <item x="3271"/>
        <item x="3905"/>
        <item x="673"/>
        <item x="2884"/>
        <item x="2887"/>
        <item x="2886"/>
        <item x="321"/>
        <item x="268"/>
        <item x="278"/>
        <item x="292"/>
        <item x="2091"/>
        <item x="2082"/>
        <item x="2063"/>
        <item x="1868"/>
        <item x="1873"/>
        <item x="2178"/>
        <item x="2170"/>
        <item x="3808"/>
        <item x="3836"/>
        <item x="3802"/>
        <item x="3800"/>
        <item x="3816"/>
        <item x="3819"/>
        <item x="3813"/>
        <item x="3803"/>
        <item x="3817"/>
        <item x="3798"/>
        <item x="3806"/>
        <item x="3809"/>
        <item x="3805"/>
        <item x="3815"/>
        <item x="3799"/>
        <item x="3837"/>
        <item x="3822"/>
        <item x="3832"/>
        <item x="3834"/>
        <item x="3831"/>
        <item x="3833"/>
        <item x="3823"/>
        <item x="3821"/>
        <item x="3820"/>
        <item x="3827"/>
        <item x="3804"/>
        <item x="3818"/>
        <item x="3801"/>
        <item x="3828"/>
        <item x="3829"/>
        <item x="2005"/>
        <item x="706"/>
        <item x="696"/>
        <item x="700"/>
        <item x="703"/>
        <item x="680"/>
        <item x="1764"/>
        <item x="1742"/>
        <item x="1782"/>
        <item x="1750"/>
        <item x="2369"/>
        <item x="2115"/>
        <item x="2149"/>
        <item x="2120"/>
        <item x="2119"/>
        <item x="2116"/>
        <item x="2175"/>
        <item x="2133"/>
        <item x="3188"/>
        <item x="3163"/>
        <item x="986"/>
        <item x="984"/>
        <item x="988"/>
        <item x="4348"/>
        <item x="3035"/>
        <item x="2885"/>
        <item x="2883"/>
        <item x="4033"/>
        <item x="4035"/>
        <item x="735"/>
        <item x="2226"/>
        <item x="2188"/>
        <item x="2194"/>
        <item x="2202"/>
        <item x="2214"/>
        <item x="2192"/>
        <item x="2244"/>
        <item x="2196"/>
        <item x="2231"/>
        <item x="2219"/>
        <item x="2220"/>
        <item x="2195"/>
        <item x="2215"/>
        <item x="2446"/>
        <item x="2939"/>
        <item x="2973"/>
        <item x="2949"/>
        <item x="2967"/>
        <item x="3415"/>
        <item x="3412"/>
        <item x="3405"/>
        <item x="3413"/>
        <item x="2096"/>
        <item x="2882"/>
        <item x="2198"/>
        <item x="3995"/>
        <item x="3994"/>
        <item x="4298"/>
        <item x="2964"/>
        <item x="2936"/>
        <item x="2951"/>
        <item x="2990"/>
        <item x="2991"/>
        <item x="2976"/>
        <item x="3406"/>
        <item x="3997"/>
        <item x="279"/>
        <item x="1381"/>
        <item x="1366"/>
        <item x="1363"/>
        <item x="1373"/>
        <item x="1379"/>
        <item x="1390"/>
        <item x="1384"/>
        <item x="2684"/>
        <item x="2667"/>
        <item x="2434"/>
        <item x="2741"/>
        <item x="2676"/>
        <item x="2693"/>
        <item x="2674"/>
        <item x="2744"/>
        <item x="2670"/>
        <item x="606"/>
        <item x="572"/>
        <item x="607"/>
        <item x="583"/>
        <item x="566"/>
        <item x="553"/>
        <item x="579"/>
        <item x="604"/>
        <item x="597"/>
        <item x="602"/>
        <item x="2229"/>
        <item x="2245"/>
        <item x="2208"/>
        <item x="2190"/>
        <item x="2189"/>
        <item x="2235"/>
        <item x="2218"/>
        <item x="2182"/>
        <item x="2181"/>
        <item x="2898"/>
        <item x="2902"/>
        <item x="2899"/>
        <item x="2901"/>
        <item x="2900"/>
        <item x="1788"/>
        <item x="1777"/>
        <item x="1781"/>
        <item x="1786"/>
        <item x="1787"/>
        <item x="702"/>
        <item x="343"/>
        <item x="761"/>
        <item x="776"/>
        <item x="786"/>
        <item x="808"/>
        <item x="767"/>
        <item x="791"/>
        <item x="341"/>
        <item x="334"/>
        <item x="2926"/>
        <item x="3093"/>
        <item x="3104"/>
        <item x="3107"/>
        <item x="2924"/>
        <item x="2935"/>
        <item x="3086"/>
        <item x="3092"/>
        <item x="302"/>
        <item x="300"/>
        <item x="331"/>
        <item x="3033"/>
        <item x="3016"/>
        <item x="295"/>
        <item x="301"/>
        <item x="1818"/>
        <item x="1814"/>
        <item x="1804"/>
        <item x="294"/>
        <item x="298"/>
        <item x="277"/>
        <item x="269"/>
        <item x="997"/>
        <item x="1015"/>
        <item x="3323"/>
        <item x="1139"/>
        <item x="1855"/>
        <item x="1845"/>
        <item x="1138"/>
        <item x="1150"/>
        <item x="1301"/>
        <item x="1838"/>
        <item x="1142"/>
        <item x="1309"/>
        <item x="1147"/>
        <item x="1145"/>
        <item x="1157"/>
        <item x="1163"/>
        <item x="1837"/>
        <item x="1836"/>
        <item x="1308"/>
        <item x="2969"/>
        <item x="1916"/>
        <item x="1927"/>
        <item x="3991"/>
        <item x="3989"/>
        <item x="3993"/>
        <item x="2988"/>
        <item x="4247"/>
        <item x="4242"/>
        <item x="2375"/>
        <item x="4175"/>
        <item x="4174"/>
        <item x="3980"/>
        <item x="3982"/>
        <item x="3981"/>
        <item x="3978"/>
        <item x="3983"/>
        <item x="3984"/>
        <item x="3979"/>
        <item x="2532"/>
        <item x="2536"/>
        <item x="2535"/>
        <item x="353"/>
        <item x="1755"/>
        <item x="2113"/>
        <item x="2128"/>
        <item x="2131"/>
        <item x="2138"/>
        <item x="2132"/>
        <item x="2136"/>
        <item x="2137"/>
        <item x="2135"/>
        <item x="2139"/>
        <item x="2127"/>
        <item x="4037"/>
        <item x="4023"/>
        <item x="3896"/>
        <item x="2620"/>
        <item x="2622"/>
        <item x="2619"/>
        <item x="3373"/>
        <item x="3367"/>
        <item x="3371"/>
        <item x="3346"/>
        <item x="3357"/>
        <item x="3340"/>
        <item x="1793"/>
        <item x="1797"/>
        <item x="1796"/>
        <item x="1795"/>
        <item x="1794"/>
        <item x="1798"/>
        <item x="1648"/>
        <item x="2819"/>
        <item x="2793"/>
        <item x="2788"/>
        <item x="2789"/>
        <item x="2799"/>
        <item x="2785"/>
        <item x="2791"/>
        <item x="2825"/>
        <item x="2798"/>
        <item x="2790"/>
        <item x="2074"/>
        <item x="2075"/>
        <item x="2071"/>
        <item x="2787"/>
        <item x="1509"/>
        <item x="1624"/>
        <item x="1621"/>
        <item x="1000"/>
        <item x="1529"/>
        <item x="1532"/>
        <item x="1521"/>
        <item x="1522"/>
        <item x="1523"/>
        <item x="1489"/>
        <item x="1508"/>
        <item x="1491"/>
        <item x="896"/>
        <item x="892"/>
        <item x="1632"/>
        <item x="1019"/>
        <item x="1530"/>
        <item x="4118"/>
        <item x="4099"/>
        <item x="3370"/>
        <item x="3364"/>
        <item x="3985"/>
        <item x="3986"/>
        <item x="3838"/>
        <item x="3842"/>
        <item x="3844"/>
        <item x="3850"/>
        <item x="3840"/>
        <item x="3355"/>
        <item x="3848"/>
        <item x="3881"/>
        <item x="3361"/>
        <item x="3987"/>
        <item x="3133"/>
        <item x="2977"/>
        <item x="3934"/>
        <item x="4243"/>
        <item x="3049"/>
        <item x="3132"/>
        <item x="3690"/>
        <item x="3853"/>
        <item x="3856"/>
        <item x="3861"/>
        <item x="3936"/>
        <item x="3933"/>
        <item x="2289"/>
        <item x="2290"/>
        <item x="2185"/>
        <item x="2179"/>
        <item x="2184"/>
        <item x="2180"/>
        <item x="457"/>
        <item x="1704"/>
        <item x="1713"/>
        <item x="1555"/>
        <item x="1716"/>
        <item x="1014"/>
        <item x="1003"/>
        <item x="1012"/>
        <item x="1009"/>
        <item x="1011"/>
        <item x="1696"/>
        <item x="2809"/>
        <item x="626"/>
        <item x="627"/>
        <item x="3910"/>
        <item x="1919"/>
        <item x="899"/>
        <item x="891"/>
        <item x="889"/>
        <item x="887"/>
        <item x="871"/>
        <item x="874"/>
        <item x="815"/>
        <item x="285"/>
        <item x="3854"/>
        <item x="3864"/>
        <item x="3867"/>
        <item x="3875"/>
        <item x="3876"/>
        <item x="4057"/>
        <item x="4058"/>
        <item x="884"/>
        <item x="1771"/>
        <item x="1744"/>
        <item x="849"/>
        <item x="852"/>
        <item x="1766"/>
        <item x="827"/>
        <item x="1389"/>
        <item x="323"/>
        <item x="329"/>
        <item x="4240"/>
        <item x="469"/>
        <item x="4096"/>
        <item x="4095"/>
        <item x="1903"/>
        <item x="1680"/>
        <item x="1688"/>
        <item x="430"/>
        <item x="443"/>
        <item x="425"/>
        <item x="428"/>
        <item x="435"/>
        <item x="416"/>
        <item x="460"/>
        <item x="420"/>
        <item x="446"/>
        <item x="421"/>
        <item x="3411"/>
        <item x="3309"/>
        <item x="3352"/>
        <item x="3554"/>
        <item x="3537"/>
        <item x="3567"/>
        <item x="3564"/>
        <item x="3594"/>
        <item x="3558"/>
        <item x="3562"/>
        <item x="3566"/>
        <item x="3584"/>
        <item x="3262"/>
        <item x="3278"/>
        <item x="3300"/>
        <item x="3301"/>
        <item x="3299"/>
        <item x="3303"/>
        <item x="3296"/>
        <item x="3304"/>
        <item x="3298"/>
        <item x="3243"/>
        <item x="3247"/>
        <item x="3250"/>
        <item x="3438"/>
        <item x="3460"/>
        <item x="3295"/>
        <item x="3297"/>
        <item x="3628"/>
        <item x="3284"/>
        <item x="3450"/>
        <item x="3519"/>
        <item x="3552"/>
        <item x="3581"/>
        <item x="3541"/>
        <item x="3578"/>
        <item x="3588"/>
        <item x="3550"/>
        <item x="3563"/>
        <item x="3530"/>
        <item x="3556"/>
        <item x="3561"/>
        <item x="3579"/>
        <item x="3555"/>
        <item x="3593"/>
        <item x="3573"/>
        <item x="3590"/>
        <item x="3565"/>
        <item x="3583"/>
        <item x="3595"/>
        <item x="3574"/>
        <item x="3591"/>
        <item x="3580"/>
        <item x="3625"/>
        <item x="3660"/>
        <item x="3643"/>
        <item x="3651"/>
        <item x="3669"/>
        <item x="3616"/>
        <item x="3621"/>
        <item x="3645"/>
        <item x="3664"/>
        <item x="3641"/>
        <item x="3640"/>
        <item x="3671"/>
        <item x="3652"/>
        <item x="3545"/>
        <item x="3531"/>
        <item x="3543"/>
        <item x="3538"/>
        <item x="3511"/>
        <item x="3516"/>
        <item x="3528"/>
        <item x="3634"/>
        <item x="3644"/>
        <item x="3620"/>
        <item x="3661"/>
        <item x="3626"/>
        <item x="3648"/>
        <item x="3276"/>
        <item x="3290"/>
        <item x="3461"/>
        <item x="3244"/>
        <item x="3248"/>
        <item x="3249"/>
        <item x="3918"/>
        <item x="472"/>
        <item x="4324"/>
        <item x="4322"/>
        <item x="1399"/>
        <item x="1391"/>
        <item x="1382"/>
        <item x="1397"/>
        <item x="1380"/>
        <item x="1377"/>
        <item x="1392"/>
        <item x="1284"/>
        <item x="1283"/>
        <item x="1288"/>
        <item x="1277"/>
        <item x="1289"/>
        <item x="1340"/>
        <item x="1326"/>
        <item x="1339"/>
        <item x="1329"/>
        <item x="1336"/>
        <item x="2306"/>
        <item x="2315"/>
        <item x="4319"/>
        <item x="208"/>
        <item x="1733"/>
        <item x="1909"/>
        <item x="1902"/>
        <item x="1901"/>
        <item x="1910"/>
        <item x="1730"/>
        <item x="1287"/>
        <item x="1290"/>
        <item x="1280"/>
        <item x="1753"/>
        <item x="605"/>
        <item x="549"/>
        <item x="584"/>
        <item x="608"/>
        <item x="590"/>
        <item x="595"/>
        <item x="634"/>
        <item x="2316"/>
        <item x="2317"/>
        <item x="2318"/>
        <item x="4235"/>
        <item x="388"/>
        <item x="1152"/>
        <item x="1811"/>
        <item x="1808"/>
        <item x="1809"/>
        <item x="1817"/>
        <item x="1010"/>
        <item x="1004"/>
        <item x="1005"/>
        <item x="1007"/>
        <item x="1006"/>
        <item x="1008"/>
        <item x="2959"/>
        <item x="2937"/>
        <item x="2975"/>
        <item x="4156"/>
        <item x="4164"/>
        <item x="3839"/>
        <item x="3845"/>
        <item x="3351"/>
        <item x="3849"/>
        <item x="3852"/>
        <item x="2651"/>
        <item x="3031"/>
        <item x="3007"/>
        <item x="3014"/>
        <item x="3009"/>
        <item x="3020"/>
        <item x="3030"/>
        <item x="3013"/>
        <item x="2770"/>
        <item x="2771"/>
        <item x="2482"/>
        <item x="2487"/>
        <item x="2481"/>
        <item x="2483"/>
        <item x="2474"/>
        <item x="2475"/>
        <item x="2466"/>
        <item x="2476"/>
        <item x="2479"/>
        <item x="2769"/>
        <item x="2411"/>
        <item x="2485"/>
        <item x="2486"/>
        <item x="2436"/>
        <item x="2491"/>
        <item x="4166"/>
        <item x="2754"/>
        <item x="2757"/>
        <item x="2746"/>
        <item x="2469"/>
        <item x="2678"/>
        <item x="2740"/>
        <item x="2430"/>
        <item x="2468"/>
        <item x="2467"/>
        <item x="2477"/>
        <item x="2488"/>
        <item x="2408"/>
        <item x="2484"/>
        <item x="2480"/>
        <item x="2745"/>
        <item x="2750"/>
        <item x="2331"/>
        <item x="3886"/>
        <item x="4045"/>
        <item x="25"/>
        <item x="1611"/>
        <item x="1608"/>
        <item x="3972"/>
        <item x="3952"/>
        <item x="3976"/>
        <item x="3958"/>
        <item x="3966"/>
        <item x="3954"/>
        <item x="3773"/>
        <item x="3778"/>
        <item x="3746"/>
        <item x="3961"/>
        <item x="3967"/>
        <item x="3777"/>
        <item x="4339"/>
        <item x="599"/>
        <item x="591"/>
        <item x="652"/>
        <item x="573"/>
        <item x="577"/>
        <item x="1799"/>
        <item x="1022"/>
        <item x="2775"/>
        <item x="2773"/>
        <item x="3901"/>
        <item x="1419"/>
        <item x="1412"/>
        <item x="1418"/>
        <item x="1417"/>
        <item x="1414"/>
        <item x="1411"/>
        <item x="1416"/>
        <item x="1420"/>
        <item x="1442"/>
        <item x="1435"/>
        <item x="1437"/>
        <item x="1429"/>
        <item x="200"/>
        <item x="644"/>
        <item x="643"/>
        <item x="645"/>
        <item x="642"/>
        <item x="2634"/>
        <item x="3181"/>
        <item x="2952"/>
        <item x="3379"/>
        <item x="3329"/>
        <item x="3375"/>
        <item x="3330"/>
        <item x="3113"/>
        <item x="2963"/>
        <item x="3396"/>
        <item x="3047"/>
        <item x="3046"/>
        <item x="2971"/>
        <item x="2953"/>
        <item x="3380"/>
        <item x="2958"/>
        <item x="2956"/>
        <item x="2950"/>
        <item x="2974"/>
        <item x="2223"/>
        <item x="3766"/>
        <item x="3772"/>
        <item x="1504"/>
        <item x="1471"/>
        <item x="1550"/>
        <item x="1476"/>
        <item x="1549"/>
        <item x="94"/>
        <item x="101"/>
        <item x="1562"/>
        <item x="1554"/>
        <item x="1612"/>
        <item x="1565"/>
        <item x="2640"/>
        <item x="2363"/>
        <item x="324"/>
        <item x="2114"/>
        <item x="15"/>
        <item x="10"/>
        <item x="183"/>
        <item x="127"/>
        <item x="40"/>
        <item x="166"/>
        <item x="155"/>
        <item x="128"/>
        <item x="156"/>
        <item x="70"/>
        <item x="75"/>
        <item x="141"/>
        <item x="140"/>
        <item x="1945"/>
        <item x="1950"/>
        <item x="1948"/>
        <item x="1946"/>
        <item x="1955"/>
        <item x="1958"/>
        <item x="1954"/>
        <item x="1947"/>
        <item x="1957"/>
        <item x="1949"/>
        <item x="1575"/>
        <item x="1574"/>
        <item x="1952"/>
        <item x="1953"/>
        <item x="1944"/>
        <item x="34"/>
        <item x="35"/>
        <item x="45"/>
        <item x="1876"/>
        <item x="1001"/>
        <item x="1875"/>
        <item x="998"/>
        <item x="411"/>
        <item x="406"/>
        <item x="238"/>
        <item x="1828"/>
        <item x="328"/>
        <item x="415"/>
        <item x="3028"/>
        <item x="4187"/>
        <item x="4179"/>
        <item x="4180"/>
        <item x="4190"/>
        <item x="4183"/>
        <item x="4189"/>
        <item x="4184"/>
        <item x="4176"/>
        <item x="4172"/>
        <item x="4171"/>
        <item x="4185"/>
        <item x="4188"/>
        <item x="4181"/>
        <item x="565"/>
        <item x="589"/>
        <item x="1887"/>
        <item x="1897"/>
        <item x="657"/>
        <item x="601"/>
        <item x="561"/>
        <item x="546"/>
        <item x="575"/>
        <item x="185"/>
        <item x="1172"/>
        <item x="1169"/>
        <item x="1166"/>
        <item x="1254"/>
        <item x="1223"/>
        <item x="1421"/>
        <item x="1423"/>
        <item x="1103"/>
        <item x="1101"/>
        <item x="2705"/>
        <item x="2710"/>
        <item x="2707"/>
        <item x="2708"/>
        <item x="2713"/>
        <item x="2704"/>
        <item x="2672"/>
        <item x="2717"/>
        <item x="2714"/>
        <item x="2712"/>
        <item x="2700"/>
        <item x="2715"/>
        <item x="2703"/>
        <item x="2720"/>
        <item x="3011"/>
        <item x="3587"/>
        <item x="3269"/>
        <item x="3267"/>
        <item x="3459"/>
        <item x="3142"/>
        <item x="3257"/>
        <item x="3254"/>
        <item x="3442"/>
        <item x="3631"/>
        <item x="3610"/>
        <item x="3608"/>
        <item x="3612"/>
        <item x="3611"/>
        <item x="3609"/>
        <item x="3607"/>
        <item x="3258"/>
        <item x="3259"/>
        <item x="3256"/>
        <item x="3252"/>
        <item x="3253"/>
        <item x="3251"/>
        <item x="3599"/>
        <item x="3582"/>
        <item x="3592"/>
        <item x="3585"/>
        <item x="3600"/>
        <item x="3255"/>
        <item x="3200"/>
        <item x="4002"/>
        <item x="3261"/>
        <item x="3032"/>
        <item x="3039"/>
        <item x="3228"/>
        <item x="3041"/>
        <item x="3208"/>
        <item x="3548"/>
        <item x="3560"/>
        <item x="3559"/>
        <item x="3571"/>
        <item x="3544"/>
        <item x="3577"/>
        <item x="3569"/>
        <item x="3510"/>
        <item x="3449"/>
        <item x="3440"/>
        <item x="3458"/>
        <item x="3453"/>
        <item x="3572"/>
        <item x="3597"/>
        <item x="3589"/>
        <item x="3521"/>
        <item x="3525"/>
        <item x="3598"/>
        <item x="3490"/>
        <item x="3570"/>
        <item x="3500"/>
        <item x="3492"/>
        <item x="3496"/>
        <item x="3489"/>
        <item x="3494"/>
        <item x="3601"/>
        <item x="3596"/>
        <item x="3586"/>
        <item x="3279"/>
        <item x="3277"/>
        <item x="3217"/>
        <item x="3232"/>
        <item x="3238"/>
        <item x="3234"/>
        <item x="3240"/>
        <item x="3008"/>
        <item x="3127"/>
        <item x="3129"/>
        <item x="3125"/>
        <item x="3633"/>
        <item x="3623"/>
        <item x="3042"/>
        <item x="1849"/>
        <item x="1860"/>
        <item x="1842"/>
        <item x="1844"/>
        <item x="454"/>
        <item x="453"/>
        <item x="452"/>
        <item x="450"/>
        <item x="451"/>
        <item x="449"/>
        <item x="1856"/>
        <item x="386"/>
        <item x="385"/>
        <item x="3830"/>
        <item x="3812"/>
        <item x="3825"/>
        <item x="2767"/>
        <item x="2792"/>
        <item x="248"/>
        <item x="1185"/>
        <item x="1192"/>
        <item x="1202"/>
        <item x="1186"/>
        <item x="1214"/>
        <item x="1193"/>
        <item x="1216"/>
        <item x="1219"/>
        <item x="1225"/>
        <item x="806"/>
        <item x="820"/>
        <item x="834"/>
        <item x="311"/>
        <item x="307"/>
        <item x="520"/>
        <item x="4290"/>
        <item x="2944"/>
        <item x="4305"/>
        <item x="2984"/>
        <item x="3992"/>
        <item x="2989"/>
        <item x="2933"/>
        <item x="1303"/>
        <item x="1307"/>
        <item x="1304"/>
        <item x="1311"/>
        <item x="1302"/>
        <item x="911"/>
        <item x="4346"/>
        <item x="4328"/>
        <item x="4330"/>
        <item x="4334"/>
        <item x="4321"/>
        <item x="1546"/>
        <item x="1547"/>
        <item x="1548"/>
        <item x="1545"/>
        <item x="1544"/>
        <item x="711"/>
        <item x="751"/>
        <item x="692"/>
        <item x="701"/>
        <item x="704"/>
        <item x="2928"/>
        <item x="3700"/>
        <item x="3702"/>
        <item x="3882"/>
        <item x="3391"/>
        <item x="2104"/>
        <item x="2108"/>
        <item x="2110"/>
        <item x="1127"/>
        <item x="1128"/>
        <item x="1129"/>
        <item x="1130"/>
        <item x="2748"/>
        <item x="2657"/>
        <item x="2761"/>
        <item x="2759"/>
        <item x="2753"/>
        <item x="2755"/>
        <item x="2763"/>
        <item x="2760"/>
        <item x="2356"/>
        <item x="471"/>
        <item x="3945"/>
        <item x="3400"/>
        <item x="3398"/>
        <item x="3404"/>
        <item x="3366"/>
        <item x="3402"/>
        <item x="3403"/>
        <item x="3390"/>
        <item x="3350"/>
        <item x="3392"/>
        <item x="3358"/>
        <item x="3394"/>
        <item x="3145"/>
        <item x="3196"/>
        <item x="3387"/>
        <item x="3337"/>
        <item x="3193"/>
        <item x="3197"/>
        <item x="3209"/>
        <item x="3211"/>
        <item x="1076"/>
        <item x="1049"/>
        <item x="1634"/>
        <item x="3479"/>
        <item x="3080"/>
        <item x="3287"/>
        <item x="3000"/>
        <item x="3172"/>
        <item x="3015"/>
        <item x="3175"/>
        <item x="3038"/>
        <item x="3078"/>
        <item x="3137"/>
        <item x="3136"/>
        <item x="3143"/>
        <item x="3128"/>
        <item x="3126"/>
        <item x="3123"/>
        <item x="3023"/>
        <item x="3017"/>
        <item x="3002"/>
        <item x="3171"/>
        <item x="3077"/>
        <item x="3029"/>
        <item x="3138"/>
        <item x="3140"/>
        <item x="3149"/>
        <item x="3466"/>
        <item x="3241"/>
        <item x="3265"/>
        <item x="3246"/>
        <item x="3225"/>
        <item x="3226"/>
        <item x="3224"/>
        <item x="3152"/>
        <item x="3463"/>
        <item x="3536"/>
        <item x="3227"/>
        <item x="3151"/>
        <item x="3146"/>
        <item x="3281"/>
        <item x="3124"/>
        <item x="3139"/>
        <item x="1635"/>
        <item x="2243"/>
        <item x="2242"/>
        <item x="1802"/>
        <item x="1513"/>
        <item x="1498"/>
        <item x="1505"/>
        <item x="2983"/>
        <item x="2957"/>
        <item x="4000"/>
        <item x="2947"/>
        <item x="2923"/>
        <item x="2925"/>
        <item x="4331"/>
        <item x="943"/>
        <item x="4059"/>
        <item x="4062"/>
        <item x="4063"/>
        <item x="4065"/>
        <item x="1874"/>
        <item x="1859"/>
        <item x="1686"/>
        <item x="1564"/>
        <item x="625"/>
        <item x="554"/>
        <item x="1668"/>
        <item x="518"/>
        <item x="1673"/>
        <item x="1671"/>
        <item x="1691"/>
        <item x="1694"/>
        <item x="1558"/>
        <item x="1569"/>
        <item x="1674"/>
        <item x="1560"/>
        <item x="3316"/>
        <item x="124"/>
        <item x="4234"/>
        <item x="404"/>
        <item x="373"/>
        <item x="169"/>
        <item x="1331"/>
        <item x="1325"/>
        <item x="1328"/>
        <item x="1268"/>
        <item x="1270"/>
        <item x="1267"/>
        <item x="1263"/>
        <item x="1278"/>
        <item x="1269"/>
        <item x="1334"/>
        <item x="1335"/>
        <item x="1234"/>
        <item x="1209"/>
        <item x="1247"/>
        <item x="1237"/>
        <item x="1218"/>
        <item x="1248"/>
        <item x="1235"/>
        <item x="1228"/>
        <item x="1240"/>
        <item x="1238"/>
        <item x="1613"/>
        <item x="999"/>
        <item x="2049"/>
        <item x="2046"/>
        <item x="2040"/>
        <item x="2015"/>
        <item x="2045"/>
        <item x="2047"/>
        <item x="2048"/>
        <item x="1038"/>
        <item x="1037"/>
        <item x="1050"/>
        <item x="3189"/>
        <item x="3432"/>
        <item x="3164"/>
        <item x="3165"/>
        <item x="3376"/>
        <item x="3841"/>
        <item x="3847"/>
        <item x="3846"/>
        <item x="3851"/>
        <item x="3389"/>
        <item x="3315"/>
        <item x="3344"/>
        <item x="3074"/>
        <item x="3159"/>
        <item x="3101"/>
        <item x="3204"/>
        <item x="3187"/>
        <item x="3157"/>
        <item x="3024"/>
        <item x="3472"/>
        <item x="3109"/>
        <item x="3191"/>
        <item x="3158"/>
        <item x="3022"/>
        <item x="3207"/>
        <item x="3131"/>
        <item x="207"/>
        <item x="3859"/>
        <item x="3871"/>
        <item x="3858"/>
        <item x="3857"/>
        <item x="3868"/>
        <item x="3870"/>
        <item x="3869"/>
        <item x="3963"/>
        <item x="3968"/>
        <item x="2232"/>
        <item x="2217"/>
        <item x="2216"/>
        <item x="2187"/>
        <item x="2222"/>
        <item x="2207"/>
        <item x="2774"/>
        <item x="2780"/>
        <item x="2794"/>
        <item x="2800"/>
        <item x="2783"/>
        <item x="2778"/>
        <item x="2782"/>
        <item x="2779"/>
        <item x="2806"/>
        <item x="948"/>
        <item x="2822"/>
        <item x="1002"/>
        <item x="996"/>
        <item x="2960"/>
        <item x="480"/>
        <item x="114"/>
        <item x="151"/>
        <item x="473"/>
        <item x="2742"/>
        <item x="2743"/>
        <item x="170"/>
        <item x="171"/>
        <item x="3473"/>
        <item x="3471"/>
        <item x="3557"/>
        <item x="3553"/>
        <item x="3523"/>
        <item x="3568"/>
        <item x="3549"/>
        <item x="3430"/>
        <item x="3218"/>
        <item x="3214"/>
        <item x="3221"/>
        <item x="3220"/>
        <item x="3222"/>
        <item x="3469"/>
        <item x="3484"/>
        <item x="3480"/>
        <item x="3455"/>
        <item x="3468"/>
        <item x="3482"/>
        <item x="3485"/>
        <item x="3474"/>
        <item x="3483"/>
        <item x="3477"/>
        <item x="3476"/>
        <item x="3502"/>
        <item x="3497"/>
        <item x="3454"/>
        <item x="3448"/>
        <item x="3522"/>
        <item x="3512"/>
        <item x="3518"/>
        <item x="3602"/>
        <item x="3507"/>
        <item x="3517"/>
        <item x="3288"/>
        <item x="3282"/>
        <item x="3280"/>
        <item x="3285"/>
        <item x="3263"/>
        <item x="3236"/>
        <item x="3229"/>
        <item x="3235"/>
        <item x="3231"/>
        <item x="3239"/>
        <item x="3289"/>
        <item x="3291"/>
        <item x="3447"/>
        <item x="3488"/>
        <item x="3499"/>
        <item x="3501"/>
        <item x="3495"/>
        <item x="3493"/>
        <item x="3431"/>
        <item x="3491"/>
        <item x="3487"/>
        <item x="3498"/>
        <item x="1368"/>
        <item x="1370"/>
        <item x="1365"/>
        <item x="1396"/>
        <item x="1378"/>
        <item x="1360"/>
        <item x="1364"/>
        <item x="1369"/>
        <item x="1375"/>
        <item x="1371"/>
        <item x="1367"/>
        <item x="1097"/>
        <item x="1069"/>
        <item x="609"/>
        <item x="616"/>
        <item x="592"/>
        <item x="598"/>
        <item x="596"/>
        <item x="593"/>
        <item x="615"/>
        <item x="646"/>
        <item x="2200"/>
        <item x="2209"/>
        <item x="2228"/>
        <item x="2237"/>
        <item x="2239"/>
        <item x="1614"/>
        <item x="2428"/>
        <item x="2921"/>
        <item x="2934"/>
        <item x="2943"/>
        <item x="1543"/>
        <item x="2557"/>
        <item x="3940"/>
        <item x="4191"/>
        <item x="4193"/>
        <item x="4192"/>
        <item x="2567"/>
        <item x="2570"/>
        <item x="2569"/>
        <item x="2559"/>
        <item x="2563"/>
        <item x="2560"/>
        <item x="2562"/>
        <item x="2561"/>
        <item x="2568"/>
        <item x="2566"/>
        <item x="2565"/>
        <item x="2253"/>
        <item x="2252"/>
        <item x="2257"/>
        <item x="2254"/>
        <item x="2260"/>
        <item x="2256"/>
        <item x="2255"/>
        <item x="2263"/>
        <item x="2258"/>
        <item x="2893"/>
        <item x="257"/>
        <item x="2941"/>
        <item x="2919"/>
        <item x="1551"/>
        <item x="2659"/>
        <item x="2666"/>
        <item x="2660"/>
        <item x="946"/>
        <item x="3072"/>
        <item x="3069"/>
        <item x="3079"/>
        <item x="3081"/>
        <item x="3206"/>
        <item x="3063"/>
        <item x="3205"/>
        <item x="3075"/>
        <item x="901"/>
        <item x="178"/>
        <item x="145"/>
        <item x="173"/>
        <item x="2584"/>
        <item x="2585"/>
        <item x="2586"/>
        <item x="448"/>
        <item x="1016"/>
        <item x="1017"/>
        <item x="1013"/>
        <item x="1018"/>
        <item x="3935"/>
        <item x="3922"/>
        <item x="987"/>
        <item x="20"/>
        <item x="23"/>
        <item x="144"/>
        <item x="175"/>
        <item x="3920"/>
        <item x="3921"/>
        <item x="1482"/>
        <item x="1466"/>
        <item x="1486"/>
        <item x="1497"/>
        <item x="2066"/>
        <item x="4050"/>
        <item x="2212"/>
        <item x="2248"/>
        <item x="2249"/>
        <item x="172"/>
        <item x="1191"/>
        <item x="780"/>
        <item x="781"/>
        <item x="894"/>
        <item x="689"/>
        <item x="337"/>
        <item x="656"/>
        <item x="624"/>
        <item x="1908"/>
        <item x="1911"/>
        <item x="651"/>
        <item x="1881"/>
        <item x="1886"/>
        <item x="1892"/>
        <item x="1895"/>
        <item x="654"/>
        <item x="1723"/>
        <item x="621"/>
        <item x="1344"/>
        <item x="4233"/>
        <item x="2145"/>
        <item x="2070"/>
        <item x="2365"/>
        <item x="2512"/>
        <item x="2368"/>
        <item x="1756"/>
        <item x="1758"/>
        <item x="1757"/>
        <item x="1772"/>
        <item x="548"/>
        <item x="1754"/>
        <item x="1743"/>
        <item x="1718"/>
        <item x="530"/>
        <item x="1770"/>
        <item x="1776"/>
        <item x="1711"/>
        <item x="1445"/>
        <item x="1446"/>
        <item x="1444"/>
        <item x="1040"/>
        <item x="1047"/>
        <item x="1041"/>
        <item x="1046"/>
        <item x="2946"/>
        <item x="2810"/>
        <item x="2968"/>
        <item x="2922"/>
        <item x="2320"/>
        <item x="1601"/>
        <item x="1599"/>
        <item x="1600"/>
        <item x="374"/>
        <item x="393"/>
        <item x="733"/>
        <item x="1904"/>
        <item x="1259"/>
        <item x="1800"/>
        <item x="1807"/>
        <item x="1272"/>
        <item x="1281"/>
        <item x="1813"/>
        <item x="1815"/>
        <item x="1827"/>
        <item x="1274"/>
        <item x="1319"/>
        <item x="1279"/>
        <item x="1338"/>
        <item x="1327"/>
        <item x="1806"/>
        <item x="273"/>
        <item x="362"/>
        <item x="1540"/>
        <item x="1541"/>
        <item x="1971"/>
        <item x="4336"/>
        <item x="4349"/>
        <item x="4323"/>
        <item x="4341"/>
        <item x="4353"/>
        <item x="4354"/>
        <item x="4358"/>
        <item x="4357"/>
        <item x="4356"/>
        <item x="4352"/>
        <item x="4355"/>
        <item x="3311"/>
        <item x="2655"/>
        <item x="2649"/>
        <item x="2652"/>
        <item x="847"/>
        <item x="840"/>
        <item x="838"/>
        <item x="861"/>
        <item x="805"/>
        <item x="863"/>
        <item x="812"/>
        <item x="818"/>
        <item x="843"/>
        <item x="841"/>
        <item x="810"/>
        <item x="737"/>
        <item x="4261"/>
        <item x="4311"/>
        <item x="4312"/>
        <item x="1507"/>
        <item x="807"/>
        <item x="1484"/>
        <item x="1452"/>
        <item x="1527"/>
        <item x="817"/>
        <item x="1510"/>
        <item x="1456"/>
        <item x="3173"/>
        <item x="3174"/>
        <item x="3178"/>
        <item x="3179"/>
        <item x="3112"/>
        <item x="3194"/>
        <item x="2689"/>
        <item x="2632"/>
        <item x="2267"/>
        <item x="2280"/>
        <item x="2266"/>
        <item x="2125"/>
        <item x="2126"/>
        <item x="2836"/>
        <item x="2834"/>
        <item x="2197"/>
        <item x="2797"/>
        <item x="2795"/>
        <item x="2802"/>
        <item x="2796"/>
        <item x="543"/>
        <item x="3012"/>
        <item x="2996"/>
        <item x="3134"/>
        <item x="3025"/>
        <item x="2994"/>
        <item x="2998"/>
        <item x="3010"/>
        <item x="3036"/>
        <item x="3005"/>
        <item x="3105"/>
        <item x="3789"/>
        <item x="3794"/>
        <item x="3097"/>
        <item x="3103"/>
        <item x="3095"/>
        <item x="3059"/>
        <item x="3768"/>
        <item x="3064"/>
        <item x="3758"/>
        <item x="3744"/>
        <item x="3751"/>
        <item x="3170"/>
        <item x="3070"/>
        <item x="3106"/>
        <item x="3162"/>
        <item x="3161"/>
        <item x="3021"/>
        <item x="3130"/>
        <item x="3785"/>
        <item x="3784"/>
        <item x="3795"/>
        <item x="3027"/>
        <item x="3098"/>
        <item x="2995"/>
        <item x="3168"/>
        <item x="3102"/>
        <item x="3792"/>
        <item x="3788"/>
        <item x="4075"/>
        <item x="4076"/>
        <item x="4078"/>
        <item x="4070"/>
        <item x="4067"/>
        <item x="4060"/>
        <item x="4077"/>
        <item x="4079"/>
        <item x="4068"/>
        <item x="4069"/>
        <item x="4071"/>
        <item x="4073"/>
        <item x="4287"/>
        <item x="4281"/>
        <item x="1682"/>
        <item x="1681"/>
        <item x="1683"/>
        <item x="2444"/>
        <item x="2421"/>
        <item x="1620"/>
        <item x="8"/>
        <item x="47"/>
        <item x="1"/>
        <item x="134"/>
        <item x="136"/>
        <item x="21"/>
        <item x="138"/>
        <item x="99"/>
        <item x="58"/>
        <item x="153"/>
        <item x="59"/>
        <item x="120"/>
        <item x="187"/>
        <item x="686"/>
        <item x="699"/>
        <item x="65"/>
        <item x="69"/>
        <item x="62"/>
        <item x="1413"/>
        <item x="1430"/>
        <item x="1425"/>
        <item x="1137"/>
        <item x="641"/>
        <item x="1934"/>
        <item x="1136"/>
        <item x="3365"/>
        <item x="3369"/>
        <item x="942"/>
        <item x="2711"/>
        <item x="989"/>
        <item x="983"/>
        <item x="2706"/>
        <item x="2227"/>
        <item x="2183"/>
        <item x="2201"/>
        <item x="2224"/>
        <item x="2206"/>
        <item x="2205"/>
        <item x="2230"/>
        <item x="2213"/>
        <item x="3150"/>
        <item x="3154"/>
        <item x="3083"/>
        <item x="3043"/>
        <item x="3135"/>
        <item x="3144"/>
        <item x="3045"/>
        <item x="3141"/>
        <item x="3044"/>
        <item x="3153"/>
        <item x="2679"/>
        <item x="2807"/>
        <item x="2808"/>
        <item x="2805"/>
        <item x="2419"/>
        <item x="2447"/>
        <item x="3724"/>
        <item x="3719"/>
        <item x="3707"/>
        <item x="3708"/>
        <item x="3723"/>
        <item x="3716"/>
        <item x="3726"/>
        <item x="3728"/>
        <item x="1835"/>
        <item x="1820"/>
        <item x="1937"/>
        <item x="1644"/>
        <item x="355"/>
        <item x="377"/>
        <item x="714"/>
        <item x="63"/>
        <item x="4304"/>
        <item x="191"/>
        <item x="4306"/>
        <item x="98"/>
        <item x="130"/>
        <item x="48"/>
        <item x="368"/>
        <item x="467"/>
        <item x="466"/>
        <item x="4248"/>
        <item x="400"/>
        <item x="107"/>
        <item x="111"/>
        <item x="794"/>
        <item x="2310"/>
        <item x="2309"/>
        <item x="2312"/>
        <item x="2295"/>
        <item x="2293"/>
        <item x="2302"/>
        <item x="2297"/>
        <item x="2241"/>
        <item x="1060"/>
        <item x="4030"/>
        <item x="3108"/>
        <item x="3120"/>
        <item x="3121"/>
        <item x="3111"/>
        <item x="3100"/>
        <item x="3110"/>
        <item x="3883"/>
        <item x="3874"/>
        <item x="3863"/>
        <item x="3860"/>
        <item x="3873"/>
        <item x="3872"/>
        <item x="3855"/>
        <item x="3866"/>
        <item x="3862"/>
        <item x="3865"/>
        <item x="2830"/>
        <item x="4013"/>
        <item x="2891"/>
        <item x="4011"/>
        <item x="1266"/>
        <item x="1257"/>
        <item x="1256"/>
        <item x="1260"/>
        <item x="3354"/>
        <item x="3393"/>
        <item x="3368"/>
        <item x="3395"/>
        <item x="958"/>
        <item x="968"/>
        <item x="975"/>
        <item x="965"/>
        <item x="971"/>
        <item x="3317"/>
        <item x="3332"/>
        <item x="3321"/>
        <item x="3331"/>
        <item x="3307"/>
        <item x="2668"/>
        <item x="2399"/>
        <item x="3359"/>
        <item x="2962"/>
        <item x="3781"/>
        <item x="2955"/>
        <item x="3757"/>
        <item x="3745"/>
        <item x="3764"/>
        <item x="3782"/>
        <item x="1029"/>
        <item x="1805"/>
        <item x="4255"/>
        <item x="1088"/>
        <item x="1021"/>
        <item x="1810"/>
        <item x="1071"/>
        <item x="1068"/>
        <item x="1467"/>
        <item x="1073"/>
        <item x="1070"/>
        <item x="1023"/>
        <item x="1099"/>
        <item x="1063"/>
        <item x="1062"/>
        <item x="354"/>
        <item x="349"/>
        <item x="2709"/>
        <item x="3034"/>
        <item x="2982"/>
        <item x="3674"/>
        <item x="1034"/>
        <item x="2979"/>
        <item x="1638"/>
        <item x="312"/>
        <item x="315"/>
        <item x="2972"/>
        <item x="1917"/>
        <item x="3052"/>
        <item x="2169"/>
        <item x="4343"/>
        <item x="2978"/>
        <item x="2918"/>
        <item x="3118"/>
        <item x="3062"/>
        <item x="2986"/>
        <item x="2940"/>
        <item x="3119"/>
        <item x="866"/>
        <item x="885"/>
        <item x="877"/>
        <item x="2913"/>
        <item x="2915"/>
        <item x="4257"/>
        <item x="4251"/>
        <item x="2917"/>
        <item x="4254"/>
        <item x="1148"/>
        <item x="1149"/>
        <item x="906"/>
        <item x="3695"/>
        <item x="3679"/>
        <item x="3907"/>
        <item x="3906"/>
        <item x="2107"/>
        <item x="4006"/>
        <item x="2854"/>
        <item x="4249"/>
        <item x="2857"/>
        <item x="4004"/>
        <item x="2862"/>
        <item x="2855"/>
        <item x="3423"/>
        <item x="4299"/>
        <item x="3426"/>
        <item x="2848"/>
        <item x="2852"/>
        <item x="2875"/>
        <item x="2873"/>
        <item x="2856"/>
        <item x="2850"/>
        <item x="2851"/>
        <item x="2844"/>
        <item x="2870"/>
        <item x="2872"/>
        <item x="2874"/>
        <item x="2846"/>
        <item x="2284"/>
        <item x="1803"/>
        <item x="1641"/>
        <item x="1850"/>
        <item x="3116"/>
        <item x="1124"/>
        <item x="1126"/>
        <item x="1120"/>
        <item x="4288"/>
        <item x="2904"/>
        <item x="2903"/>
        <item x="4294"/>
        <item x="2907"/>
        <item x="2909"/>
        <item x="2908"/>
        <item x="4295"/>
        <item x="2157"/>
        <item x="2853"/>
        <item x="2686"/>
        <item x="2617"/>
        <item x="2412"/>
        <item x="2395"/>
        <item x="2610"/>
        <item x="4051"/>
        <item x="2840"/>
        <item x="2845"/>
        <item x="2398"/>
        <item x="2624"/>
        <item x="2611"/>
        <item x="1316"/>
        <item x="2578"/>
        <item x="2583"/>
        <item x="2581"/>
        <item x="2580"/>
        <item x="2582"/>
        <item x="2579"/>
        <item x="360"/>
        <item x="1774"/>
        <item x="1633"/>
        <item x="365"/>
        <item x="1775"/>
        <item x="1762"/>
        <item x="511"/>
        <item x="1709"/>
        <item x="1710"/>
        <item x="512"/>
        <item x="380"/>
        <item x="2673"/>
        <item x="1628"/>
        <item x="1627"/>
        <item x="2804"/>
        <item x="2144"/>
        <item x="4237"/>
        <item x="2143"/>
        <item x="4186"/>
        <item x="4182"/>
        <item x="2879"/>
        <item x="3796"/>
        <item x="3156"/>
        <item x="3199"/>
        <item x="3184"/>
        <item x="4003"/>
        <item x="3198"/>
        <item x="1998"/>
        <item x="3446"/>
        <item x="3397"/>
        <item x="3797"/>
        <item x="3486"/>
        <item x="3114"/>
        <item x="3115"/>
        <item x="3381"/>
        <item x="4001"/>
        <item x="3006"/>
        <item x="3076"/>
        <item x="3051"/>
        <item x="3213"/>
        <item x="3085"/>
        <item x="3082"/>
        <item x="3202"/>
        <item x="3087"/>
        <item x="3212"/>
        <item x="3053"/>
        <item x="3091"/>
        <item x="3201"/>
        <item x="3003"/>
        <item x="2894"/>
        <item x="2895"/>
        <item x="2896"/>
        <item x="2863"/>
        <item x="4167"/>
        <item x="2889"/>
        <item x="2897"/>
        <item x="4216"/>
        <item x="4168"/>
        <item x="4150"/>
        <item x="4149"/>
        <item x="2892"/>
        <item x="4144"/>
        <item x="4125"/>
        <item x="4178"/>
        <item x="4177"/>
        <item x="4173"/>
        <item x="339"/>
        <item x="822"/>
        <item x="2812"/>
        <item x="2815"/>
        <item x="1376"/>
        <item x="1372"/>
        <item x="1383"/>
        <item x="1898"/>
        <item x="1880"/>
        <item x="1882"/>
        <item x="1893"/>
        <item x="1605"/>
        <item x="476"/>
        <item x="212"/>
        <item x="135"/>
        <item x="670"/>
        <item x="234"/>
        <item x="247"/>
        <item x="184"/>
        <item x="0"/>
        <item x="204"/>
        <item x="235"/>
        <item x="671"/>
        <item x="95"/>
        <item x="201"/>
        <item x="232"/>
        <item x="31"/>
        <item x="209"/>
        <item x="167"/>
        <item x="493"/>
        <item x="236"/>
        <item x="217"/>
        <item x="193"/>
        <item x="261"/>
        <item x="245"/>
        <item x="243"/>
        <item x="211"/>
        <item x="202"/>
        <item x="225"/>
        <item x="259"/>
        <item x="148"/>
        <item x="199"/>
        <item x="258"/>
        <item x="254"/>
        <item x="213"/>
        <item x="517"/>
        <item x="239"/>
        <item x="255"/>
        <item x="669"/>
        <item x="482"/>
        <item x="198"/>
        <item x="220"/>
        <item x="188"/>
        <item x="222"/>
        <item x="210"/>
        <item x="264"/>
        <item x="246"/>
        <item x="240"/>
        <item x="147"/>
        <item x="195"/>
        <item x="230"/>
        <item x="29"/>
        <item x="33"/>
        <item x="26"/>
        <item x="256"/>
        <item x="206"/>
        <item x="203"/>
        <item x="227"/>
        <item x="219"/>
        <item x="119"/>
        <item x="122"/>
        <item x="115"/>
        <item x="125"/>
        <item x="253"/>
        <item x="224"/>
        <item x="218"/>
        <item x="249"/>
        <item x="5"/>
        <item x="242"/>
        <item x="228"/>
        <item x="68"/>
        <item x="152"/>
        <item x="260"/>
        <item x="56"/>
        <item x="54"/>
        <item x="226"/>
        <item x="194"/>
        <item x="215"/>
        <item x="41"/>
        <item x="205"/>
        <item x="506"/>
        <item x="214"/>
        <item x="532"/>
        <item x="87"/>
        <item x="288"/>
        <item x="22"/>
        <item x="251"/>
        <item x="223"/>
        <item x="229"/>
        <item x="196"/>
        <item x="231"/>
        <item x="262"/>
        <item x="233"/>
        <item x="73"/>
        <item x="60"/>
        <item x="221"/>
        <item x="192"/>
        <item x="250"/>
        <item x="244"/>
        <item x="263"/>
        <item x="668"/>
        <item x="241"/>
        <item x="252"/>
        <item x="216"/>
        <item x="667"/>
        <item x="522"/>
        <item x="2294"/>
        <item x="2303"/>
        <item x="2311"/>
        <item x="3835"/>
        <item x="197"/>
        <item x="1714"/>
        <item x="709"/>
        <item x="717"/>
        <item x="2618"/>
        <item x="2633"/>
        <item x="2612"/>
        <item x="2615"/>
        <item x="4052"/>
        <item x="4053"/>
        <item x="2417"/>
        <item x="2623"/>
        <item x="2621"/>
        <item x="2628"/>
        <item x="2636"/>
        <item x="2616"/>
        <item x="2614"/>
        <item x="2172"/>
        <item x="2167"/>
        <item x="2176"/>
        <item x="1203"/>
        <item x="1189"/>
        <item x="1198"/>
        <item x="1190"/>
        <item x="868"/>
        <item x="890"/>
        <item x="870"/>
        <item x="867"/>
        <item x="876"/>
        <item x="18"/>
        <item x="19"/>
        <item x="50"/>
        <item x="661"/>
        <item x="1426"/>
        <item x="1590"/>
        <item x="1588"/>
        <item x="1591"/>
        <item x="1589"/>
        <item x="1584"/>
        <item x="1158"/>
        <item x="1261"/>
        <item x="1324"/>
        <item x="1141"/>
        <item x="1178"/>
        <item x="1155"/>
        <item x="1314"/>
        <item x="1258"/>
        <item x="1255"/>
        <item x="1161"/>
        <item x="1318"/>
        <item x="1359"/>
        <item x="1197"/>
        <item x="4"/>
        <item x="7"/>
        <item x="3"/>
        <item x="544"/>
        <item x="568"/>
        <item x="516"/>
        <item x="556"/>
        <item x="179"/>
        <item x="4244"/>
        <item x="655"/>
        <item x="653"/>
        <item x="649"/>
        <item x="648"/>
        <item x="381"/>
        <item x="1995"/>
        <item x="749"/>
        <item x="956"/>
        <item x="858"/>
        <item x="973"/>
        <item x="978"/>
        <item x="980"/>
        <item x="2504"/>
        <item x="2505"/>
        <item x="2506"/>
        <item x="2507"/>
        <item x="2508"/>
        <item x="2509"/>
        <item x="2510"/>
        <item x="2511"/>
        <item x="959"/>
        <item x="953"/>
        <item x="951"/>
        <item x="960"/>
        <item x="961"/>
        <item x="949"/>
        <item x="945"/>
        <item x="658"/>
        <item x="1790"/>
        <item x="1791"/>
        <item x="2193"/>
        <item x="2555"/>
        <item x="2554"/>
        <item x="985"/>
        <item x="994"/>
        <item x="470"/>
        <item x="2165"/>
        <item x="2166"/>
        <item x="2159"/>
        <item x="2347"/>
        <item x="2161"/>
        <item x="4300"/>
        <item x="4307"/>
        <item x="4293"/>
        <item x="3917"/>
        <item x="3949"/>
        <item x="3948"/>
        <item x="2098"/>
        <item x="3419"/>
        <item x="3420"/>
        <item x="3421"/>
        <item x="2981"/>
        <item x="367"/>
        <item x="433"/>
        <item x="438"/>
        <item x="447"/>
        <item x="427"/>
        <item x="442"/>
        <item x="291"/>
        <item x="2054"/>
        <item x="2087"/>
        <item x="2076"/>
        <item x="2064"/>
        <item x="289"/>
        <item x="1918"/>
        <item x="1921"/>
        <item x="1923"/>
        <item x="1932"/>
        <item x="1931"/>
        <item x="1994"/>
        <item x="665"/>
        <item x="3843"/>
        <item x="995"/>
        <item x="3176"/>
        <item x="3177"/>
        <item x="2307"/>
        <item x="110"/>
        <item x="112"/>
        <item x="102"/>
        <item x="113"/>
        <item x="1841"/>
        <item x="1102"/>
        <item x="1310"/>
        <item x="1720"/>
        <item x="1848"/>
        <item x="1100"/>
        <item x="1719"/>
        <item x="1312"/>
        <item x="319"/>
        <item x="318"/>
        <item x="297"/>
        <item x="299"/>
        <item x="325"/>
        <item x="2490"/>
        <item x="1604"/>
        <item x="1603"/>
        <item x="4066"/>
        <item x="4064"/>
        <item x="1395"/>
        <item x="1387"/>
        <item x="1361"/>
        <item x="1393"/>
        <item x="4100"/>
        <item x="282"/>
        <item x="281"/>
        <item x="1640"/>
        <item x="1924"/>
        <item x="1432"/>
        <item x="1431"/>
        <item x="1427"/>
        <item x="77"/>
        <item x="1678"/>
        <item x="283"/>
        <item x="338"/>
        <item x="347"/>
        <item x="2545"/>
        <item x="2016"/>
        <item x="2134"/>
        <item x="2735"/>
        <item x="2734"/>
        <item x="2733"/>
        <item x="2732"/>
        <item x="2738"/>
        <item x="2739"/>
        <item x="2737"/>
        <item x="2736"/>
        <item x="2961"/>
        <item x="2948"/>
        <item x="3996"/>
        <item x="2966"/>
        <item x="2929"/>
        <item x="2905"/>
        <item x="2906"/>
        <item x="3895"/>
        <item x="502"/>
        <item x="491"/>
        <item x="379"/>
        <item x="479"/>
        <item x="390"/>
        <item x="501"/>
        <item x="13"/>
        <item x="131"/>
        <item x="126"/>
        <item x="129"/>
        <item x="483"/>
        <item x="46"/>
        <item x="142"/>
        <item x="486"/>
        <item x="484"/>
        <item x="489"/>
        <item x="499"/>
        <item x="4245"/>
        <item x="475"/>
        <item x="84"/>
        <item x="477"/>
        <item x="485"/>
        <item x="378"/>
        <item x="500"/>
        <item x="392"/>
        <item x="180"/>
        <item x="154"/>
        <item x="123"/>
        <item x="176"/>
        <item x="504"/>
        <item x="478"/>
        <item x="43"/>
        <item x="38"/>
        <item x="146"/>
        <item x="1965"/>
        <item x="498"/>
        <item x="465"/>
        <item x="462"/>
        <item x="481"/>
        <item x="503"/>
        <item x="505"/>
        <item x="497"/>
        <item x="395"/>
        <item x="1789"/>
        <item x="9"/>
        <item x="12"/>
        <item x="384"/>
        <item x="408"/>
        <item x="494"/>
        <item x="375"/>
        <item x="163"/>
        <item x="474"/>
        <item x="4269"/>
        <item x="189"/>
        <item x="495"/>
        <item x="492"/>
        <item x="496"/>
        <item x="71"/>
        <item x="61"/>
        <item x="92"/>
        <item x="143"/>
        <item x="168"/>
        <item x="165"/>
        <item x="182"/>
        <item x="177"/>
        <item x="490"/>
        <item x="3884"/>
        <item x="3998"/>
        <item x="4310"/>
        <item x="3999"/>
        <item x="2282"/>
        <item x="2564"/>
        <item x="2558"/>
        <item x="2820"/>
        <item x="940"/>
        <item x="941"/>
        <item x="2360"/>
        <item x="2392"/>
        <item x="2387"/>
        <item x="2350"/>
        <item x="2371"/>
        <item x="2384"/>
        <item x="2374"/>
        <item x="2325"/>
        <item x="2349"/>
        <item x="2359"/>
        <item x="2341"/>
        <item x="2334"/>
        <item x="2339"/>
        <item x="2335"/>
        <item x="2364"/>
        <item x="2361"/>
        <item x="2336"/>
        <item x="2173"/>
        <item x="2461"/>
        <item x="2389"/>
        <item x="2344"/>
        <item x="2319"/>
        <item x="2348"/>
        <item x="2367"/>
        <item x="2396"/>
        <item x="3727"/>
        <item x="3686"/>
        <item x="3688"/>
        <item x="3682"/>
        <item x="3680"/>
        <item x="3712"/>
        <item x="3725"/>
        <item x="3718"/>
        <item x="3692"/>
        <item x="2276"/>
        <item x="2577"/>
        <item x="2573"/>
        <item x="2571"/>
        <item x="2574"/>
        <item x="2576"/>
        <item x="2575"/>
        <item x="2572"/>
        <item x="2278"/>
        <item x="2279"/>
        <item x="2277"/>
        <item x="2274"/>
        <item x="2270"/>
        <item x="2269"/>
        <item x="2271"/>
        <item x="2275"/>
        <item x="2273"/>
        <item x="103"/>
        <item x="611"/>
        <item x="585"/>
        <item x="600"/>
        <item x="550"/>
        <item x="594"/>
        <item x="2268"/>
        <item x="2272"/>
        <item x="2811"/>
        <item x="1243"/>
        <item x="1739"/>
        <item x="1333"/>
        <item x="1740"/>
        <item x="1352"/>
        <item x="1346"/>
        <item x="1738"/>
        <item x="672"/>
        <item x="1899"/>
        <item x="1889"/>
        <item x="1883"/>
        <item x="1896"/>
        <item x="1888"/>
        <item x="1885"/>
        <item x="2630"/>
        <item x="3950"/>
        <item x="1843"/>
        <item x="2801"/>
        <item x="2826"/>
        <item x="2828"/>
        <item x="2813"/>
        <item x="2817"/>
        <item x="2821"/>
        <item x="2818"/>
        <item x="2814"/>
        <item x="2829"/>
        <item x="2831"/>
        <item x="2827"/>
        <item x="2823"/>
        <item x="2643"/>
        <item x="2766"/>
        <item x="2764"/>
        <item x="2747"/>
        <item x="2752"/>
        <item x="2756"/>
        <item x="2751"/>
        <item x="456"/>
        <item x="1154"/>
        <item x="1167"/>
        <item x="1159"/>
        <item x="1341"/>
        <item x="1322"/>
        <item x="1350"/>
        <item x="1343"/>
        <item x="2654"/>
        <item x="1816"/>
        <item x="1825"/>
        <item x="3959"/>
        <item x="3975"/>
        <item x="4102"/>
        <item x="4103"/>
        <item x="944"/>
        <item x="1684"/>
        <item x="1685"/>
        <item x="623"/>
        <item x="3705"/>
        <item x="574"/>
        <item x="639"/>
        <item x="539"/>
        <item x="603"/>
        <item x="587"/>
        <item x="637"/>
        <item x="635"/>
        <item x="638"/>
        <item x="640"/>
        <item x="636"/>
        <item x="1478"/>
        <item x="1470"/>
        <item x="724"/>
        <item x="693"/>
        <item x="684"/>
        <item x="731"/>
        <item x="730"/>
        <item x="675"/>
        <item x="2099"/>
        <item x="750"/>
        <item x="757"/>
        <item x="748"/>
        <item x="752"/>
        <item x="3732"/>
        <item x="2675"/>
        <item x="3305"/>
        <item x="3306"/>
        <item x="3186"/>
        <item x="3382"/>
        <item x="3334"/>
        <item x="2992"/>
        <item x="3333"/>
        <item x="3185"/>
        <item x="3048"/>
        <item x="1422"/>
        <item x="1424"/>
        <item x="2105"/>
        <item x="2117"/>
        <item x="2118"/>
        <item x="2152"/>
        <item x="2148"/>
        <item x="3791"/>
        <item x="2326"/>
        <item x="903"/>
        <item x="1586"/>
        <item x="1576"/>
        <item x="2728"/>
        <item x="2729"/>
        <item x="2724"/>
        <item x="2723"/>
        <item x="2722"/>
        <item x="2731"/>
        <item x="2730"/>
        <item x="2727"/>
        <item x="2726"/>
        <item x="2725"/>
        <item x="1665"/>
        <item x="1666"/>
        <item x="1664"/>
        <item x="2400"/>
        <item x="2418"/>
        <item x="2438"/>
        <item x="2459"/>
        <item x="2414"/>
        <item x="2625"/>
        <item x="2445"/>
        <item x="2442"/>
        <item x="2406"/>
        <item x="2691"/>
        <item x="2422"/>
        <item x="2420"/>
        <item x="2431"/>
        <item x="2450"/>
        <item x="2437"/>
        <item x="2682"/>
        <item x="2403"/>
        <item x="2671"/>
        <item x="2534"/>
        <item x="2055"/>
        <item x="2078"/>
        <item x="2088"/>
        <item x="3730"/>
        <item x="3736"/>
        <item x="3731"/>
        <item x="3738"/>
        <item x="3741"/>
        <item x="2424"/>
        <item x="2768"/>
        <item x="4196"/>
        <item x="4194"/>
        <item x="1912"/>
        <item x="1914"/>
        <item x="1933"/>
        <item x="1928"/>
        <item x="1925"/>
        <item x="1915"/>
        <item x="1922"/>
        <item x="1930"/>
        <item x="569"/>
        <item x="542"/>
        <item x="558"/>
        <item x="578"/>
        <item x="650"/>
        <item x="555"/>
        <item x="580"/>
        <item x="541"/>
        <item x="562"/>
        <item x="538"/>
        <item x="586"/>
        <item x="1398"/>
        <item x="1394"/>
        <item x="1374"/>
        <item x="1385"/>
        <item x="1736"/>
        <item x="1355"/>
        <item x="1332"/>
        <item x="1182"/>
        <item x="1858"/>
        <item x="1176"/>
        <item x="4163"/>
        <item x="4158"/>
        <item x="4159"/>
        <item x="4160"/>
        <item x="4161"/>
        <item x="4162"/>
        <item x="4154"/>
        <item x="4151"/>
        <item x="4152"/>
        <item x="4153"/>
        <item x="4157"/>
        <item x="4155"/>
        <item x="1313"/>
        <item x="4275"/>
        <item x="4277"/>
        <item x="4286"/>
        <item x="270"/>
        <item x="275"/>
        <item x="1091"/>
        <item x="1084"/>
        <item x="1075"/>
        <item x="1085"/>
        <item x="1024"/>
        <item x="1096"/>
        <item x="1067"/>
        <item x="1045"/>
        <item x="1028"/>
        <item x="1039"/>
        <item x="1701"/>
        <item x="1675"/>
        <item x="1699"/>
        <item x="1669"/>
        <item x="1700"/>
        <item x="2080"/>
        <item x="2106"/>
        <item x="276"/>
        <item x="267"/>
        <item x="3388"/>
        <item x="3338"/>
        <item x="3348"/>
        <item x="3339"/>
        <item x="3824"/>
        <item x="3826"/>
        <item x="3814"/>
        <item x="3811"/>
        <item x="3807"/>
        <item x="3810"/>
        <item x="1557"/>
        <item x="2772"/>
        <item x="2077"/>
        <item x="2051"/>
        <item x="2056"/>
        <item x="2084"/>
        <item x="2057"/>
        <item x="2062"/>
        <item x="2083"/>
        <item x="2613"/>
        <item x="286"/>
        <item x="271"/>
        <item x="322"/>
        <item x="2013"/>
        <item x="1991"/>
        <item x="1386"/>
        <item x="1388"/>
        <item x="2842"/>
        <item x="4252"/>
        <item x="2839"/>
        <item x="2835"/>
        <item x="4029"/>
        <item x="4031"/>
        <item x="4014"/>
        <item x="1173"/>
        <item x="1179"/>
        <item x="1174"/>
        <item x="1180"/>
        <item x="1583"/>
        <item x="1578"/>
        <item x="2305"/>
        <item x="2313"/>
        <item x="682"/>
        <item x="1741"/>
        <item x="1784"/>
        <item x="1752"/>
        <item x="1748"/>
        <item x="488"/>
        <item x="363"/>
        <item x="371"/>
        <item x="1210"/>
        <item x="1226"/>
        <item x="1231"/>
        <item x="1227"/>
        <item x="1233"/>
        <item x="1217"/>
        <item x="613"/>
        <item x="4270"/>
        <item x="663"/>
        <item x="660"/>
        <item x="662"/>
        <item x="14"/>
        <item x="39"/>
        <item x="57"/>
        <item x="6"/>
        <item x="387"/>
        <item x="118"/>
        <item x="36"/>
        <item x="24"/>
        <item x="133"/>
        <item x="97"/>
        <item x="16"/>
        <item x="105"/>
        <item x="461"/>
        <item x="52"/>
        <item x="535"/>
        <item x="82"/>
        <item x="1447"/>
        <item x="1448"/>
        <item x="666"/>
        <item x="678"/>
        <item x="683"/>
        <item x="691"/>
        <item x="681"/>
        <item x="695"/>
        <item x="708"/>
        <item x="720"/>
        <item x="753"/>
        <item x="799"/>
        <item x="800"/>
        <item x="797"/>
        <item x="796"/>
        <item x="801"/>
        <item x="2007"/>
        <item x="777"/>
        <item x="707"/>
        <item x="772"/>
        <item x="687"/>
        <item x="712"/>
        <item x="317"/>
        <item x="320"/>
        <item x="860"/>
        <item x="725"/>
        <item x="726"/>
        <item x="1131"/>
        <item x="1132"/>
        <item x="1135"/>
        <item x="1134"/>
        <item x="1133"/>
        <item x="902"/>
        <item x="904"/>
        <item x="1832"/>
        <item x="1831"/>
        <item x="1833"/>
        <item x="1834"/>
        <item x="2079"/>
        <item x="2067"/>
        <item x="2059"/>
        <item x="2052"/>
        <item x="3923"/>
        <item x="3932"/>
        <item x="4148"/>
        <item x="326"/>
        <item x="1524"/>
        <item x="1514"/>
        <item x="1516"/>
        <item x="1534"/>
        <item x="1533"/>
        <item x="1531"/>
        <item x="1299"/>
        <item x="1296"/>
        <item x="1291"/>
        <item x="1275"/>
        <item x="1286"/>
        <item x="1294"/>
        <item x="1300"/>
        <item x="1297"/>
        <item x="1298"/>
        <item x="1285"/>
        <item x="1245"/>
        <item x="1242"/>
        <item x="1292"/>
        <item x="1293"/>
        <item x="1353"/>
        <item x="1241"/>
        <item x="66"/>
        <item x="64"/>
        <item x="1672"/>
        <item x="1670"/>
        <item x="1114"/>
        <item x="1115"/>
        <item x="1116"/>
        <item x="1055"/>
        <item x="1053"/>
        <item x="1112"/>
        <item x="1054"/>
        <item x="1113"/>
        <item x="1110"/>
        <item x="1109"/>
        <item x="1107"/>
        <item x="1108"/>
        <item x="1106"/>
        <item x="1104"/>
        <item x="1117"/>
        <item x="1105"/>
        <item x="1111"/>
        <item x="2721"/>
        <item x="3347"/>
        <item x="3385"/>
        <item x="3342"/>
        <item x="3374"/>
        <item x="3356"/>
        <item x="2598"/>
        <item x="2588"/>
        <item x="2494"/>
        <item x="2495"/>
        <item x="2496"/>
        <item x="2497"/>
        <item x="2493"/>
        <item x="2492"/>
        <item x="2502"/>
        <item x="2503"/>
        <item x="2501"/>
        <item x="2500"/>
        <item x="2498"/>
        <item x="2499"/>
        <item x="964"/>
        <item x="967"/>
        <item x="954"/>
        <item x="966"/>
        <item x="4320"/>
        <item x="4318"/>
        <item x="4317"/>
        <item x="2639"/>
        <item x="2680"/>
        <item x="3946"/>
        <item x="3947"/>
        <item x="51"/>
        <item x="53"/>
        <item x="76"/>
        <item x="802"/>
        <item x="727"/>
        <item x="728"/>
        <item x="795"/>
        <item x="729"/>
        <item x="798"/>
        <item x="80"/>
        <item x="139"/>
        <item x="78"/>
        <item x="85"/>
        <item x="2097"/>
        <item x="1031"/>
        <item x="1026"/>
        <item x="1036"/>
        <item x="1035"/>
        <item x="1030"/>
        <item x="1057"/>
        <item x="1056"/>
        <item x="1058"/>
        <item x="1059"/>
        <item x="2298"/>
        <item x="2455"/>
        <item x="4136"/>
        <item x="4025"/>
        <item x="4027"/>
        <item x="4020"/>
        <item x="4019"/>
        <item x="4042"/>
        <item x="4056"/>
        <item x="4036"/>
        <item x="4038"/>
        <item x="4034"/>
        <item x="4024"/>
        <item x="1906"/>
        <item x="1872"/>
        <item x="1863"/>
        <item x="1870"/>
        <item x="1871"/>
        <item x="1867"/>
        <item x="1866"/>
        <item x="1869"/>
        <item x="526"/>
        <item x="521"/>
        <item x="2093"/>
        <item x="2068"/>
        <item x="3148"/>
        <item x="2997"/>
        <item x="3001"/>
        <item x="2993"/>
        <item x="3147"/>
        <item x="164"/>
        <item x="162"/>
        <item x="161"/>
        <item x="4117"/>
        <item x="4116"/>
        <item x="2645"/>
        <item x="2644"/>
        <item x="1630"/>
        <item x="1659"/>
        <item x="1631"/>
        <item x="1660"/>
        <item x="1655"/>
        <item x="1654"/>
        <item x="1645"/>
        <item x="1606"/>
        <item x="1653"/>
        <item x="1561"/>
        <item x="1573"/>
        <item x="1623"/>
        <item x="1622"/>
        <item x="1657"/>
        <item x="1792"/>
        <item x="1577"/>
        <item x="1656"/>
        <item x="1661"/>
        <item x="1559"/>
        <item x="1563"/>
        <item x="2426"/>
        <item x="2627"/>
        <item x="2690"/>
        <item x="2669"/>
        <item x="4274"/>
        <item x="4263"/>
        <item x="4271"/>
        <item x="4253"/>
        <item x="4273"/>
        <item x="4292"/>
        <item x="4285"/>
        <item x="3425"/>
        <item x="4195"/>
        <item x="3424"/>
        <item x="4197"/>
        <item x="3428"/>
        <item x="3427"/>
        <item x="2762"/>
        <item x="3004"/>
        <item x="2999"/>
        <item x="3885"/>
        <item x="3693"/>
        <item x="3909"/>
        <item x="3913"/>
        <item x="3914"/>
        <item x="3912"/>
        <item x="3908"/>
        <item x="2168"/>
        <item x="2158"/>
        <item x="2164"/>
        <item x="2160"/>
        <item x="2162"/>
        <item x="3737"/>
        <item x="455"/>
        <item x="723"/>
        <item x="713"/>
        <item x="722"/>
        <item x="718"/>
        <item x="685"/>
        <item x="676"/>
        <item x="721"/>
        <item x="715"/>
        <item x="719"/>
        <item x="793"/>
        <item x="174"/>
        <item x="181"/>
        <item x="1221"/>
        <item x="1236"/>
        <item x="1229"/>
        <item x="1222"/>
        <item x="1211"/>
        <item x="1224"/>
        <item x="629"/>
        <item x="405"/>
        <item x="1767"/>
        <item x="2553"/>
        <item x="2592"/>
        <item x="2593"/>
        <item x="2597"/>
        <item x="2591"/>
        <item x="2587"/>
        <item x="2590"/>
        <item x="2595"/>
        <item x="2596"/>
        <item x="2594"/>
        <item x="2589"/>
        <item x="364"/>
        <item x="372"/>
        <item x="2065"/>
        <item x="2061"/>
        <item x="2914"/>
        <item x="2916"/>
        <item x="3734"/>
        <item x="3743"/>
        <item x="3735"/>
        <item x="3739"/>
        <item x="3740"/>
        <item x="3729"/>
        <item x="3733"/>
        <item x="3088"/>
        <item x="3774"/>
        <item x="3769"/>
        <item x="3762"/>
        <item x="3759"/>
        <item x="3779"/>
        <item x="3763"/>
        <item x="4114"/>
        <item x="4098"/>
        <item x="4097"/>
        <item x="4112"/>
        <item x="4111"/>
        <item x="4108"/>
        <item x="4109"/>
        <item x="4110"/>
        <item x="2236"/>
        <item x="2238"/>
        <item x="2225"/>
        <item x="2233"/>
        <item x="2203"/>
        <item x="2221"/>
        <item x="1596"/>
        <item x="1598"/>
        <item x="1663"/>
        <item x="1571"/>
        <item x="1593"/>
        <item x="1652"/>
        <item x="1594"/>
        <item x="1230"/>
        <item x="1239"/>
        <item x="1570"/>
        <item x="1647"/>
        <item x="1592"/>
        <item x="1597"/>
        <item x="1595"/>
        <item x="2122"/>
        <item x="2121"/>
        <item x="2124"/>
        <item x="2123"/>
        <item x="2072"/>
        <item x="2069"/>
        <item x="2100"/>
        <item x="2101"/>
        <item x="2103"/>
        <item x="2102"/>
        <item x="878"/>
        <item x="879"/>
        <item x="2631"/>
        <item x="2404"/>
        <item x="2457"/>
        <item x="2688"/>
        <item x="2695"/>
        <item x="2409"/>
        <item x="4047"/>
        <item x="2641"/>
        <item x="2635"/>
        <item x="2637"/>
        <item x="2638"/>
        <item x="2881"/>
        <item x="2681"/>
        <item x="3155"/>
        <item x="3182"/>
        <item x="3378"/>
        <item x="3326"/>
        <item x="3325"/>
        <item x="3377"/>
        <item x="3180"/>
        <item x="1830"/>
        <item x="1829"/>
        <item x="1824"/>
        <item x="912"/>
        <item x="845"/>
        <item x="814"/>
        <item x="3089"/>
        <item x="3767"/>
        <item x="3776"/>
        <item x="3090"/>
        <item x="3786"/>
        <item x="2696"/>
        <item x="2719"/>
        <item x="2718"/>
        <item x="2699"/>
        <item x="2716"/>
        <item x="2702"/>
        <item x="2697"/>
        <item x="1477"/>
        <item x="1479"/>
        <item x="1485"/>
        <item x="1443"/>
        <item x="1440"/>
        <item x="1441"/>
        <item x="1495"/>
        <item x="1492"/>
        <item x="4165"/>
        <item x="1433"/>
        <item x="1434"/>
        <item x="3915"/>
        <item x="3919"/>
        <item x="3930"/>
        <item x="3903"/>
        <item x="3897"/>
        <item x="3931"/>
        <item x="3928"/>
        <item x="4142"/>
        <item x="4130"/>
        <item x="4012"/>
        <item x="2890"/>
        <item x="4123"/>
        <item x="4120"/>
        <item x="4170"/>
        <item x="4169"/>
        <item x="4134"/>
        <item x="4140"/>
        <item x="4128"/>
        <item x="4135"/>
        <item x="2888"/>
        <item x="4119"/>
        <item x="4231"/>
        <item x="4230"/>
        <item x="4225"/>
        <item x="4226"/>
        <item x="4227"/>
        <item x="4228"/>
        <item x="4229"/>
        <item x="4223"/>
        <item x="4224"/>
        <item x="4217"/>
        <item x="4219"/>
        <item x="4218"/>
        <item x="4220"/>
        <item x="4222"/>
        <item x="4221"/>
        <item x="4232"/>
        <item x="3429"/>
        <item x="2039"/>
        <item x="20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11">
    <i>
      <x v="443"/>
    </i>
    <i>
      <x v="278"/>
    </i>
    <i>
      <x v="375"/>
    </i>
    <i>
      <x v="3194"/>
    </i>
    <i>
      <x v="4276"/>
    </i>
    <i>
      <x v="3102"/>
    </i>
    <i>
      <x v="369"/>
    </i>
    <i>
      <x v="251"/>
    </i>
    <i>
      <x v="1513"/>
    </i>
    <i>
      <x v="277"/>
    </i>
    <i t="grand">
      <x/>
    </i>
  </rowItems>
  <colItems count="1">
    <i/>
  </colItems>
  <dataFields count="1">
    <dataField name="Sum of Total Discount" fld="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806FE-731D-4D44-B70B-17E0F46B0F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3:H14" firstHeaderRow="1" firstDataRow="1" firstDataCol="1"/>
  <pivotFields count="8">
    <pivotField showAll="0"/>
    <pivotField showAll="0"/>
    <pivotField axis="axisRow" showAll="0" measureFilter="1" sortType="descending">
      <items count="807">
        <item x="263"/>
        <item x="35"/>
        <item x="15"/>
        <item x="12"/>
        <item x="304"/>
        <item x="303"/>
        <item x="186"/>
        <item x="66"/>
        <item x="43"/>
        <item x="73"/>
        <item x="384"/>
        <item x="489"/>
        <item x="726"/>
        <item x="292"/>
        <item x="735"/>
        <item x="485"/>
        <item x="260"/>
        <item x="474"/>
        <item x="536"/>
        <item x="483"/>
        <item x="760"/>
        <item x="345"/>
        <item x="91"/>
        <item x="749"/>
        <item x="742"/>
        <item x="64"/>
        <item x="522"/>
        <item x="123"/>
        <item x="804"/>
        <item x="21"/>
        <item x="419"/>
        <item x="290"/>
        <item x="790"/>
        <item x="137"/>
        <item x="423"/>
        <item x="588"/>
        <item x="777"/>
        <item x="782"/>
        <item x="499"/>
        <item x="746"/>
        <item x="518"/>
        <item x="708"/>
        <item x="751"/>
        <item x="736"/>
        <item x="202"/>
        <item x="101"/>
        <item x="307"/>
        <item x="205"/>
        <item x="593"/>
        <item x="268"/>
        <item x="348"/>
        <item x="603"/>
        <item x="435"/>
        <item x="415"/>
        <item x="651"/>
        <item x="84"/>
        <item x="516"/>
        <item x="234"/>
        <item x="57"/>
        <item x="380"/>
        <item x="80"/>
        <item x="354"/>
        <item x="252"/>
        <item x="403"/>
        <item x="277"/>
        <item x="270"/>
        <item x="637"/>
        <item x="679"/>
        <item x="238"/>
        <item x="185"/>
        <item x="81"/>
        <item x="781"/>
        <item x="173"/>
        <item x="54"/>
        <item x="722"/>
        <item x="725"/>
        <item x="723"/>
        <item x="663"/>
        <item x="548"/>
        <item x="529"/>
        <item x="320"/>
        <item x="386"/>
        <item x="148"/>
        <item x="126"/>
        <item x="83"/>
        <item x="387"/>
        <item x="154"/>
        <item x="706"/>
        <item x="750"/>
        <item x="191"/>
        <item x="211"/>
        <item x="542"/>
        <item x="237"/>
        <item x="317"/>
        <item x="167"/>
        <item x="240"/>
        <item x="331"/>
        <item x="315"/>
        <item x="174"/>
        <item x="314"/>
        <item x="316"/>
        <item x="239"/>
        <item x="625"/>
        <item x="789"/>
        <item x="793"/>
        <item x="488"/>
        <item x="653"/>
        <item x="25"/>
        <item x="323"/>
        <item x="702"/>
        <item x="16"/>
        <item x="110"/>
        <item x="144"/>
        <item x="552"/>
        <item x="461"/>
        <item x="389"/>
        <item x="624"/>
        <item x="618"/>
        <item x="261"/>
        <item x="797"/>
        <item x="796"/>
        <item x="210"/>
        <item x="250"/>
        <item x="107"/>
        <item x="147"/>
        <item x="281"/>
        <item x="70"/>
        <item x="379"/>
        <item x="396"/>
        <item x="178"/>
        <item x="114"/>
        <item x="460"/>
        <item x="615"/>
        <item x="212"/>
        <item x="647"/>
        <item x="508"/>
        <item x="502"/>
        <item x="674"/>
        <item x="772"/>
        <item x="689"/>
        <item x="182"/>
        <item x="669"/>
        <item x="688"/>
        <item x="692"/>
        <item x="448"/>
        <item x="161"/>
        <item x="165"/>
        <item x="436"/>
        <item x="531"/>
        <item x="172"/>
        <item x="372"/>
        <item x="160"/>
        <item x="228"/>
        <item x="190"/>
        <item x="269"/>
        <item x="493"/>
        <item x="164"/>
        <item x="404"/>
        <item x="192"/>
        <item x="764"/>
        <item x="592"/>
        <item x="18"/>
        <item x="528"/>
        <item x="565"/>
        <item x="566"/>
        <item x="568"/>
        <item x="576"/>
        <item x="569"/>
        <item x="477"/>
        <item x="86"/>
        <item x="359"/>
        <item x="112"/>
        <item x="39"/>
        <item x="355"/>
        <item x="163"/>
        <item x="53"/>
        <item x="132"/>
        <item x="447"/>
        <item x="88"/>
        <item x="37"/>
        <item x="747"/>
        <item x="476"/>
        <item x="416"/>
        <item x="324"/>
        <item x="560"/>
        <item x="406"/>
        <item x="149"/>
        <item x="526"/>
        <item x="6"/>
        <item x="449"/>
        <item x="791"/>
        <item x="267"/>
        <item x="608"/>
        <item x="551"/>
        <item x="743"/>
        <item x="530"/>
        <item x="521"/>
        <item x="459"/>
        <item x="244"/>
        <item x="189"/>
        <item x="591"/>
        <item x="756"/>
        <item x="769"/>
        <item x="71"/>
        <item x="506"/>
        <item x="507"/>
        <item x="537"/>
        <item x="687"/>
        <item x="650"/>
        <item x="19"/>
        <item x="710"/>
        <item x="727"/>
        <item x="175"/>
        <item x="143"/>
        <item x="115"/>
        <item x="724"/>
        <item x="589"/>
        <item x="93"/>
        <item x="480"/>
        <item x="648"/>
        <item x="465"/>
        <item x="438"/>
        <item x="805"/>
        <item x="644"/>
        <item x="20"/>
        <item x="184"/>
        <item x="771"/>
        <item x="329"/>
        <item x="318"/>
        <item x="654"/>
        <item x="55"/>
        <item x="470"/>
        <item x="418"/>
        <item x="802"/>
        <item x="121"/>
        <item x="705"/>
        <item x="455"/>
        <item x="32"/>
        <item x="505"/>
        <item x="297"/>
        <item x="719"/>
        <item x="200"/>
        <item x="394"/>
        <item x="341"/>
        <item x="177"/>
        <item x="468"/>
        <item x="328"/>
        <item x="373"/>
        <item x="375"/>
        <item x="258"/>
        <item x="638"/>
        <item x="732"/>
        <item x="596"/>
        <item x="34"/>
        <item x="437"/>
        <item x="427"/>
        <item x="408"/>
        <item x="467"/>
        <item x="712"/>
        <item x="128"/>
        <item x="378"/>
        <item x="452"/>
        <item x="661"/>
        <item x="207"/>
        <item x="643"/>
        <item x="595"/>
        <item x="141"/>
        <item x="42"/>
        <item x="478"/>
        <item x="683"/>
        <item x="527"/>
        <item x="106"/>
        <item x="232"/>
        <item x="472"/>
        <item x="600"/>
        <item x="385"/>
        <item x="492"/>
        <item x="134"/>
        <item x="601"/>
        <item x="72"/>
        <item x="65"/>
        <item x="150"/>
        <item x="612"/>
        <item x="52"/>
        <item x="636"/>
        <item x="49"/>
        <item x="390"/>
        <item x="48"/>
        <item x="215"/>
        <item x="673"/>
        <item x="249"/>
        <item x="623"/>
        <item x="213"/>
        <item x="627"/>
        <item x="759"/>
        <item x="535"/>
        <item x="75"/>
        <item x="383"/>
        <item x="450"/>
        <item x="762"/>
        <item x="729"/>
        <item x="544"/>
        <item x="676"/>
        <item x="388"/>
        <item x="361"/>
        <item x="570"/>
        <item x="572"/>
        <item x="432"/>
        <item x="571"/>
        <item x="325"/>
        <item x="176"/>
        <item x="775"/>
        <item x="646"/>
        <item x="744"/>
        <item x="500"/>
        <item x="471"/>
        <item x="338"/>
        <item x="217"/>
        <item x="369"/>
        <item x="580"/>
        <item x="734"/>
        <item x="171"/>
        <item x="158"/>
        <item x="44"/>
        <item x="716"/>
        <item x="766"/>
        <item x="162"/>
        <item x="60"/>
        <item x="773"/>
        <item x="366"/>
        <item x="85"/>
        <item x="684"/>
        <item x="670"/>
        <item x="667"/>
        <item x="738"/>
        <item x="728"/>
        <item x="301"/>
        <item x="286"/>
        <item x="510"/>
        <item x="799"/>
        <item x="376"/>
        <item x="287"/>
        <item x="382"/>
        <item x="116"/>
        <item x="104"/>
        <item x="511"/>
        <item x="255"/>
        <item x="391"/>
        <item x="393"/>
        <item x="218"/>
        <item x="755"/>
        <item x="617"/>
        <item x="784"/>
        <item x="678"/>
        <item x="553"/>
        <item x="633"/>
        <item x="515"/>
        <item x="524"/>
        <item x="721"/>
        <item x="10"/>
        <item x="352"/>
        <item x="704"/>
        <item x="8"/>
        <item x="108"/>
        <item x="221"/>
        <item x="564"/>
        <item x="730"/>
        <item x="305"/>
        <item x="672"/>
        <item x="28"/>
        <item x="118"/>
        <item x="545"/>
        <item x="619"/>
        <item x="620"/>
        <item x="486"/>
        <item x="709"/>
        <item x="335"/>
        <item x="322"/>
        <item x="22"/>
        <item x="337"/>
        <item x="61"/>
        <item x="451"/>
        <item x="5"/>
        <item x="342"/>
        <item x="11"/>
        <item x="398"/>
        <item x="63"/>
        <item x="641"/>
        <item x="103"/>
        <item x="259"/>
        <item x="242"/>
        <item x="659"/>
        <item x="557"/>
        <item x="635"/>
        <item x="634"/>
        <item x="401"/>
        <item x="89"/>
        <item x="714"/>
        <item x="490"/>
        <item x="30"/>
        <item x="573"/>
        <item x="256"/>
        <item x="274"/>
        <item x="264"/>
        <item x="275"/>
        <item x="276"/>
        <item x="156"/>
        <item x="159"/>
        <item x="56"/>
        <item x="96"/>
        <item x="616"/>
        <item x="289"/>
        <item x="187"/>
        <item x="800"/>
        <item x="334"/>
        <item x="133"/>
        <item x="613"/>
        <item x="693"/>
        <item x="720"/>
        <item x="682"/>
        <item x="444"/>
        <item x="246"/>
        <item x="517"/>
        <item x="752"/>
        <item x="664"/>
        <item x="236"/>
        <item x="358"/>
        <item x="229"/>
        <item x="642"/>
        <item x="491"/>
        <item x="326"/>
        <item x="611"/>
        <item x="803"/>
        <item x="196"/>
        <item x="767"/>
        <item x="409"/>
        <item x="405"/>
        <item x="95"/>
        <item x="26"/>
        <item x="374"/>
        <item x="284"/>
        <item x="271"/>
        <item x="216"/>
        <item x="420"/>
        <item x="225"/>
        <item x="639"/>
        <item x="718"/>
        <item x="758"/>
        <item x="475"/>
        <item x="567"/>
        <item x="578"/>
        <item x="201"/>
        <item x="494"/>
        <item x="587"/>
        <item x="214"/>
        <item x="622"/>
        <item x="300"/>
        <item x="665"/>
        <item x="666"/>
        <item x="295"/>
        <item x="233"/>
        <item x="109"/>
        <item x="481"/>
        <item x="353"/>
        <item x="609"/>
        <item x="333"/>
        <item x="748"/>
        <item x="31"/>
        <item x="607"/>
        <item x="336"/>
        <item x="555"/>
        <item x="199"/>
        <item x="649"/>
        <item x="179"/>
        <item x="540"/>
        <item x="219"/>
        <item x="745"/>
        <item x="740"/>
        <item x="209"/>
        <item x="739"/>
        <item x="319"/>
        <item x="428"/>
        <item x="765"/>
        <item x="484"/>
        <item x="27"/>
        <item x="266"/>
        <item x="67"/>
        <item x="294"/>
        <item x="111"/>
        <item x="458"/>
        <item x="431"/>
        <item x="519"/>
        <item x="98"/>
        <item x="312"/>
        <item x="227"/>
        <item x="610"/>
        <item x="581"/>
        <item x="513"/>
        <item x="349"/>
        <item x="140"/>
        <item x="411"/>
        <item x="288"/>
        <item x="283"/>
        <item x="38"/>
        <item x="332"/>
        <item x="417"/>
        <item x="801"/>
        <item x="671"/>
        <item x="554"/>
        <item x="155"/>
        <item x="166"/>
        <item x="142"/>
        <item x="330"/>
        <item x="656"/>
        <item x="546"/>
        <item x="495"/>
        <item x="454"/>
        <item x="479"/>
        <item x="574"/>
        <item x="102"/>
        <item x="364"/>
        <item x="630"/>
        <item x="640"/>
        <item x="768"/>
        <item x="367"/>
        <item x="87"/>
        <item x="356"/>
        <item x="1"/>
        <item x="130"/>
        <item x="14"/>
        <item x="306"/>
        <item x="117"/>
        <item x="681"/>
        <item x="206"/>
        <item x="195"/>
        <item x="487"/>
        <item x="473"/>
        <item x="645"/>
        <item x="579"/>
        <item x="577"/>
        <item x="697"/>
        <item x="695"/>
        <item x="696"/>
        <item x="395"/>
        <item x="151"/>
        <item x="76"/>
        <item x="13"/>
        <item x="503"/>
        <item x="231"/>
        <item x="763"/>
        <item x="655"/>
        <item x="717"/>
        <item x="586"/>
        <item x="599"/>
        <item x="282"/>
        <item x="680"/>
        <item x="204"/>
        <item x="668"/>
        <item x="556"/>
        <item x="621"/>
        <item x="703"/>
        <item x="220"/>
        <item x="74"/>
        <item x="58"/>
        <item x="606"/>
        <item x="168"/>
        <item x="604"/>
        <item x="253"/>
        <item x="183"/>
        <item x="690"/>
        <item x="446"/>
        <item x="498"/>
        <item x="360"/>
        <item x="658"/>
        <item x="245"/>
        <item x="462"/>
        <item x="520"/>
        <item x="293"/>
        <item x="77"/>
        <item x="92"/>
        <item x="79"/>
        <item x="357"/>
        <item x="457"/>
        <item x="29"/>
        <item x="657"/>
        <item x="632"/>
        <item x="594"/>
        <item x="598"/>
        <item x="69"/>
        <item x="558"/>
        <item x="583"/>
        <item x="298"/>
        <item x="351"/>
        <item x="90"/>
        <item x="0"/>
        <item x="504"/>
        <item x="371"/>
        <item x="136"/>
        <item x="525"/>
        <item x="466"/>
        <item x="265"/>
        <item x="170"/>
        <item x="169"/>
        <item x="9"/>
        <item x="122"/>
        <item x="309"/>
        <item x="347"/>
        <item x="257"/>
        <item x="251"/>
        <item x="94"/>
        <item x="787"/>
        <item x="119"/>
        <item x="146"/>
        <item x="534"/>
        <item x="198"/>
        <item x="120"/>
        <item x="539"/>
        <item x="208"/>
        <item x="464"/>
        <item x="794"/>
        <item x="795"/>
        <item x="737"/>
        <item x="754"/>
        <item x="440"/>
        <item x="685"/>
        <item x="626"/>
        <item x="47"/>
        <item x="424"/>
        <item x="46"/>
        <item x="413"/>
        <item x="715"/>
        <item x="662"/>
        <item x="291"/>
        <item x="23"/>
        <item x="243"/>
        <item x="50"/>
        <item x="51"/>
        <item x="532"/>
        <item x="350"/>
        <item x="770"/>
        <item x="296"/>
        <item x="776"/>
        <item x="17"/>
        <item x="414"/>
        <item x="68"/>
        <item x="456"/>
        <item x="563"/>
        <item x="614"/>
        <item x="602"/>
        <item x="4"/>
        <item x="497"/>
        <item x="193"/>
        <item x="512"/>
        <item x="469"/>
        <item x="691"/>
        <item x="496"/>
        <item x="24"/>
        <item x="105"/>
        <item x="582"/>
        <item x="280"/>
        <item x="254"/>
        <item x="410"/>
        <item x="402"/>
        <item x="575"/>
        <item x="584"/>
        <item x="585"/>
        <item x="549"/>
        <item x="392"/>
        <item x="757"/>
        <item x="778"/>
        <item x="197"/>
        <item x="368"/>
        <item x="113"/>
        <item x="694"/>
        <item x="100"/>
        <item x="321"/>
        <item x="124"/>
        <item x="441"/>
        <item x="145"/>
        <item x="700"/>
        <item x="628"/>
        <item x="308"/>
        <item x="445"/>
        <item x="711"/>
        <item x="514"/>
        <item x="181"/>
        <item x="343"/>
        <item x="562"/>
        <item x="362"/>
        <item x="425"/>
        <item x="433"/>
        <item x="699"/>
        <item x="785"/>
        <item x="412"/>
        <item x="99"/>
        <item x="299"/>
        <item x="792"/>
        <item x="40"/>
        <item x="222"/>
        <item x="241"/>
        <item x="235"/>
        <item x="224"/>
        <item x="226"/>
        <item x="370"/>
        <item x="365"/>
        <item x="434"/>
        <item x="41"/>
        <item x="33"/>
        <item x="675"/>
        <item x="713"/>
        <item x="501"/>
        <item x="339"/>
        <item x="421"/>
        <item x="543"/>
        <item x="45"/>
        <item x="36"/>
        <item x="302"/>
        <item x="590"/>
        <item x="262"/>
        <item x="344"/>
        <item x="509"/>
        <item x="129"/>
        <item x="377"/>
        <item x="381"/>
        <item x="78"/>
        <item x="272"/>
        <item x="3"/>
        <item x="7"/>
        <item x="313"/>
        <item x="127"/>
        <item x="135"/>
        <item x="152"/>
        <item x="153"/>
        <item x="131"/>
        <item x="59"/>
        <item x="138"/>
        <item x="247"/>
        <item x="248"/>
        <item x="180"/>
        <item x="400"/>
        <item x="422"/>
        <item x="741"/>
        <item x="783"/>
        <item x="62"/>
        <item x="327"/>
        <item x="285"/>
        <item x="279"/>
        <item x="363"/>
        <item x="230"/>
        <item x="561"/>
        <item x="677"/>
        <item x="533"/>
        <item x="203"/>
        <item x="798"/>
        <item x="547"/>
        <item x="753"/>
        <item x="346"/>
        <item x="139"/>
        <item x="439"/>
        <item x="2"/>
        <item x="223"/>
        <item x="761"/>
        <item x="407"/>
        <item x="97"/>
        <item x="429"/>
        <item x="629"/>
        <item x="780"/>
        <item x="550"/>
        <item x="340"/>
        <item x="788"/>
        <item x="686"/>
        <item x="631"/>
        <item x="733"/>
        <item x="463"/>
        <item x="779"/>
        <item x="701"/>
        <item x="125"/>
        <item x="273"/>
        <item x="82"/>
        <item x="538"/>
        <item x="541"/>
        <item x="426"/>
        <item x="605"/>
        <item x="698"/>
        <item x="707"/>
        <item x="774"/>
        <item x="482"/>
        <item x="278"/>
        <item x="442"/>
        <item x="453"/>
        <item x="430"/>
        <item x="443"/>
        <item x="523"/>
        <item x="660"/>
        <item x="397"/>
        <item x="399"/>
        <item x="188"/>
        <item x="194"/>
        <item x="157"/>
        <item x="652"/>
        <item x="559"/>
        <item x="311"/>
        <item x="310"/>
        <item x="731"/>
        <item x="597"/>
        <item x="7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11">
    <i>
      <x v="759"/>
    </i>
    <i>
      <x v="805"/>
    </i>
    <i>
      <x v="571"/>
    </i>
    <i>
      <x v="598"/>
    </i>
    <i>
      <x v="223"/>
    </i>
    <i>
      <x v="48"/>
    </i>
    <i>
      <x v="160"/>
    </i>
    <i>
      <x v="761"/>
    </i>
    <i>
      <x v="394"/>
    </i>
    <i>
      <x v="594"/>
    </i>
    <i t="grand">
      <x/>
    </i>
  </rowItems>
  <colItems count="1">
    <i/>
  </colItems>
  <dataFields count="1">
    <dataField name="Sum of Discounted_Price" fld="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70A7F9-9F8B-47D1-8E2D-67F12491FB7B}" autoFormatId="16" applyNumberFormats="0" applyBorderFormats="0" applyFontFormats="0" applyPatternFormats="0" applyAlignmentFormats="0" applyWidthHeightFormats="0">
  <queryTableRefresh nextId="8">
    <queryTableFields count="7">
      <queryTableField id="1" name="sales_transaction_id" tableColumnId="1"/>
      <queryTableField id="2" name="Product_Name" tableColumnId="2"/>
      <queryTableField id="3" name="Brand" tableColumnId="3"/>
      <queryTableField id="4" name="Price" tableColumnId="4"/>
      <queryTableField id="5" name="Discounted_Price" tableColumnId="5"/>
      <queryTableField id="6" name="Quantity" tableColumnId="6"/>
      <queryTableField id="7" name="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EA8D9-1013-4F06-B391-E827CA361264}" name="sales_transactions_cleaned" displayName="sales_transactions_cleaned" ref="A2:G5191" tableType="queryTable" totalsRowShown="0">
  <autoFilter ref="A2:G5191" xr:uid="{1A9EA8D9-1013-4F06-B391-E827CA361264}"/>
  <tableColumns count="7">
    <tableColumn id="1" xr3:uid="{2775DEA3-0353-4A1E-AB93-C58B5B628A44}" uniqueName="1" name="sales_transaction_id" queryTableFieldId="1"/>
    <tableColumn id="2" xr3:uid="{3764E756-C156-433D-81EE-35AAB8798377}" uniqueName="2" name="Product_Name" queryTableFieldId="2" dataDxfId="3"/>
    <tableColumn id="3" xr3:uid="{F649F91D-54ED-4E56-B2A3-2E373314D4D1}" uniqueName="3" name="Brand" queryTableFieldId="3" dataDxfId="2"/>
    <tableColumn id="4" xr3:uid="{00AB97AF-A5AB-47C6-8E1A-E37E5A0E58AE}" uniqueName="4" name="Price" queryTableFieldId="4"/>
    <tableColumn id="5" xr3:uid="{BE5AFDB7-DC5E-4B79-998D-E37F40236A96}" uniqueName="5" name="Discounted_Price" queryTableFieldId="5"/>
    <tableColumn id="6" xr3:uid="{72C0FCE1-DCCC-45D2-931A-07DBF3C0C94F}" uniqueName="6" name="Quantity" queryTableFieldId="6" dataDxfId="1"/>
    <tableColumn id="7" xr3:uid="{08ACD314-3060-4E13-B846-D0A516DB2EBF}" uniqueName="7" name="Categor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7568-57AD-4F58-87A4-C39BFBC3E086}">
  <dimension ref="A1:G5191"/>
  <sheetViews>
    <sheetView workbookViewId="0">
      <selection activeCell="A2" sqref="A2"/>
    </sheetView>
  </sheetViews>
  <sheetFormatPr defaultRowHeight="14.4" x14ac:dyDescent="0.3"/>
  <cols>
    <col min="1" max="1" width="20.44140625" bestFit="1" customWidth="1"/>
    <col min="2" max="2" width="66.6640625" bestFit="1" customWidth="1"/>
    <col min="3" max="3" width="22.5546875" bestFit="1" customWidth="1"/>
    <col min="4" max="4" width="7.5546875" bestFit="1" customWidth="1"/>
    <col min="5" max="5" width="17.88671875" bestFit="1" customWidth="1"/>
    <col min="6" max="6" width="15.44140625" bestFit="1" customWidth="1"/>
    <col min="7" max="7" width="25.109375" bestFit="1" customWidth="1"/>
  </cols>
  <sheetData>
    <row r="1" spans="1:7" ht="33.6" customHeight="1" x14ac:dyDescent="0.3">
      <c r="A1" s="17" t="s">
        <v>5902</v>
      </c>
      <c r="B1" s="17"/>
      <c r="C1" s="17"/>
      <c r="D1" s="17"/>
      <c r="E1" s="17"/>
      <c r="F1" s="17"/>
      <c r="G1" s="17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 t="s">
        <v>7</v>
      </c>
      <c r="C3" t="s">
        <v>8</v>
      </c>
      <c r="D3">
        <v>451</v>
      </c>
      <c r="E3">
        <v>329</v>
      </c>
      <c r="F3" t="s">
        <v>9</v>
      </c>
      <c r="G3" t="s">
        <v>10</v>
      </c>
    </row>
    <row r="4" spans="1:7" x14ac:dyDescent="0.3">
      <c r="A4">
        <v>2</v>
      </c>
      <c r="B4" t="s">
        <v>7</v>
      </c>
      <c r="C4" t="s">
        <v>8</v>
      </c>
      <c r="D4">
        <v>109</v>
      </c>
      <c r="E4">
        <v>85</v>
      </c>
      <c r="F4" t="s">
        <v>11</v>
      </c>
      <c r="G4" t="s">
        <v>10</v>
      </c>
    </row>
    <row r="5" spans="1:7" x14ac:dyDescent="0.3">
      <c r="A5">
        <v>3</v>
      </c>
      <c r="B5" t="s">
        <v>7</v>
      </c>
      <c r="C5" t="s">
        <v>8</v>
      </c>
      <c r="D5">
        <v>202</v>
      </c>
      <c r="E5">
        <v>175</v>
      </c>
      <c r="F5" t="s">
        <v>12</v>
      </c>
      <c r="G5" t="s">
        <v>10</v>
      </c>
    </row>
    <row r="6" spans="1:7" x14ac:dyDescent="0.3">
      <c r="A6">
        <v>4</v>
      </c>
      <c r="B6" t="s">
        <v>13</v>
      </c>
      <c r="C6" t="s">
        <v>14</v>
      </c>
      <c r="D6">
        <v>599</v>
      </c>
      <c r="E6">
        <v>349</v>
      </c>
      <c r="F6" t="s">
        <v>9</v>
      </c>
      <c r="G6" t="s">
        <v>10</v>
      </c>
    </row>
    <row r="7" spans="1:7" x14ac:dyDescent="0.3">
      <c r="A7">
        <v>5</v>
      </c>
      <c r="B7" t="s">
        <v>13</v>
      </c>
      <c r="C7" t="s">
        <v>14</v>
      </c>
      <c r="D7">
        <v>1549</v>
      </c>
      <c r="E7">
        <v>659</v>
      </c>
      <c r="F7" t="s">
        <v>15</v>
      </c>
      <c r="G7" t="s">
        <v>10</v>
      </c>
    </row>
    <row r="8" spans="1:7" x14ac:dyDescent="0.3">
      <c r="A8">
        <v>6</v>
      </c>
      <c r="B8" t="s">
        <v>16</v>
      </c>
      <c r="C8" t="s">
        <v>17</v>
      </c>
      <c r="D8">
        <v>49</v>
      </c>
      <c r="E8">
        <v>42</v>
      </c>
      <c r="F8" t="s">
        <v>9</v>
      </c>
      <c r="G8" t="s">
        <v>18</v>
      </c>
    </row>
    <row r="9" spans="1:7" x14ac:dyDescent="0.3">
      <c r="A9">
        <v>7</v>
      </c>
      <c r="B9" t="s">
        <v>16</v>
      </c>
      <c r="C9" t="s">
        <v>17</v>
      </c>
      <c r="D9">
        <v>96</v>
      </c>
      <c r="E9">
        <v>80</v>
      </c>
      <c r="F9" t="s">
        <v>15</v>
      </c>
      <c r="G9" t="s">
        <v>18</v>
      </c>
    </row>
    <row r="10" spans="1:7" x14ac:dyDescent="0.3">
      <c r="A10">
        <v>8</v>
      </c>
      <c r="B10" t="s">
        <v>19</v>
      </c>
      <c r="C10" t="s">
        <v>17</v>
      </c>
      <c r="D10">
        <v>112</v>
      </c>
      <c r="E10">
        <v>102</v>
      </c>
      <c r="F10" t="s">
        <v>9</v>
      </c>
      <c r="G10" t="s">
        <v>20</v>
      </c>
    </row>
    <row r="11" spans="1:7" x14ac:dyDescent="0.3">
      <c r="A11">
        <v>9</v>
      </c>
      <c r="B11" t="s">
        <v>21</v>
      </c>
      <c r="C11" t="s">
        <v>17</v>
      </c>
      <c r="D11">
        <v>101</v>
      </c>
      <c r="E11">
        <v>81</v>
      </c>
      <c r="F11" t="s">
        <v>9</v>
      </c>
      <c r="G11" t="s">
        <v>20</v>
      </c>
    </row>
    <row r="12" spans="1:7" x14ac:dyDescent="0.3">
      <c r="A12">
        <v>10</v>
      </c>
      <c r="B12" t="s">
        <v>22</v>
      </c>
      <c r="C12" t="s">
        <v>8</v>
      </c>
      <c r="D12">
        <v>634</v>
      </c>
      <c r="E12">
        <v>488</v>
      </c>
      <c r="F12" t="s">
        <v>12</v>
      </c>
      <c r="G12" t="s">
        <v>10</v>
      </c>
    </row>
    <row r="13" spans="1:7" x14ac:dyDescent="0.3">
      <c r="A13">
        <v>11</v>
      </c>
      <c r="B13" t="s">
        <v>23</v>
      </c>
      <c r="C13" t="s">
        <v>24</v>
      </c>
      <c r="D13">
        <v>64</v>
      </c>
      <c r="E13">
        <v>49</v>
      </c>
      <c r="F13" t="s">
        <v>9</v>
      </c>
      <c r="G13" t="s">
        <v>18</v>
      </c>
    </row>
    <row r="14" spans="1:7" x14ac:dyDescent="0.3">
      <c r="A14">
        <v>12</v>
      </c>
      <c r="B14" t="s">
        <v>23</v>
      </c>
      <c r="C14" t="s">
        <v>24</v>
      </c>
      <c r="D14">
        <v>125</v>
      </c>
      <c r="E14">
        <v>112</v>
      </c>
      <c r="F14" t="s">
        <v>15</v>
      </c>
      <c r="G14" t="s">
        <v>18</v>
      </c>
    </row>
    <row r="15" spans="1:7" x14ac:dyDescent="0.3">
      <c r="A15">
        <v>13</v>
      </c>
      <c r="B15" t="s">
        <v>25</v>
      </c>
      <c r="C15" t="s">
        <v>17</v>
      </c>
      <c r="D15">
        <v>61</v>
      </c>
      <c r="E15">
        <v>56</v>
      </c>
      <c r="F15" t="s">
        <v>9</v>
      </c>
      <c r="G15" t="s">
        <v>20</v>
      </c>
    </row>
    <row r="16" spans="1:7" x14ac:dyDescent="0.3">
      <c r="A16">
        <v>14</v>
      </c>
      <c r="B16" t="s">
        <v>26</v>
      </c>
      <c r="C16" t="s">
        <v>14</v>
      </c>
      <c r="D16">
        <v>299</v>
      </c>
      <c r="E16">
        <v>175</v>
      </c>
      <c r="F16" t="s">
        <v>12</v>
      </c>
      <c r="G16" t="s">
        <v>10</v>
      </c>
    </row>
    <row r="17" spans="1:7" x14ac:dyDescent="0.3">
      <c r="A17">
        <v>15</v>
      </c>
      <c r="B17" t="s">
        <v>27</v>
      </c>
      <c r="C17" t="s">
        <v>28</v>
      </c>
      <c r="D17">
        <v>149</v>
      </c>
      <c r="E17">
        <v>138</v>
      </c>
      <c r="F17" t="s">
        <v>9</v>
      </c>
      <c r="G17" t="s">
        <v>20</v>
      </c>
    </row>
    <row r="18" spans="1:7" x14ac:dyDescent="0.3">
      <c r="A18">
        <v>16</v>
      </c>
      <c r="B18" t="s">
        <v>29</v>
      </c>
      <c r="C18" t="s">
        <v>30</v>
      </c>
      <c r="D18">
        <v>750</v>
      </c>
      <c r="E18">
        <v>575</v>
      </c>
      <c r="F18" t="s">
        <v>12</v>
      </c>
      <c r="G18" t="s">
        <v>10</v>
      </c>
    </row>
    <row r="19" spans="1:7" x14ac:dyDescent="0.3">
      <c r="A19">
        <v>17</v>
      </c>
      <c r="B19" t="s">
        <v>31</v>
      </c>
      <c r="C19" t="s">
        <v>32</v>
      </c>
      <c r="D19">
        <v>117</v>
      </c>
      <c r="E19">
        <v>94</v>
      </c>
      <c r="F19" t="s">
        <v>15</v>
      </c>
      <c r="G19" t="s">
        <v>18</v>
      </c>
    </row>
    <row r="20" spans="1:7" x14ac:dyDescent="0.3">
      <c r="A20">
        <v>18</v>
      </c>
      <c r="B20" t="s">
        <v>33</v>
      </c>
      <c r="C20" t="s">
        <v>28</v>
      </c>
      <c r="D20">
        <v>129</v>
      </c>
      <c r="E20">
        <v>119</v>
      </c>
      <c r="F20" t="s">
        <v>9</v>
      </c>
      <c r="G20" t="s">
        <v>20</v>
      </c>
    </row>
    <row r="21" spans="1:7" x14ac:dyDescent="0.3">
      <c r="A21">
        <v>19</v>
      </c>
      <c r="B21" t="s">
        <v>34</v>
      </c>
      <c r="C21" t="s">
        <v>28</v>
      </c>
      <c r="D21">
        <v>77</v>
      </c>
      <c r="E21">
        <v>71</v>
      </c>
      <c r="F21" t="s">
        <v>9</v>
      </c>
      <c r="G21" t="s">
        <v>18</v>
      </c>
    </row>
    <row r="22" spans="1:7" x14ac:dyDescent="0.3">
      <c r="A22">
        <v>20</v>
      </c>
      <c r="B22" t="s">
        <v>35</v>
      </c>
      <c r="C22" t="s">
        <v>36</v>
      </c>
      <c r="D22">
        <v>190</v>
      </c>
      <c r="E22">
        <v>171</v>
      </c>
      <c r="F22" t="s">
        <v>15</v>
      </c>
      <c r="G22" t="s">
        <v>18</v>
      </c>
    </row>
    <row r="23" spans="1:7" x14ac:dyDescent="0.3">
      <c r="A23">
        <v>21</v>
      </c>
      <c r="B23" t="s">
        <v>37</v>
      </c>
      <c r="C23" t="s">
        <v>38</v>
      </c>
      <c r="D23">
        <v>258</v>
      </c>
      <c r="E23">
        <v>216</v>
      </c>
      <c r="F23" t="s">
        <v>12</v>
      </c>
      <c r="G23" t="s">
        <v>10</v>
      </c>
    </row>
    <row r="24" spans="1:7" x14ac:dyDescent="0.3">
      <c r="A24">
        <v>22</v>
      </c>
      <c r="B24" t="s">
        <v>39</v>
      </c>
      <c r="C24" t="s">
        <v>36</v>
      </c>
      <c r="D24">
        <v>142</v>
      </c>
      <c r="E24">
        <v>127</v>
      </c>
      <c r="F24" t="s">
        <v>9</v>
      </c>
      <c r="G24" t="s">
        <v>20</v>
      </c>
    </row>
    <row r="25" spans="1:7" x14ac:dyDescent="0.3">
      <c r="A25">
        <v>23</v>
      </c>
      <c r="B25" t="s">
        <v>40</v>
      </c>
      <c r="C25" t="s">
        <v>8</v>
      </c>
      <c r="D25">
        <v>200</v>
      </c>
      <c r="E25">
        <v>119</v>
      </c>
      <c r="F25" t="s">
        <v>11</v>
      </c>
      <c r="G25" t="s">
        <v>10</v>
      </c>
    </row>
    <row r="26" spans="1:7" x14ac:dyDescent="0.3">
      <c r="A26">
        <v>24</v>
      </c>
      <c r="B26" t="s">
        <v>41</v>
      </c>
      <c r="C26" t="s">
        <v>42</v>
      </c>
      <c r="D26">
        <v>749</v>
      </c>
      <c r="E26">
        <v>374</v>
      </c>
      <c r="F26" t="s">
        <v>9</v>
      </c>
      <c r="G26" t="s">
        <v>10</v>
      </c>
    </row>
    <row r="27" spans="1:7" x14ac:dyDescent="0.3">
      <c r="A27">
        <v>25</v>
      </c>
      <c r="B27" t="s">
        <v>43</v>
      </c>
      <c r="C27" t="s">
        <v>42</v>
      </c>
      <c r="D27">
        <v>1349</v>
      </c>
      <c r="E27">
        <v>600</v>
      </c>
      <c r="F27" t="s">
        <v>15</v>
      </c>
      <c r="G27" t="s">
        <v>10</v>
      </c>
    </row>
    <row r="28" spans="1:7" x14ac:dyDescent="0.3">
      <c r="A28">
        <v>26</v>
      </c>
      <c r="B28" t="s">
        <v>44</v>
      </c>
      <c r="C28" t="s">
        <v>17</v>
      </c>
      <c r="D28">
        <v>71</v>
      </c>
      <c r="E28">
        <v>60</v>
      </c>
      <c r="F28" t="s">
        <v>9</v>
      </c>
      <c r="G28" t="s">
        <v>18</v>
      </c>
    </row>
    <row r="29" spans="1:7" x14ac:dyDescent="0.3">
      <c r="A29">
        <v>27</v>
      </c>
      <c r="B29" t="s">
        <v>44</v>
      </c>
      <c r="C29" t="s">
        <v>17</v>
      </c>
      <c r="D29">
        <v>139</v>
      </c>
      <c r="E29">
        <v>124</v>
      </c>
      <c r="F29" t="s">
        <v>15</v>
      </c>
      <c r="G29" t="s">
        <v>18</v>
      </c>
    </row>
    <row r="30" spans="1:7" x14ac:dyDescent="0.3">
      <c r="A30">
        <v>28</v>
      </c>
      <c r="B30" t="s">
        <v>45</v>
      </c>
      <c r="C30" t="s">
        <v>14</v>
      </c>
      <c r="D30">
        <v>699</v>
      </c>
      <c r="E30">
        <v>399</v>
      </c>
      <c r="F30" t="s">
        <v>9</v>
      </c>
      <c r="G30" t="s">
        <v>10</v>
      </c>
    </row>
    <row r="31" spans="1:7" x14ac:dyDescent="0.3">
      <c r="A31">
        <v>29</v>
      </c>
      <c r="B31" t="s">
        <v>45</v>
      </c>
      <c r="C31" t="s">
        <v>14</v>
      </c>
      <c r="D31">
        <v>299</v>
      </c>
      <c r="E31">
        <v>199</v>
      </c>
      <c r="F31" t="s">
        <v>12</v>
      </c>
      <c r="G31" t="s">
        <v>10</v>
      </c>
    </row>
    <row r="32" spans="1:7" x14ac:dyDescent="0.3">
      <c r="A32">
        <v>30</v>
      </c>
      <c r="B32" t="s">
        <v>46</v>
      </c>
      <c r="C32" t="s">
        <v>8</v>
      </c>
      <c r="D32">
        <v>121</v>
      </c>
      <c r="E32">
        <v>99</v>
      </c>
      <c r="F32" t="s">
        <v>11</v>
      </c>
      <c r="G32" t="s">
        <v>10</v>
      </c>
    </row>
    <row r="33" spans="1:7" x14ac:dyDescent="0.3">
      <c r="A33">
        <v>31</v>
      </c>
      <c r="B33" t="s">
        <v>46</v>
      </c>
      <c r="C33" t="s">
        <v>8</v>
      </c>
      <c r="D33">
        <v>257</v>
      </c>
      <c r="E33">
        <v>198</v>
      </c>
      <c r="F33" t="s">
        <v>12</v>
      </c>
      <c r="G33" t="s">
        <v>10</v>
      </c>
    </row>
    <row r="34" spans="1:7" x14ac:dyDescent="0.3">
      <c r="A34">
        <v>32</v>
      </c>
      <c r="B34" t="s">
        <v>46</v>
      </c>
      <c r="C34" t="s">
        <v>8</v>
      </c>
      <c r="D34">
        <v>595</v>
      </c>
      <c r="E34">
        <v>460</v>
      </c>
      <c r="F34" t="s">
        <v>9</v>
      </c>
      <c r="G34" t="s">
        <v>10</v>
      </c>
    </row>
    <row r="35" spans="1:7" x14ac:dyDescent="0.3">
      <c r="A35">
        <v>33</v>
      </c>
      <c r="B35" t="s">
        <v>47</v>
      </c>
      <c r="C35" t="s">
        <v>17</v>
      </c>
      <c r="D35">
        <v>70</v>
      </c>
      <c r="E35">
        <v>58</v>
      </c>
      <c r="F35" t="s">
        <v>9</v>
      </c>
      <c r="G35" t="s">
        <v>18</v>
      </c>
    </row>
    <row r="36" spans="1:7" x14ac:dyDescent="0.3">
      <c r="A36">
        <v>34</v>
      </c>
      <c r="B36" t="s">
        <v>47</v>
      </c>
      <c r="C36" t="s">
        <v>17</v>
      </c>
      <c r="D36">
        <v>140</v>
      </c>
      <c r="E36">
        <v>112</v>
      </c>
      <c r="F36" t="s">
        <v>15</v>
      </c>
      <c r="G36" t="s">
        <v>18</v>
      </c>
    </row>
    <row r="37" spans="1:7" x14ac:dyDescent="0.3">
      <c r="A37">
        <v>35</v>
      </c>
      <c r="B37" t="s">
        <v>48</v>
      </c>
      <c r="C37" t="s">
        <v>24</v>
      </c>
      <c r="D37">
        <v>175</v>
      </c>
      <c r="E37">
        <v>148</v>
      </c>
      <c r="F37" t="s">
        <v>15</v>
      </c>
      <c r="G37" t="s">
        <v>18</v>
      </c>
    </row>
    <row r="38" spans="1:7" x14ac:dyDescent="0.3">
      <c r="A38">
        <v>36</v>
      </c>
      <c r="B38" t="s">
        <v>48</v>
      </c>
      <c r="C38" t="s">
        <v>24</v>
      </c>
      <c r="D38">
        <v>88</v>
      </c>
      <c r="E38">
        <v>79</v>
      </c>
      <c r="F38" t="s">
        <v>9</v>
      </c>
      <c r="G38" t="s">
        <v>18</v>
      </c>
    </row>
    <row r="39" spans="1:7" x14ac:dyDescent="0.3">
      <c r="A39">
        <v>37</v>
      </c>
      <c r="B39" t="s">
        <v>49</v>
      </c>
      <c r="C39" t="s">
        <v>50</v>
      </c>
      <c r="D39">
        <v>650</v>
      </c>
      <c r="E39">
        <v>459</v>
      </c>
      <c r="F39" t="s">
        <v>9</v>
      </c>
      <c r="G39" t="s">
        <v>10</v>
      </c>
    </row>
    <row r="40" spans="1:7" x14ac:dyDescent="0.3">
      <c r="A40">
        <v>38</v>
      </c>
      <c r="B40" t="s">
        <v>51</v>
      </c>
      <c r="C40" t="s">
        <v>8</v>
      </c>
      <c r="D40">
        <v>129</v>
      </c>
      <c r="E40">
        <v>99</v>
      </c>
      <c r="F40" t="s">
        <v>11</v>
      </c>
      <c r="G40" t="s">
        <v>10</v>
      </c>
    </row>
    <row r="41" spans="1:7" x14ac:dyDescent="0.3">
      <c r="A41">
        <v>39</v>
      </c>
      <c r="B41" t="s">
        <v>51</v>
      </c>
      <c r="C41" t="s">
        <v>8</v>
      </c>
      <c r="D41">
        <v>251</v>
      </c>
      <c r="E41">
        <v>195</v>
      </c>
      <c r="F41" t="s">
        <v>12</v>
      </c>
      <c r="G41" t="s">
        <v>10</v>
      </c>
    </row>
    <row r="42" spans="1:7" x14ac:dyDescent="0.3">
      <c r="A42">
        <v>40</v>
      </c>
      <c r="B42" t="s">
        <v>51</v>
      </c>
      <c r="C42" t="s">
        <v>8</v>
      </c>
      <c r="D42">
        <v>594</v>
      </c>
      <c r="E42">
        <v>468</v>
      </c>
      <c r="F42" t="s">
        <v>9</v>
      </c>
      <c r="G42" t="s">
        <v>10</v>
      </c>
    </row>
    <row r="43" spans="1:7" x14ac:dyDescent="0.3">
      <c r="A43">
        <v>41</v>
      </c>
      <c r="B43" t="s">
        <v>52</v>
      </c>
      <c r="C43" t="s">
        <v>17</v>
      </c>
      <c r="D43">
        <v>64</v>
      </c>
      <c r="E43">
        <v>52</v>
      </c>
      <c r="F43" t="s">
        <v>9</v>
      </c>
      <c r="G43" t="s">
        <v>20</v>
      </c>
    </row>
    <row r="44" spans="1:7" x14ac:dyDescent="0.3">
      <c r="A44">
        <v>42</v>
      </c>
      <c r="B44" t="s">
        <v>53</v>
      </c>
      <c r="C44" t="s">
        <v>17</v>
      </c>
      <c r="D44">
        <v>82</v>
      </c>
      <c r="E44">
        <v>75</v>
      </c>
      <c r="F44" t="s">
        <v>9</v>
      </c>
      <c r="G44" t="s">
        <v>20</v>
      </c>
    </row>
    <row r="45" spans="1:7" x14ac:dyDescent="0.3">
      <c r="A45">
        <v>43</v>
      </c>
      <c r="B45" t="s">
        <v>54</v>
      </c>
      <c r="C45" t="s">
        <v>8</v>
      </c>
      <c r="D45">
        <v>552</v>
      </c>
      <c r="E45">
        <v>409</v>
      </c>
      <c r="F45" t="s">
        <v>9</v>
      </c>
      <c r="G45" t="s">
        <v>10</v>
      </c>
    </row>
    <row r="46" spans="1:7" x14ac:dyDescent="0.3">
      <c r="A46">
        <v>44</v>
      </c>
      <c r="B46" t="s">
        <v>55</v>
      </c>
      <c r="C46" t="s">
        <v>17</v>
      </c>
      <c r="D46">
        <v>62</v>
      </c>
      <c r="E46">
        <v>52</v>
      </c>
      <c r="F46" t="s">
        <v>9</v>
      </c>
      <c r="G46" t="s">
        <v>20</v>
      </c>
    </row>
    <row r="47" spans="1:7" x14ac:dyDescent="0.3">
      <c r="A47">
        <v>45</v>
      </c>
      <c r="B47" t="s">
        <v>56</v>
      </c>
      <c r="C47" t="s">
        <v>8</v>
      </c>
      <c r="D47">
        <v>537</v>
      </c>
      <c r="E47">
        <v>423</v>
      </c>
      <c r="F47" t="s">
        <v>9</v>
      </c>
      <c r="G47" t="s">
        <v>10</v>
      </c>
    </row>
    <row r="48" spans="1:7" x14ac:dyDescent="0.3">
      <c r="A48">
        <v>46</v>
      </c>
      <c r="B48" t="s">
        <v>57</v>
      </c>
      <c r="C48" t="s">
        <v>32</v>
      </c>
      <c r="D48">
        <v>160</v>
      </c>
      <c r="E48">
        <v>140</v>
      </c>
      <c r="F48" t="s">
        <v>15</v>
      </c>
      <c r="G48" t="s">
        <v>18</v>
      </c>
    </row>
    <row r="49" spans="1:7" x14ac:dyDescent="0.3">
      <c r="A49">
        <v>47</v>
      </c>
      <c r="B49" t="s">
        <v>58</v>
      </c>
      <c r="C49" t="s">
        <v>8</v>
      </c>
      <c r="D49">
        <v>140</v>
      </c>
      <c r="E49">
        <v>116</v>
      </c>
      <c r="F49" t="s">
        <v>11</v>
      </c>
      <c r="G49" t="s">
        <v>10</v>
      </c>
    </row>
    <row r="50" spans="1:7" x14ac:dyDescent="0.3">
      <c r="A50">
        <v>48</v>
      </c>
      <c r="B50" t="s">
        <v>58</v>
      </c>
      <c r="C50" t="s">
        <v>8</v>
      </c>
      <c r="D50">
        <v>278</v>
      </c>
      <c r="E50">
        <v>220</v>
      </c>
      <c r="F50" t="s">
        <v>12</v>
      </c>
      <c r="G50" t="s">
        <v>10</v>
      </c>
    </row>
    <row r="51" spans="1:7" x14ac:dyDescent="0.3">
      <c r="A51">
        <v>49</v>
      </c>
      <c r="B51" t="s">
        <v>58</v>
      </c>
      <c r="C51" t="s">
        <v>8</v>
      </c>
      <c r="D51">
        <v>646</v>
      </c>
      <c r="E51">
        <v>485</v>
      </c>
      <c r="F51" t="s">
        <v>9</v>
      </c>
      <c r="G51" t="s">
        <v>10</v>
      </c>
    </row>
    <row r="52" spans="1:7" x14ac:dyDescent="0.3">
      <c r="A52">
        <v>50</v>
      </c>
      <c r="B52" t="s">
        <v>59</v>
      </c>
      <c r="C52" t="s">
        <v>60</v>
      </c>
      <c r="D52">
        <v>650</v>
      </c>
      <c r="E52">
        <v>471</v>
      </c>
      <c r="F52" t="s">
        <v>9</v>
      </c>
      <c r="G52" t="s">
        <v>10</v>
      </c>
    </row>
    <row r="53" spans="1:7" x14ac:dyDescent="0.3">
      <c r="A53">
        <v>51</v>
      </c>
      <c r="B53" t="s">
        <v>61</v>
      </c>
      <c r="C53" t="s">
        <v>60</v>
      </c>
      <c r="D53">
        <v>750</v>
      </c>
      <c r="E53">
        <v>579</v>
      </c>
      <c r="F53" t="s">
        <v>9</v>
      </c>
      <c r="G53" t="s">
        <v>10</v>
      </c>
    </row>
    <row r="54" spans="1:7" x14ac:dyDescent="0.3">
      <c r="A54">
        <v>52</v>
      </c>
      <c r="B54" t="s">
        <v>62</v>
      </c>
      <c r="C54" t="s">
        <v>63</v>
      </c>
      <c r="D54">
        <v>84</v>
      </c>
      <c r="E54">
        <v>75</v>
      </c>
      <c r="F54" t="s">
        <v>9</v>
      </c>
      <c r="G54" t="s">
        <v>18</v>
      </c>
    </row>
    <row r="55" spans="1:7" x14ac:dyDescent="0.3">
      <c r="A55">
        <v>53</v>
      </c>
      <c r="B55" t="s">
        <v>64</v>
      </c>
      <c r="C55" t="s">
        <v>17</v>
      </c>
      <c r="D55">
        <v>77</v>
      </c>
      <c r="E55">
        <v>67</v>
      </c>
      <c r="F55" t="s">
        <v>9</v>
      </c>
      <c r="G55" t="s">
        <v>20</v>
      </c>
    </row>
    <row r="56" spans="1:7" x14ac:dyDescent="0.3">
      <c r="A56">
        <v>54</v>
      </c>
      <c r="B56" t="s">
        <v>65</v>
      </c>
      <c r="C56" t="s">
        <v>28</v>
      </c>
      <c r="D56">
        <v>109</v>
      </c>
      <c r="E56">
        <v>101</v>
      </c>
      <c r="F56" t="s">
        <v>9</v>
      </c>
      <c r="G56" t="s">
        <v>18</v>
      </c>
    </row>
    <row r="57" spans="1:7" x14ac:dyDescent="0.3">
      <c r="A57">
        <v>55</v>
      </c>
      <c r="B57" t="s">
        <v>66</v>
      </c>
      <c r="C57" t="s">
        <v>36</v>
      </c>
      <c r="D57">
        <v>275</v>
      </c>
      <c r="E57">
        <v>246</v>
      </c>
      <c r="F57" t="s">
        <v>15</v>
      </c>
      <c r="G57" t="s">
        <v>18</v>
      </c>
    </row>
    <row r="58" spans="1:7" x14ac:dyDescent="0.3">
      <c r="A58">
        <v>56</v>
      </c>
      <c r="B58" t="s">
        <v>67</v>
      </c>
      <c r="C58" t="s">
        <v>30</v>
      </c>
      <c r="D58">
        <v>325</v>
      </c>
      <c r="E58">
        <v>199</v>
      </c>
      <c r="F58" t="s">
        <v>12</v>
      </c>
      <c r="G58" t="s">
        <v>10</v>
      </c>
    </row>
    <row r="59" spans="1:7" x14ac:dyDescent="0.3">
      <c r="A59">
        <v>57</v>
      </c>
      <c r="B59" t="s">
        <v>68</v>
      </c>
      <c r="C59" t="s">
        <v>8</v>
      </c>
      <c r="D59">
        <v>168</v>
      </c>
      <c r="E59">
        <v>132</v>
      </c>
      <c r="F59" t="s">
        <v>11</v>
      </c>
      <c r="G59" t="s">
        <v>10</v>
      </c>
    </row>
    <row r="60" spans="1:7" x14ac:dyDescent="0.3">
      <c r="A60">
        <v>58</v>
      </c>
      <c r="B60" t="s">
        <v>68</v>
      </c>
      <c r="C60" t="s">
        <v>8</v>
      </c>
      <c r="D60">
        <v>341</v>
      </c>
      <c r="E60">
        <v>262</v>
      </c>
      <c r="F60" t="s">
        <v>12</v>
      </c>
      <c r="G60" t="s">
        <v>10</v>
      </c>
    </row>
    <row r="61" spans="1:7" x14ac:dyDescent="0.3">
      <c r="A61">
        <v>59</v>
      </c>
      <c r="B61" t="s">
        <v>68</v>
      </c>
      <c r="C61" t="s">
        <v>8</v>
      </c>
      <c r="D61">
        <v>738</v>
      </c>
      <c r="E61">
        <v>566</v>
      </c>
      <c r="F61" t="s">
        <v>9</v>
      </c>
      <c r="G61" t="s">
        <v>10</v>
      </c>
    </row>
    <row r="62" spans="1:7" x14ac:dyDescent="0.3">
      <c r="A62">
        <v>60</v>
      </c>
      <c r="B62" t="s">
        <v>69</v>
      </c>
      <c r="C62" t="s">
        <v>70</v>
      </c>
      <c r="D62">
        <v>135</v>
      </c>
      <c r="E62">
        <v>110</v>
      </c>
      <c r="F62" t="s">
        <v>9</v>
      </c>
      <c r="G62" t="s">
        <v>18</v>
      </c>
    </row>
    <row r="63" spans="1:7" x14ac:dyDescent="0.3">
      <c r="A63">
        <v>61</v>
      </c>
      <c r="B63" t="s">
        <v>71</v>
      </c>
      <c r="C63" t="s">
        <v>28</v>
      </c>
      <c r="D63">
        <v>100</v>
      </c>
      <c r="E63">
        <v>93</v>
      </c>
      <c r="F63" t="s">
        <v>9</v>
      </c>
      <c r="G63" t="s">
        <v>18</v>
      </c>
    </row>
    <row r="64" spans="1:7" x14ac:dyDescent="0.3">
      <c r="A64">
        <v>62</v>
      </c>
      <c r="B64" t="s">
        <v>72</v>
      </c>
      <c r="C64" t="s">
        <v>8</v>
      </c>
      <c r="D64">
        <v>215</v>
      </c>
      <c r="E64">
        <v>129</v>
      </c>
      <c r="F64" t="s">
        <v>11</v>
      </c>
      <c r="G64" t="s">
        <v>10</v>
      </c>
    </row>
    <row r="65" spans="1:7" x14ac:dyDescent="0.3">
      <c r="A65">
        <v>63</v>
      </c>
      <c r="B65" t="s">
        <v>73</v>
      </c>
      <c r="C65" t="s">
        <v>60</v>
      </c>
      <c r="D65">
        <v>550</v>
      </c>
      <c r="E65">
        <v>479</v>
      </c>
      <c r="F65" t="s">
        <v>9</v>
      </c>
      <c r="G65" t="s">
        <v>10</v>
      </c>
    </row>
    <row r="66" spans="1:7" x14ac:dyDescent="0.3">
      <c r="A66">
        <v>64</v>
      </c>
      <c r="B66" t="s">
        <v>74</v>
      </c>
      <c r="C66" t="s">
        <v>28</v>
      </c>
      <c r="D66">
        <v>126</v>
      </c>
      <c r="E66">
        <v>117</v>
      </c>
      <c r="F66" t="s">
        <v>9</v>
      </c>
      <c r="G66" t="s">
        <v>20</v>
      </c>
    </row>
    <row r="67" spans="1:7" x14ac:dyDescent="0.3">
      <c r="A67">
        <v>65</v>
      </c>
      <c r="B67" t="s">
        <v>75</v>
      </c>
      <c r="C67" t="s">
        <v>14</v>
      </c>
      <c r="D67">
        <v>499</v>
      </c>
      <c r="E67">
        <v>399</v>
      </c>
      <c r="F67" t="s">
        <v>76</v>
      </c>
      <c r="G67" t="s">
        <v>10</v>
      </c>
    </row>
    <row r="68" spans="1:7" x14ac:dyDescent="0.3">
      <c r="A68">
        <v>66</v>
      </c>
      <c r="B68" t="s">
        <v>77</v>
      </c>
      <c r="C68" t="s">
        <v>78</v>
      </c>
      <c r="D68">
        <v>125</v>
      </c>
      <c r="E68">
        <v>90</v>
      </c>
      <c r="F68" t="s">
        <v>9</v>
      </c>
      <c r="G68" t="s">
        <v>18</v>
      </c>
    </row>
    <row r="69" spans="1:7" x14ac:dyDescent="0.3">
      <c r="A69">
        <v>67</v>
      </c>
      <c r="B69" t="s">
        <v>79</v>
      </c>
      <c r="C69" t="s">
        <v>8</v>
      </c>
      <c r="D69">
        <v>215</v>
      </c>
      <c r="E69">
        <v>129</v>
      </c>
      <c r="F69" t="s">
        <v>11</v>
      </c>
      <c r="G69" t="s">
        <v>10</v>
      </c>
    </row>
    <row r="70" spans="1:7" x14ac:dyDescent="0.3">
      <c r="A70">
        <v>68</v>
      </c>
      <c r="B70" t="s">
        <v>80</v>
      </c>
      <c r="C70" t="s">
        <v>42</v>
      </c>
      <c r="D70">
        <v>849</v>
      </c>
      <c r="E70">
        <v>424</v>
      </c>
      <c r="F70" t="s">
        <v>9</v>
      </c>
      <c r="G70" t="s">
        <v>10</v>
      </c>
    </row>
    <row r="71" spans="1:7" x14ac:dyDescent="0.3">
      <c r="A71">
        <v>69</v>
      </c>
      <c r="B71" t="s">
        <v>81</v>
      </c>
      <c r="C71" t="s">
        <v>17</v>
      </c>
      <c r="D71">
        <v>78</v>
      </c>
      <c r="E71">
        <v>63</v>
      </c>
      <c r="F71" t="s">
        <v>9</v>
      </c>
      <c r="G71" t="s">
        <v>18</v>
      </c>
    </row>
    <row r="72" spans="1:7" x14ac:dyDescent="0.3">
      <c r="A72">
        <v>70</v>
      </c>
      <c r="B72" t="s">
        <v>81</v>
      </c>
      <c r="C72" t="s">
        <v>17</v>
      </c>
      <c r="D72">
        <v>157</v>
      </c>
      <c r="E72">
        <v>131</v>
      </c>
      <c r="F72" t="s">
        <v>15</v>
      </c>
      <c r="G72" t="s">
        <v>18</v>
      </c>
    </row>
    <row r="73" spans="1:7" x14ac:dyDescent="0.3">
      <c r="A73">
        <v>71</v>
      </c>
      <c r="B73" t="s">
        <v>82</v>
      </c>
      <c r="C73" t="s">
        <v>63</v>
      </c>
      <c r="D73">
        <v>89</v>
      </c>
      <c r="E73">
        <v>80</v>
      </c>
      <c r="F73" t="s">
        <v>9</v>
      </c>
      <c r="G73" t="s">
        <v>18</v>
      </c>
    </row>
    <row r="74" spans="1:7" x14ac:dyDescent="0.3">
      <c r="A74">
        <v>72</v>
      </c>
      <c r="B74" t="s">
        <v>82</v>
      </c>
      <c r="C74" t="s">
        <v>63</v>
      </c>
      <c r="D74">
        <v>184</v>
      </c>
      <c r="E74">
        <v>129</v>
      </c>
      <c r="F74" t="s">
        <v>15</v>
      </c>
      <c r="G74" t="s">
        <v>18</v>
      </c>
    </row>
    <row r="75" spans="1:7" x14ac:dyDescent="0.3">
      <c r="A75">
        <v>73</v>
      </c>
      <c r="B75" t="s">
        <v>83</v>
      </c>
      <c r="C75" t="s">
        <v>17</v>
      </c>
      <c r="D75">
        <v>88</v>
      </c>
      <c r="E75">
        <v>76</v>
      </c>
      <c r="F75" t="s">
        <v>9</v>
      </c>
      <c r="G75" t="s">
        <v>18</v>
      </c>
    </row>
    <row r="76" spans="1:7" x14ac:dyDescent="0.3">
      <c r="A76">
        <v>74</v>
      </c>
      <c r="B76" t="s">
        <v>83</v>
      </c>
      <c r="C76" t="s">
        <v>17</v>
      </c>
      <c r="D76">
        <v>180</v>
      </c>
      <c r="E76">
        <v>142</v>
      </c>
      <c r="F76" t="s">
        <v>15</v>
      </c>
      <c r="G76" t="s">
        <v>18</v>
      </c>
    </row>
    <row r="77" spans="1:7" x14ac:dyDescent="0.3">
      <c r="A77">
        <v>75</v>
      </c>
      <c r="B77" t="s">
        <v>84</v>
      </c>
      <c r="C77" t="s">
        <v>8</v>
      </c>
      <c r="D77">
        <v>184</v>
      </c>
      <c r="E77">
        <v>145</v>
      </c>
      <c r="F77" t="s">
        <v>11</v>
      </c>
      <c r="G77" t="s">
        <v>10</v>
      </c>
    </row>
    <row r="78" spans="1:7" x14ac:dyDescent="0.3">
      <c r="A78">
        <v>76</v>
      </c>
      <c r="B78" t="s">
        <v>84</v>
      </c>
      <c r="C78" t="s">
        <v>8</v>
      </c>
      <c r="D78">
        <v>380</v>
      </c>
      <c r="E78">
        <v>292</v>
      </c>
      <c r="F78" t="s">
        <v>12</v>
      </c>
      <c r="G78" t="s">
        <v>10</v>
      </c>
    </row>
    <row r="79" spans="1:7" x14ac:dyDescent="0.3">
      <c r="A79">
        <v>77</v>
      </c>
      <c r="B79" t="s">
        <v>85</v>
      </c>
      <c r="C79" t="s">
        <v>32</v>
      </c>
      <c r="D79">
        <v>184</v>
      </c>
      <c r="E79">
        <v>148</v>
      </c>
      <c r="F79" t="s">
        <v>15</v>
      </c>
      <c r="G79" t="s">
        <v>18</v>
      </c>
    </row>
    <row r="80" spans="1:7" x14ac:dyDescent="0.3">
      <c r="A80">
        <v>78</v>
      </c>
      <c r="B80" t="s">
        <v>86</v>
      </c>
      <c r="C80" t="s">
        <v>8</v>
      </c>
      <c r="D80">
        <v>334</v>
      </c>
      <c r="E80">
        <v>235</v>
      </c>
      <c r="F80" t="s">
        <v>11</v>
      </c>
      <c r="G80" t="s">
        <v>10</v>
      </c>
    </row>
    <row r="81" spans="1:7" x14ac:dyDescent="0.3">
      <c r="A81">
        <v>79</v>
      </c>
      <c r="B81" t="s">
        <v>87</v>
      </c>
      <c r="C81" t="s">
        <v>36</v>
      </c>
      <c r="D81">
        <v>260</v>
      </c>
      <c r="E81">
        <v>234</v>
      </c>
      <c r="F81" t="s">
        <v>15</v>
      </c>
      <c r="G81" t="s">
        <v>18</v>
      </c>
    </row>
    <row r="82" spans="1:7" x14ac:dyDescent="0.3">
      <c r="A82">
        <v>80</v>
      </c>
      <c r="B82" t="s">
        <v>88</v>
      </c>
      <c r="C82" t="s">
        <v>14</v>
      </c>
      <c r="D82">
        <v>449</v>
      </c>
      <c r="E82">
        <v>249</v>
      </c>
      <c r="F82" t="s">
        <v>12</v>
      </c>
      <c r="G82" t="s">
        <v>10</v>
      </c>
    </row>
    <row r="83" spans="1:7" x14ac:dyDescent="0.3">
      <c r="A83">
        <v>81</v>
      </c>
      <c r="B83" t="s">
        <v>89</v>
      </c>
      <c r="C83" t="s">
        <v>14</v>
      </c>
      <c r="D83">
        <v>379</v>
      </c>
      <c r="E83">
        <v>239</v>
      </c>
      <c r="F83" t="s">
        <v>12</v>
      </c>
      <c r="G83" t="s">
        <v>10</v>
      </c>
    </row>
    <row r="84" spans="1:7" x14ac:dyDescent="0.3">
      <c r="A84">
        <v>82</v>
      </c>
      <c r="B84" t="s">
        <v>90</v>
      </c>
      <c r="C84" t="s">
        <v>8</v>
      </c>
      <c r="D84">
        <v>42</v>
      </c>
      <c r="E84">
        <v>33</v>
      </c>
      <c r="F84" t="s">
        <v>12</v>
      </c>
      <c r="G84" t="s">
        <v>20</v>
      </c>
    </row>
    <row r="85" spans="1:7" x14ac:dyDescent="0.3">
      <c r="A85">
        <v>83</v>
      </c>
      <c r="B85" t="s">
        <v>91</v>
      </c>
      <c r="C85" t="s">
        <v>28</v>
      </c>
      <c r="D85">
        <v>109</v>
      </c>
      <c r="E85">
        <v>101</v>
      </c>
      <c r="F85" t="s">
        <v>9</v>
      </c>
      <c r="G85" t="s">
        <v>18</v>
      </c>
    </row>
    <row r="86" spans="1:7" x14ac:dyDescent="0.3">
      <c r="A86">
        <v>84</v>
      </c>
      <c r="B86" t="s">
        <v>92</v>
      </c>
      <c r="C86" t="s">
        <v>93</v>
      </c>
      <c r="D86">
        <v>60</v>
      </c>
      <c r="E86">
        <v>52</v>
      </c>
      <c r="F86" t="s">
        <v>12</v>
      </c>
      <c r="G86" t="s">
        <v>20</v>
      </c>
    </row>
    <row r="87" spans="1:7" x14ac:dyDescent="0.3">
      <c r="A87">
        <v>85</v>
      </c>
      <c r="B87" t="s">
        <v>94</v>
      </c>
      <c r="C87" t="s">
        <v>78</v>
      </c>
      <c r="D87">
        <v>270</v>
      </c>
      <c r="E87">
        <v>135</v>
      </c>
      <c r="F87" t="s">
        <v>15</v>
      </c>
      <c r="G87" t="s">
        <v>18</v>
      </c>
    </row>
    <row r="88" spans="1:7" x14ac:dyDescent="0.3">
      <c r="A88">
        <v>86</v>
      </c>
      <c r="B88" t="s">
        <v>95</v>
      </c>
      <c r="C88" t="s">
        <v>17</v>
      </c>
      <c r="D88">
        <v>750</v>
      </c>
      <c r="E88">
        <v>585</v>
      </c>
      <c r="F88" t="s">
        <v>96</v>
      </c>
      <c r="G88" t="s">
        <v>18</v>
      </c>
    </row>
    <row r="89" spans="1:7" x14ac:dyDescent="0.3">
      <c r="A89">
        <v>87</v>
      </c>
      <c r="B89" t="s">
        <v>97</v>
      </c>
      <c r="C89" t="s">
        <v>93</v>
      </c>
      <c r="D89">
        <v>60</v>
      </c>
      <c r="E89">
        <v>52</v>
      </c>
      <c r="F89" t="s">
        <v>12</v>
      </c>
      <c r="G89" t="s">
        <v>20</v>
      </c>
    </row>
    <row r="90" spans="1:7" x14ac:dyDescent="0.3">
      <c r="A90">
        <v>88</v>
      </c>
      <c r="B90" t="s">
        <v>98</v>
      </c>
      <c r="C90" t="s">
        <v>17</v>
      </c>
      <c r="D90">
        <v>750</v>
      </c>
      <c r="E90">
        <v>588</v>
      </c>
      <c r="F90" t="s">
        <v>96</v>
      </c>
      <c r="G90" t="s">
        <v>18</v>
      </c>
    </row>
    <row r="91" spans="1:7" x14ac:dyDescent="0.3">
      <c r="A91">
        <v>89</v>
      </c>
      <c r="B91" t="s">
        <v>99</v>
      </c>
      <c r="C91" t="s">
        <v>100</v>
      </c>
      <c r="D91">
        <v>260</v>
      </c>
      <c r="E91">
        <v>215</v>
      </c>
      <c r="F91" t="s">
        <v>15</v>
      </c>
      <c r="G91" t="s">
        <v>18</v>
      </c>
    </row>
    <row r="92" spans="1:7" x14ac:dyDescent="0.3">
      <c r="A92">
        <v>90</v>
      </c>
      <c r="B92" t="s">
        <v>101</v>
      </c>
      <c r="C92" t="s">
        <v>8</v>
      </c>
      <c r="D92">
        <v>45</v>
      </c>
      <c r="E92">
        <v>38</v>
      </c>
      <c r="F92" t="s">
        <v>12</v>
      </c>
      <c r="G92" t="s">
        <v>20</v>
      </c>
    </row>
    <row r="93" spans="1:7" x14ac:dyDescent="0.3">
      <c r="A93">
        <v>91</v>
      </c>
      <c r="B93" t="s">
        <v>102</v>
      </c>
      <c r="C93" t="s">
        <v>93</v>
      </c>
      <c r="D93">
        <v>60</v>
      </c>
      <c r="E93">
        <v>50</v>
      </c>
      <c r="F93" t="s">
        <v>12</v>
      </c>
      <c r="G93" t="s">
        <v>20</v>
      </c>
    </row>
    <row r="94" spans="1:7" x14ac:dyDescent="0.3">
      <c r="A94">
        <v>92</v>
      </c>
      <c r="B94" t="s">
        <v>103</v>
      </c>
      <c r="C94" t="s">
        <v>30</v>
      </c>
      <c r="D94">
        <v>540</v>
      </c>
      <c r="E94">
        <v>375</v>
      </c>
      <c r="F94" t="s">
        <v>12</v>
      </c>
      <c r="G94" t="s">
        <v>10</v>
      </c>
    </row>
    <row r="95" spans="1:7" x14ac:dyDescent="0.3">
      <c r="A95">
        <v>93</v>
      </c>
      <c r="B95" t="s">
        <v>104</v>
      </c>
      <c r="C95" t="s">
        <v>28</v>
      </c>
      <c r="D95">
        <v>109</v>
      </c>
      <c r="E95">
        <v>101</v>
      </c>
      <c r="F95" t="s">
        <v>9</v>
      </c>
      <c r="G95" t="s">
        <v>18</v>
      </c>
    </row>
    <row r="96" spans="1:7" x14ac:dyDescent="0.3">
      <c r="A96">
        <v>94</v>
      </c>
      <c r="B96" t="s">
        <v>105</v>
      </c>
      <c r="C96" t="s">
        <v>106</v>
      </c>
      <c r="D96">
        <v>700</v>
      </c>
      <c r="E96">
        <v>560</v>
      </c>
      <c r="F96" t="s">
        <v>107</v>
      </c>
      <c r="G96" t="s">
        <v>10</v>
      </c>
    </row>
    <row r="97" spans="1:7" x14ac:dyDescent="0.3">
      <c r="A97">
        <v>95</v>
      </c>
      <c r="B97" t="s">
        <v>108</v>
      </c>
      <c r="C97" t="s">
        <v>8</v>
      </c>
      <c r="D97">
        <v>94</v>
      </c>
      <c r="E97">
        <v>79</v>
      </c>
      <c r="F97" t="s">
        <v>9</v>
      </c>
      <c r="G97" t="s">
        <v>20</v>
      </c>
    </row>
    <row r="98" spans="1:7" x14ac:dyDescent="0.3">
      <c r="A98">
        <v>96</v>
      </c>
      <c r="B98" t="s">
        <v>109</v>
      </c>
      <c r="C98" t="s">
        <v>106</v>
      </c>
      <c r="D98">
        <v>460</v>
      </c>
      <c r="E98">
        <v>310</v>
      </c>
      <c r="F98" t="s">
        <v>107</v>
      </c>
      <c r="G98" t="s">
        <v>10</v>
      </c>
    </row>
    <row r="99" spans="1:7" x14ac:dyDescent="0.3">
      <c r="A99">
        <v>97</v>
      </c>
      <c r="B99" t="s">
        <v>110</v>
      </c>
      <c r="C99" t="s">
        <v>38</v>
      </c>
      <c r="D99">
        <v>319</v>
      </c>
      <c r="E99">
        <v>237</v>
      </c>
      <c r="F99" t="s">
        <v>12</v>
      </c>
      <c r="G99" t="s">
        <v>10</v>
      </c>
    </row>
    <row r="100" spans="1:7" x14ac:dyDescent="0.3">
      <c r="A100">
        <v>98</v>
      </c>
      <c r="B100" t="s">
        <v>111</v>
      </c>
      <c r="C100" t="s">
        <v>17</v>
      </c>
      <c r="D100">
        <v>70</v>
      </c>
      <c r="E100">
        <v>53</v>
      </c>
      <c r="F100" t="s">
        <v>9</v>
      </c>
      <c r="G100" t="s">
        <v>18</v>
      </c>
    </row>
    <row r="101" spans="1:7" x14ac:dyDescent="0.3">
      <c r="A101">
        <v>99</v>
      </c>
      <c r="B101" t="s">
        <v>112</v>
      </c>
      <c r="C101" t="s">
        <v>113</v>
      </c>
      <c r="D101">
        <v>60</v>
      </c>
      <c r="E101">
        <v>35</v>
      </c>
      <c r="F101" t="s">
        <v>12</v>
      </c>
      <c r="G101" t="s">
        <v>20</v>
      </c>
    </row>
    <row r="102" spans="1:7" x14ac:dyDescent="0.3">
      <c r="A102">
        <v>100</v>
      </c>
      <c r="B102" t="s">
        <v>114</v>
      </c>
      <c r="C102" t="s">
        <v>17</v>
      </c>
      <c r="D102">
        <v>88</v>
      </c>
      <c r="E102">
        <v>73</v>
      </c>
      <c r="F102" t="s">
        <v>9</v>
      </c>
      <c r="G102" t="s">
        <v>18</v>
      </c>
    </row>
    <row r="103" spans="1:7" x14ac:dyDescent="0.3">
      <c r="A103">
        <v>101</v>
      </c>
      <c r="B103" t="s">
        <v>114</v>
      </c>
      <c r="C103" t="s">
        <v>17</v>
      </c>
      <c r="D103">
        <v>173</v>
      </c>
      <c r="E103">
        <v>140</v>
      </c>
      <c r="F103" t="s">
        <v>15</v>
      </c>
      <c r="G103" t="s">
        <v>18</v>
      </c>
    </row>
    <row r="104" spans="1:7" x14ac:dyDescent="0.3">
      <c r="A104">
        <v>102</v>
      </c>
      <c r="B104" t="s">
        <v>115</v>
      </c>
      <c r="C104" t="s">
        <v>17</v>
      </c>
      <c r="D104">
        <v>95</v>
      </c>
      <c r="E104">
        <v>76</v>
      </c>
      <c r="F104" t="s">
        <v>9</v>
      </c>
      <c r="G104" t="s">
        <v>20</v>
      </c>
    </row>
    <row r="105" spans="1:7" x14ac:dyDescent="0.3">
      <c r="A105">
        <v>103</v>
      </c>
      <c r="B105" t="s">
        <v>115</v>
      </c>
      <c r="C105" t="s">
        <v>17</v>
      </c>
      <c r="D105">
        <v>190</v>
      </c>
      <c r="E105">
        <v>159</v>
      </c>
      <c r="F105" t="s">
        <v>15</v>
      </c>
      <c r="G105" t="s">
        <v>20</v>
      </c>
    </row>
    <row r="106" spans="1:7" x14ac:dyDescent="0.3">
      <c r="A106">
        <v>104</v>
      </c>
      <c r="B106" t="s">
        <v>116</v>
      </c>
      <c r="C106" t="s">
        <v>17</v>
      </c>
      <c r="D106">
        <v>88</v>
      </c>
      <c r="E106">
        <v>69</v>
      </c>
      <c r="F106" t="s">
        <v>9</v>
      </c>
      <c r="G106" t="s">
        <v>18</v>
      </c>
    </row>
    <row r="107" spans="1:7" x14ac:dyDescent="0.3">
      <c r="A107">
        <v>105</v>
      </c>
      <c r="B107" t="s">
        <v>117</v>
      </c>
      <c r="C107" t="s">
        <v>118</v>
      </c>
      <c r="D107">
        <v>234</v>
      </c>
      <c r="E107">
        <v>165</v>
      </c>
      <c r="F107" t="s">
        <v>9</v>
      </c>
      <c r="G107" t="s">
        <v>10</v>
      </c>
    </row>
    <row r="108" spans="1:7" x14ac:dyDescent="0.3">
      <c r="A108">
        <v>106</v>
      </c>
      <c r="B108" t="s">
        <v>119</v>
      </c>
      <c r="C108" t="s">
        <v>63</v>
      </c>
      <c r="D108">
        <v>90</v>
      </c>
      <c r="E108">
        <v>75</v>
      </c>
      <c r="F108" t="s">
        <v>9</v>
      </c>
      <c r="G108" t="s">
        <v>18</v>
      </c>
    </row>
    <row r="109" spans="1:7" x14ac:dyDescent="0.3">
      <c r="A109">
        <v>107</v>
      </c>
      <c r="B109" t="s">
        <v>119</v>
      </c>
      <c r="C109" t="s">
        <v>63</v>
      </c>
      <c r="D109">
        <v>179</v>
      </c>
      <c r="E109">
        <v>152</v>
      </c>
      <c r="F109" t="s">
        <v>15</v>
      </c>
      <c r="G109" t="s">
        <v>18</v>
      </c>
    </row>
    <row r="110" spans="1:7" x14ac:dyDescent="0.3">
      <c r="A110">
        <v>108</v>
      </c>
      <c r="B110" t="s">
        <v>120</v>
      </c>
      <c r="C110" t="s">
        <v>121</v>
      </c>
      <c r="D110">
        <v>145</v>
      </c>
      <c r="E110">
        <v>130</v>
      </c>
      <c r="F110" t="s">
        <v>9</v>
      </c>
      <c r="G110" t="s">
        <v>10</v>
      </c>
    </row>
    <row r="111" spans="1:7" x14ac:dyDescent="0.3">
      <c r="A111">
        <v>109</v>
      </c>
      <c r="B111" t="s">
        <v>122</v>
      </c>
      <c r="C111" t="s">
        <v>28</v>
      </c>
      <c r="D111">
        <v>129</v>
      </c>
      <c r="E111">
        <v>114</v>
      </c>
      <c r="F111" t="s">
        <v>9</v>
      </c>
      <c r="G111" t="s">
        <v>20</v>
      </c>
    </row>
    <row r="112" spans="1:7" x14ac:dyDescent="0.3">
      <c r="A112">
        <v>110</v>
      </c>
      <c r="B112" t="s">
        <v>123</v>
      </c>
      <c r="C112" t="s">
        <v>17</v>
      </c>
      <c r="D112">
        <v>81</v>
      </c>
      <c r="E112">
        <v>67</v>
      </c>
      <c r="F112" t="s">
        <v>9</v>
      </c>
      <c r="G112" t="s">
        <v>18</v>
      </c>
    </row>
    <row r="113" spans="1:7" x14ac:dyDescent="0.3">
      <c r="A113">
        <v>111</v>
      </c>
      <c r="B113" t="s">
        <v>124</v>
      </c>
      <c r="C113" t="s">
        <v>125</v>
      </c>
      <c r="D113">
        <v>190</v>
      </c>
      <c r="E113">
        <v>158</v>
      </c>
      <c r="F113" t="s">
        <v>9</v>
      </c>
      <c r="G113" t="s">
        <v>10</v>
      </c>
    </row>
    <row r="114" spans="1:7" x14ac:dyDescent="0.3">
      <c r="A114">
        <v>112</v>
      </c>
      <c r="B114" t="s">
        <v>126</v>
      </c>
      <c r="C114" t="s">
        <v>8</v>
      </c>
      <c r="D114">
        <v>51</v>
      </c>
      <c r="E114">
        <v>32</v>
      </c>
      <c r="F114" t="s">
        <v>11</v>
      </c>
      <c r="G114" t="s">
        <v>10</v>
      </c>
    </row>
    <row r="115" spans="1:7" x14ac:dyDescent="0.3">
      <c r="A115">
        <v>113</v>
      </c>
      <c r="B115" t="s">
        <v>126</v>
      </c>
      <c r="C115" t="s">
        <v>8</v>
      </c>
      <c r="D115">
        <v>97</v>
      </c>
      <c r="E115">
        <v>65</v>
      </c>
      <c r="F115" t="s">
        <v>12</v>
      </c>
      <c r="G115" t="s">
        <v>10</v>
      </c>
    </row>
    <row r="116" spans="1:7" x14ac:dyDescent="0.3">
      <c r="A116">
        <v>114</v>
      </c>
      <c r="B116" t="s">
        <v>126</v>
      </c>
      <c r="C116" t="s">
        <v>8</v>
      </c>
      <c r="D116">
        <v>212</v>
      </c>
      <c r="E116">
        <v>165</v>
      </c>
      <c r="F116" t="s">
        <v>9</v>
      </c>
      <c r="G116" t="s">
        <v>10</v>
      </c>
    </row>
    <row r="117" spans="1:7" x14ac:dyDescent="0.3">
      <c r="A117">
        <v>115</v>
      </c>
      <c r="B117" t="s">
        <v>127</v>
      </c>
      <c r="C117" t="s">
        <v>121</v>
      </c>
      <c r="D117">
        <v>125</v>
      </c>
      <c r="E117">
        <v>93</v>
      </c>
      <c r="F117" t="s">
        <v>9</v>
      </c>
      <c r="G117" t="s">
        <v>10</v>
      </c>
    </row>
    <row r="118" spans="1:7" x14ac:dyDescent="0.3">
      <c r="A118">
        <v>116</v>
      </c>
      <c r="B118" t="s">
        <v>128</v>
      </c>
      <c r="C118" t="s">
        <v>121</v>
      </c>
      <c r="D118">
        <v>170</v>
      </c>
      <c r="E118">
        <v>133</v>
      </c>
      <c r="F118" t="s">
        <v>76</v>
      </c>
      <c r="G118" t="s">
        <v>10</v>
      </c>
    </row>
    <row r="119" spans="1:7" x14ac:dyDescent="0.3">
      <c r="A119">
        <v>117</v>
      </c>
      <c r="B119" t="s">
        <v>129</v>
      </c>
      <c r="C119" t="s">
        <v>70</v>
      </c>
      <c r="D119">
        <v>145</v>
      </c>
      <c r="E119">
        <v>125</v>
      </c>
      <c r="F119" t="s">
        <v>9</v>
      </c>
      <c r="G119" t="s">
        <v>20</v>
      </c>
    </row>
    <row r="120" spans="1:7" x14ac:dyDescent="0.3">
      <c r="A120">
        <v>118</v>
      </c>
      <c r="B120" t="s">
        <v>130</v>
      </c>
      <c r="C120" t="s">
        <v>118</v>
      </c>
      <c r="D120">
        <v>140</v>
      </c>
      <c r="E120">
        <v>95</v>
      </c>
      <c r="F120" t="s">
        <v>9</v>
      </c>
      <c r="G120" t="s">
        <v>10</v>
      </c>
    </row>
    <row r="121" spans="1:7" x14ac:dyDescent="0.3">
      <c r="A121">
        <v>119</v>
      </c>
      <c r="B121" t="s">
        <v>131</v>
      </c>
      <c r="C121" t="s">
        <v>28</v>
      </c>
      <c r="D121">
        <v>123</v>
      </c>
      <c r="E121">
        <v>114</v>
      </c>
      <c r="F121" t="s">
        <v>9</v>
      </c>
      <c r="G121" t="s">
        <v>18</v>
      </c>
    </row>
    <row r="122" spans="1:7" x14ac:dyDescent="0.3">
      <c r="A122">
        <v>120</v>
      </c>
      <c r="B122" t="s">
        <v>132</v>
      </c>
      <c r="C122" t="s">
        <v>133</v>
      </c>
      <c r="D122">
        <v>125</v>
      </c>
      <c r="E122">
        <v>90</v>
      </c>
      <c r="F122" t="s">
        <v>9</v>
      </c>
      <c r="G122" t="s">
        <v>10</v>
      </c>
    </row>
    <row r="123" spans="1:7" x14ac:dyDescent="0.3">
      <c r="A123">
        <v>121</v>
      </c>
      <c r="B123" t="s">
        <v>134</v>
      </c>
      <c r="C123" t="s">
        <v>135</v>
      </c>
      <c r="D123">
        <v>990</v>
      </c>
      <c r="E123">
        <v>750</v>
      </c>
      <c r="F123" t="s">
        <v>9</v>
      </c>
      <c r="G123" t="s">
        <v>10</v>
      </c>
    </row>
    <row r="124" spans="1:7" x14ac:dyDescent="0.3">
      <c r="A124">
        <v>122</v>
      </c>
      <c r="B124" t="s">
        <v>136</v>
      </c>
      <c r="C124" t="s">
        <v>8</v>
      </c>
      <c r="D124">
        <v>81</v>
      </c>
      <c r="E124">
        <v>63</v>
      </c>
      <c r="F124" t="s">
        <v>12</v>
      </c>
      <c r="G124" t="s">
        <v>10</v>
      </c>
    </row>
    <row r="125" spans="1:7" x14ac:dyDescent="0.3">
      <c r="A125">
        <v>123</v>
      </c>
      <c r="B125" t="s">
        <v>137</v>
      </c>
      <c r="C125" t="s">
        <v>125</v>
      </c>
      <c r="D125">
        <v>500</v>
      </c>
      <c r="E125">
        <v>350</v>
      </c>
      <c r="F125" t="s">
        <v>9</v>
      </c>
      <c r="G125" t="s">
        <v>10</v>
      </c>
    </row>
    <row r="126" spans="1:7" x14ac:dyDescent="0.3">
      <c r="A126">
        <v>124</v>
      </c>
      <c r="B126" t="s">
        <v>138</v>
      </c>
      <c r="C126" t="s">
        <v>36</v>
      </c>
      <c r="D126">
        <v>147</v>
      </c>
      <c r="E126">
        <v>125</v>
      </c>
      <c r="F126" t="s">
        <v>9</v>
      </c>
      <c r="G126" t="s">
        <v>20</v>
      </c>
    </row>
    <row r="127" spans="1:7" x14ac:dyDescent="0.3">
      <c r="A127">
        <v>125</v>
      </c>
      <c r="B127" t="s">
        <v>139</v>
      </c>
      <c r="C127" t="s">
        <v>78</v>
      </c>
      <c r="D127">
        <v>145</v>
      </c>
      <c r="E127">
        <v>105</v>
      </c>
      <c r="F127" t="s">
        <v>9</v>
      </c>
      <c r="G127" t="s">
        <v>20</v>
      </c>
    </row>
    <row r="128" spans="1:7" x14ac:dyDescent="0.3">
      <c r="A128">
        <v>126</v>
      </c>
      <c r="B128" t="s">
        <v>140</v>
      </c>
      <c r="C128" t="s">
        <v>14</v>
      </c>
      <c r="D128">
        <v>249</v>
      </c>
      <c r="E128">
        <v>159</v>
      </c>
      <c r="F128" t="s">
        <v>9</v>
      </c>
      <c r="G128" t="s">
        <v>10</v>
      </c>
    </row>
    <row r="129" spans="1:7" x14ac:dyDescent="0.3">
      <c r="A129">
        <v>127</v>
      </c>
      <c r="B129" t="s">
        <v>141</v>
      </c>
      <c r="C129" t="s">
        <v>125</v>
      </c>
      <c r="D129">
        <v>135</v>
      </c>
      <c r="E129">
        <v>105</v>
      </c>
      <c r="F129" t="s">
        <v>9</v>
      </c>
      <c r="G129" t="s">
        <v>10</v>
      </c>
    </row>
    <row r="130" spans="1:7" x14ac:dyDescent="0.3">
      <c r="A130">
        <v>128</v>
      </c>
      <c r="B130" t="s">
        <v>142</v>
      </c>
      <c r="C130" t="s">
        <v>135</v>
      </c>
      <c r="D130">
        <v>249</v>
      </c>
      <c r="E130">
        <v>124</v>
      </c>
      <c r="F130" t="s">
        <v>107</v>
      </c>
      <c r="G130" t="s">
        <v>10</v>
      </c>
    </row>
    <row r="131" spans="1:7" x14ac:dyDescent="0.3">
      <c r="A131">
        <v>129</v>
      </c>
      <c r="B131" t="s">
        <v>143</v>
      </c>
      <c r="C131" t="s">
        <v>144</v>
      </c>
      <c r="D131">
        <v>249</v>
      </c>
      <c r="E131">
        <v>195</v>
      </c>
      <c r="F131" t="s">
        <v>76</v>
      </c>
      <c r="G131" t="s">
        <v>10</v>
      </c>
    </row>
    <row r="132" spans="1:7" x14ac:dyDescent="0.3">
      <c r="A132">
        <v>130</v>
      </c>
      <c r="B132" t="s">
        <v>145</v>
      </c>
      <c r="C132" t="s">
        <v>146</v>
      </c>
      <c r="D132">
        <v>200</v>
      </c>
      <c r="E132">
        <v>128</v>
      </c>
      <c r="F132" t="s">
        <v>76</v>
      </c>
      <c r="G132" t="s">
        <v>10</v>
      </c>
    </row>
    <row r="133" spans="1:7" x14ac:dyDescent="0.3">
      <c r="A133">
        <v>131</v>
      </c>
      <c r="B133" t="s">
        <v>147</v>
      </c>
      <c r="C133" t="s">
        <v>17</v>
      </c>
      <c r="D133">
        <v>150</v>
      </c>
      <c r="E133">
        <v>113</v>
      </c>
      <c r="F133" t="s">
        <v>9</v>
      </c>
      <c r="G133" t="s">
        <v>10</v>
      </c>
    </row>
    <row r="134" spans="1:7" x14ac:dyDescent="0.3">
      <c r="A134">
        <v>132</v>
      </c>
      <c r="B134" t="s">
        <v>148</v>
      </c>
      <c r="C134" t="s">
        <v>36</v>
      </c>
      <c r="D134">
        <v>142</v>
      </c>
      <c r="E134">
        <v>115</v>
      </c>
      <c r="F134" t="s">
        <v>9</v>
      </c>
      <c r="G134" t="s">
        <v>18</v>
      </c>
    </row>
    <row r="135" spans="1:7" x14ac:dyDescent="0.3">
      <c r="A135">
        <v>133</v>
      </c>
      <c r="B135" t="s">
        <v>149</v>
      </c>
      <c r="C135" t="s">
        <v>125</v>
      </c>
      <c r="D135">
        <v>150</v>
      </c>
      <c r="E135">
        <v>119</v>
      </c>
      <c r="F135" t="s">
        <v>9</v>
      </c>
      <c r="G135" t="s">
        <v>10</v>
      </c>
    </row>
    <row r="136" spans="1:7" x14ac:dyDescent="0.3">
      <c r="A136">
        <v>134</v>
      </c>
      <c r="B136" t="s">
        <v>150</v>
      </c>
      <c r="C136" t="s">
        <v>78</v>
      </c>
      <c r="D136">
        <v>145</v>
      </c>
      <c r="E136">
        <v>97</v>
      </c>
      <c r="F136" t="s">
        <v>9</v>
      </c>
      <c r="G136" t="s">
        <v>18</v>
      </c>
    </row>
    <row r="137" spans="1:7" x14ac:dyDescent="0.3">
      <c r="A137">
        <v>135</v>
      </c>
      <c r="B137" t="s">
        <v>151</v>
      </c>
      <c r="C137" t="s">
        <v>152</v>
      </c>
      <c r="D137">
        <v>625</v>
      </c>
      <c r="E137">
        <v>464</v>
      </c>
      <c r="F137" t="s">
        <v>9</v>
      </c>
      <c r="G137" t="s">
        <v>10</v>
      </c>
    </row>
    <row r="138" spans="1:7" x14ac:dyDescent="0.3">
      <c r="A138">
        <v>136</v>
      </c>
      <c r="B138" t="s">
        <v>153</v>
      </c>
      <c r="C138" t="s">
        <v>17</v>
      </c>
      <c r="D138">
        <v>120</v>
      </c>
      <c r="E138">
        <v>60</v>
      </c>
      <c r="F138" t="s">
        <v>9</v>
      </c>
      <c r="G138" t="s">
        <v>10</v>
      </c>
    </row>
    <row r="139" spans="1:7" x14ac:dyDescent="0.3">
      <c r="A139">
        <v>137</v>
      </c>
      <c r="B139" t="s">
        <v>154</v>
      </c>
      <c r="C139" t="s">
        <v>144</v>
      </c>
      <c r="D139">
        <v>549</v>
      </c>
      <c r="E139">
        <v>390</v>
      </c>
      <c r="F139" t="s">
        <v>107</v>
      </c>
      <c r="G139" t="s">
        <v>10</v>
      </c>
    </row>
    <row r="140" spans="1:7" x14ac:dyDescent="0.3">
      <c r="A140">
        <v>138</v>
      </c>
      <c r="B140" t="s">
        <v>155</v>
      </c>
      <c r="C140" t="s">
        <v>78</v>
      </c>
      <c r="D140">
        <v>145</v>
      </c>
      <c r="E140">
        <v>99</v>
      </c>
      <c r="F140" t="s">
        <v>9</v>
      </c>
      <c r="G140" t="s">
        <v>18</v>
      </c>
    </row>
    <row r="141" spans="1:7" x14ac:dyDescent="0.3">
      <c r="A141">
        <v>139</v>
      </c>
      <c r="B141" t="s">
        <v>156</v>
      </c>
      <c r="C141" t="s">
        <v>144</v>
      </c>
      <c r="D141">
        <v>425</v>
      </c>
      <c r="E141">
        <v>280</v>
      </c>
      <c r="F141" t="s">
        <v>107</v>
      </c>
      <c r="G141" t="s">
        <v>10</v>
      </c>
    </row>
    <row r="142" spans="1:7" x14ac:dyDescent="0.3">
      <c r="A142">
        <v>140</v>
      </c>
      <c r="B142" t="s">
        <v>157</v>
      </c>
      <c r="C142" t="s">
        <v>144</v>
      </c>
      <c r="D142">
        <v>349</v>
      </c>
      <c r="E142">
        <v>235</v>
      </c>
      <c r="F142" t="s">
        <v>107</v>
      </c>
      <c r="G142" t="s">
        <v>10</v>
      </c>
    </row>
    <row r="143" spans="1:7" x14ac:dyDescent="0.3">
      <c r="A143">
        <v>141</v>
      </c>
      <c r="B143" t="s">
        <v>158</v>
      </c>
      <c r="C143" t="s">
        <v>17</v>
      </c>
      <c r="D143">
        <v>68</v>
      </c>
      <c r="E143">
        <v>58</v>
      </c>
      <c r="F143" t="s">
        <v>9</v>
      </c>
      <c r="G143" t="s">
        <v>18</v>
      </c>
    </row>
    <row r="144" spans="1:7" x14ac:dyDescent="0.3">
      <c r="A144">
        <v>142</v>
      </c>
      <c r="B144" t="s">
        <v>158</v>
      </c>
      <c r="C144" t="s">
        <v>17</v>
      </c>
      <c r="D144">
        <v>133</v>
      </c>
      <c r="E144">
        <v>113</v>
      </c>
      <c r="F144" t="s">
        <v>15</v>
      </c>
      <c r="G144" t="s">
        <v>18</v>
      </c>
    </row>
    <row r="145" spans="1:7" x14ac:dyDescent="0.3">
      <c r="A145">
        <v>143</v>
      </c>
      <c r="B145" t="s">
        <v>159</v>
      </c>
      <c r="C145" t="s">
        <v>8</v>
      </c>
      <c r="D145">
        <v>42</v>
      </c>
      <c r="E145">
        <v>33</v>
      </c>
      <c r="F145" t="s">
        <v>11</v>
      </c>
      <c r="G145" t="s">
        <v>10</v>
      </c>
    </row>
    <row r="146" spans="1:7" x14ac:dyDescent="0.3">
      <c r="A146">
        <v>144</v>
      </c>
      <c r="B146" t="s">
        <v>159</v>
      </c>
      <c r="C146" t="s">
        <v>8</v>
      </c>
      <c r="D146">
        <v>81</v>
      </c>
      <c r="E146">
        <v>63</v>
      </c>
      <c r="F146" t="s">
        <v>12</v>
      </c>
      <c r="G146" t="s">
        <v>10</v>
      </c>
    </row>
    <row r="147" spans="1:7" x14ac:dyDescent="0.3">
      <c r="A147">
        <v>145</v>
      </c>
      <c r="B147" t="s">
        <v>159</v>
      </c>
      <c r="C147" t="s">
        <v>8</v>
      </c>
      <c r="D147">
        <v>186</v>
      </c>
      <c r="E147">
        <v>146</v>
      </c>
      <c r="F147" t="s">
        <v>9</v>
      </c>
      <c r="G147" t="s">
        <v>10</v>
      </c>
    </row>
    <row r="148" spans="1:7" x14ac:dyDescent="0.3">
      <c r="A148">
        <v>146</v>
      </c>
      <c r="B148" t="s">
        <v>160</v>
      </c>
      <c r="C148" t="s">
        <v>17</v>
      </c>
      <c r="D148">
        <v>94</v>
      </c>
      <c r="E148">
        <v>81</v>
      </c>
      <c r="F148" t="s">
        <v>15</v>
      </c>
      <c r="G148" t="s">
        <v>20</v>
      </c>
    </row>
    <row r="149" spans="1:7" x14ac:dyDescent="0.3">
      <c r="A149">
        <v>147</v>
      </c>
      <c r="B149" t="s">
        <v>160</v>
      </c>
      <c r="C149" t="s">
        <v>17</v>
      </c>
      <c r="D149">
        <v>48</v>
      </c>
      <c r="E149">
        <v>42</v>
      </c>
      <c r="F149" t="s">
        <v>9</v>
      </c>
      <c r="G149" t="s">
        <v>20</v>
      </c>
    </row>
    <row r="150" spans="1:7" x14ac:dyDescent="0.3">
      <c r="A150">
        <v>148</v>
      </c>
      <c r="B150" t="s">
        <v>161</v>
      </c>
      <c r="C150" t="s">
        <v>17</v>
      </c>
      <c r="D150">
        <v>73</v>
      </c>
      <c r="E150">
        <v>61</v>
      </c>
      <c r="F150" t="s">
        <v>9</v>
      </c>
      <c r="G150" t="s">
        <v>20</v>
      </c>
    </row>
    <row r="151" spans="1:7" x14ac:dyDescent="0.3">
      <c r="A151">
        <v>149</v>
      </c>
      <c r="B151" t="s">
        <v>162</v>
      </c>
      <c r="C151" t="s">
        <v>24</v>
      </c>
      <c r="D151">
        <v>86</v>
      </c>
      <c r="E151">
        <v>72</v>
      </c>
      <c r="F151" t="s">
        <v>9</v>
      </c>
      <c r="G151" t="s">
        <v>18</v>
      </c>
    </row>
    <row r="152" spans="1:7" x14ac:dyDescent="0.3">
      <c r="A152">
        <v>150</v>
      </c>
      <c r="B152" t="s">
        <v>162</v>
      </c>
      <c r="C152" t="s">
        <v>24</v>
      </c>
      <c r="D152">
        <v>170</v>
      </c>
      <c r="E152">
        <v>145</v>
      </c>
      <c r="F152" t="s">
        <v>15</v>
      </c>
      <c r="G152" t="s">
        <v>18</v>
      </c>
    </row>
    <row r="153" spans="1:7" x14ac:dyDescent="0.3">
      <c r="A153">
        <v>151</v>
      </c>
      <c r="B153" t="s">
        <v>163</v>
      </c>
      <c r="C153" t="s">
        <v>8</v>
      </c>
      <c r="D153">
        <v>60</v>
      </c>
      <c r="E153">
        <v>44</v>
      </c>
      <c r="F153" t="s">
        <v>11</v>
      </c>
      <c r="G153" t="s">
        <v>10</v>
      </c>
    </row>
    <row r="154" spans="1:7" x14ac:dyDescent="0.3">
      <c r="A154">
        <v>152</v>
      </c>
      <c r="B154" t="s">
        <v>163</v>
      </c>
      <c r="C154" t="s">
        <v>8</v>
      </c>
      <c r="D154">
        <v>119</v>
      </c>
      <c r="E154">
        <v>91</v>
      </c>
      <c r="F154" t="s">
        <v>12</v>
      </c>
      <c r="G154" t="s">
        <v>10</v>
      </c>
    </row>
    <row r="155" spans="1:7" x14ac:dyDescent="0.3">
      <c r="A155">
        <v>153</v>
      </c>
      <c r="B155" t="s">
        <v>164</v>
      </c>
      <c r="C155" t="s">
        <v>14</v>
      </c>
      <c r="D155">
        <v>299</v>
      </c>
      <c r="E155">
        <v>169</v>
      </c>
      <c r="F155" t="s">
        <v>9</v>
      </c>
      <c r="G155" t="s">
        <v>10</v>
      </c>
    </row>
    <row r="156" spans="1:7" x14ac:dyDescent="0.3">
      <c r="A156">
        <v>154</v>
      </c>
      <c r="B156" t="s">
        <v>165</v>
      </c>
      <c r="C156" t="s">
        <v>17</v>
      </c>
      <c r="D156">
        <v>144</v>
      </c>
      <c r="E156">
        <v>118</v>
      </c>
      <c r="F156" t="s">
        <v>9</v>
      </c>
      <c r="G156" t="s">
        <v>20</v>
      </c>
    </row>
    <row r="157" spans="1:7" x14ac:dyDescent="0.3">
      <c r="A157">
        <v>155</v>
      </c>
      <c r="B157" t="s">
        <v>166</v>
      </c>
      <c r="C157" t="s">
        <v>8</v>
      </c>
      <c r="D157">
        <v>47</v>
      </c>
      <c r="E157">
        <v>34</v>
      </c>
      <c r="F157" t="s">
        <v>11</v>
      </c>
      <c r="G157" t="s">
        <v>10</v>
      </c>
    </row>
    <row r="158" spans="1:7" x14ac:dyDescent="0.3">
      <c r="A158">
        <v>156</v>
      </c>
      <c r="B158" t="s">
        <v>167</v>
      </c>
      <c r="C158" t="s">
        <v>28</v>
      </c>
      <c r="D158">
        <v>93</v>
      </c>
      <c r="E158">
        <v>86</v>
      </c>
      <c r="F158" t="s">
        <v>9</v>
      </c>
      <c r="G158" t="s">
        <v>18</v>
      </c>
    </row>
    <row r="159" spans="1:7" x14ac:dyDescent="0.3">
      <c r="A159">
        <v>157</v>
      </c>
      <c r="B159" t="s">
        <v>168</v>
      </c>
      <c r="C159" t="s">
        <v>169</v>
      </c>
      <c r="D159">
        <v>95</v>
      </c>
      <c r="E159">
        <v>65</v>
      </c>
      <c r="F159" t="s">
        <v>12</v>
      </c>
      <c r="G159" t="s">
        <v>10</v>
      </c>
    </row>
    <row r="160" spans="1:7" x14ac:dyDescent="0.3">
      <c r="A160">
        <v>158</v>
      </c>
      <c r="B160" t="s">
        <v>168</v>
      </c>
      <c r="C160" t="s">
        <v>169</v>
      </c>
      <c r="D160">
        <v>215</v>
      </c>
      <c r="E160">
        <v>149</v>
      </c>
      <c r="F160" t="s">
        <v>9</v>
      </c>
      <c r="G160" t="s">
        <v>10</v>
      </c>
    </row>
    <row r="161" spans="1:7" x14ac:dyDescent="0.3">
      <c r="A161">
        <v>159</v>
      </c>
      <c r="B161" t="s">
        <v>170</v>
      </c>
      <c r="C161" t="s">
        <v>8</v>
      </c>
      <c r="D161">
        <v>73</v>
      </c>
      <c r="E161">
        <v>54</v>
      </c>
      <c r="F161" t="s">
        <v>11</v>
      </c>
      <c r="G161" t="s">
        <v>10</v>
      </c>
    </row>
    <row r="162" spans="1:7" x14ac:dyDescent="0.3">
      <c r="A162">
        <v>160</v>
      </c>
      <c r="B162" t="s">
        <v>170</v>
      </c>
      <c r="C162" t="s">
        <v>8</v>
      </c>
      <c r="D162">
        <v>148</v>
      </c>
      <c r="E162">
        <v>100</v>
      </c>
      <c r="F162" t="s">
        <v>12</v>
      </c>
      <c r="G162" t="s">
        <v>10</v>
      </c>
    </row>
    <row r="163" spans="1:7" x14ac:dyDescent="0.3">
      <c r="A163">
        <v>161</v>
      </c>
      <c r="B163" t="s">
        <v>171</v>
      </c>
      <c r="C163" t="s">
        <v>28</v>
      </c>
      <c r="D163">
        <v>90</v>
      </c>
      <c r="E163">
        <v>83</v>
      </c>
      <c r="F163" t="s">
        <v>9</v>
      </c>
      <c r="G163" t="s">
        <v>20</v>
      </c>
    </row>
    <row r="164" spans="1:7" x14ac:dyDescent="0.3">
      <c r="A164">
        <v>162</v>
      </c>
      <c r="B164" t="s">
        <v>172</v>
      </c>
      <c r="C164" t="s">
        <v>38</v>
      </c>
      <c r="D164">
        <v>150</v>
      </c>
      <c r="E164">
        <v>94</v>
      </c>
      <c r="F164" t="s">
        <v>12</v>
      </c>
      <c r="G164" t="s">
        <v>10</v>
      </c>
    </row>
    <row r="165" spans="1:7" x14ac:dyDescent="0.3">
      <c r="A165">
        <v>163</v>
      </c>
      <c r="B165" t="s">
        <v>173</v>
      </c>
      <c r="C165" t="s">
        <v>38</v>
      </c>
      <c r="D165">
        <v>215</v>
      </c>
      <c r="E165">
        <v>124</v>
      </c>
      <c r="F165" t="s">
        <v>12</v>
      </c>
      <c r="G165" t="s">
        <v>10</v>
      </c>
    </row>
    <row r="166" spans="1:7" x14ac:dyDescent="0.3">
      <c r="A166">
        <v>164</v>
      </c>
      <c r="B166" t="s">
        <v>174</v>
      </c>
      <c r="C166" t="s">
        <v>28</v>
      </c>
      <c r="D166">
        <v>67</v>
      </c>
      <c r="E166">
        <v>62</v>
      </c>
      <c r="F166" t="s">
        <v>9</v>
      </c>
      <c r="G166" t="s">
        <v>20</v>
      </c>
    </row>
    <row r="167" spans="1:7" x14ac:dyDescent="0.3">
      <c r="A167">
        <v>165</v>
      </c>
      <c r="B167" t="s">
        <v>175</v>
      </c>
      <c r="C167" t="s">
        <v>78</v>
      </c>
      <c r="D167">
        <v>85</v>
      </c>
      <c r="E167">
        <v>59</v>
      </c>
      <c r="F167" t="s">
        <v>9</v>
      </c>
      <c r="G167" t="s">
        <v>20</v>
      </c>
    </row>
    <row r="168" spans="1:7" x14ac:dyDescent="0.3">
      <c r="A168">
        <v>166</v>
      </c>
      <c r="B168" t="s">
        <v>176</v>
      </c>
      <c r="C168" t="s">
        <v>28</v>
      </c>
      <c r="D168">
        <v>175</v>
      </c>
      <c r="E168">
        <v>162</v>
      </c>
      <c r="F168" t="s">
        <v>9</v>
      </c>
      <c r="G168" t="s">
        <v>20</v>
      </c>
    </row>
    <row r="169" spans="1:7" x14ac:dyDescent="0.3">
      <c r="A169">
        <v>167</v>
      </c>
      <c r="B169" t="s">
        <v>177</v>
      </c>
      <c r="C169" t="s">
        <v>106</v>
      </c>
      <c r="D169">
        <v>270</v>
      </c>
      <c r="E169">
        <v>135</v>
      </c>
      <c r="F169" t="s">
        <v>107</v>
      </c>
      <c r="G169" t="s">
        <v>10</v>
      </c>
    </row>
    <row r="170" spans="1:7" x14ac:dyDescent="0.3">
      <c r="A170">
        <v>168</v>
      </c>
      <c r="B170" t="s">
        <v>178</v>
      </c>
      <c r="C170" t="s">
        <v>36</v>
      </c>
      <c r="D170">
        <v>90</v>
      </c>
      <c r="E170">
        <v>75</v>
      </c>
      <c r="F170" t="s">
        <v>9</v>
      </c>
      <c r="G170" t="s">
        <v>20</v>
      </c>
    </row>
    <row r="171" spans="1:7" x14ac:dyDescent="0.3">
      <c r="A171">
        <v>169</v>
      </c>
      <c r="B171" t="s">
        <v>179</v>
      </c>
      <c r="C171" t="s">
        <v>14</v>
      </c>
      <c r="D171">
        <v>499</v>
      </c>
      <c r="E171">
        <v>299</v>
      </c>
      <c r="F171" t="s">
        <v>12</v>
      </c>
      <c r="G171" t="s">
        <v>10</v>
      </c>
    </row>
    <row r="172" spans="1:7" x14ac:dyDescent="0.3">
      <c r="A172">
        <v>170</v>
      </c>
      <c r="B172" t="s">
        <v>180</v>
      </c>
      <c r="C172" t="s">
        <v>8</v>
      </c>
      <c r="D172">
        <v>220</v>
      </c>
      <c r="E172">
        <v>172</v>
      </c>
      <c r="F172" t="s">
        <v>11</v>
      </c>
      <c r="G172" t="s">
        <v>10</v>
      </c>
    </row>
    <row r="173" spans="1:7" x14ac:dyDescent="0.3">
      <c r="A173">
        <v>171</v>
      </c>
      <c r="B173" t="s">
        <v>181</v>
      </c>
      <c r="C173" t="s">
        <v>17</v>
      </c>
      <c r="D173">
        <v>999</v>
      </c>
      <c r="E173">
        <v>499</v>
      </c>
      <c r="F173" t="s">
        <v>182</v>
      </c>
      <c r="G173" t="s">
        <v>10</v>
      </c>
    </row>
    <row r="174" spans="1:7" x14ac:dyDescent="0.3">
      <c r="A174">
        <v>172</v>
      </c>
      <c r="B174" t="s">
        <v>183</v>
      </c>
      <c r="C174" t="s">
        <v>17</v>
      </c>
      <c r="D174">
        <v>30</v>
      </c>
      <c r="E174">
        <v>25</v>
      </c>
      <c r="F174" t="s">
        <v>12</v>
      </c>
      <c r="G174" t="s">
        <v>18</v>
      </c>
    </row>
    <row r="175" spans="1:7" x14ac:dyDescent="0.3">
      <c r="A175">
        <v>173</v>
      </c>
      <c r="B175" t="s">
        <v>183</v>
      </c>
      <c r="C175" t="s">
        <v>17</v>
      </c>
      <c r="D175">
        <v>72</v>
      </c>
      <c r="E175">
        <v>59</v>
      </c>
      <c r="F175" t="s">
        <v>9</v>
      </c>
      <c r="G175" t="s">
        <v>18</v>
      </c>
    </row>
    <row r="176" spans="1:7" x14ac:dyDescent="0.3">
      <c r="A176">
        <v>174</v>
      </c>
      <c r="B176" t="s">
        <v>184</v>
      </c>
      <c r="C176" t="s">
        <v>14</v>
      </c>
      <c r="D176">
        <v>899</v>
      </c>
      <c r="E176">
        <v>529</v>
      </c>
      <c r="F176" t="s">
        <v>9</v>
      </c>
      <c r="G176" t="s">
        <v>10</v>
      </c>
    </row>
    <row r="177" spans="1:7" x14ac:dyDescent="0.3">
      <c r="A177">
        <v>175</v>
      </c>
      <c r="B177" t="s">
        <v>185</v>
      </c>
      <c r="C177" t="s">
        <v>17</v>
      </c>
      <c r="D177">
        <v>76</v>
      </c>
      <c r="E177">
        <v>65</v>
      </c>
      <c r="F177" t="s">
        <v>9</v>
      </c>
      <c r="G177" t="s">
        <v>20</v>
      </c>
    </row>
    <row r="178" spans="1:7" x14ac:dyDescent="0.3">
      <c r="A178">
        <v>176</v>
      </c>
      <c r="B178" t="s">
        <v>186</v>
      </c>
      <c r="C178" t="s">
        <v>30</v>
      </c>
      <c r="D178">
        <v>475</v>
      </c>
      <c r="E178">
        <v>349</v>
      </c>
      <c r="F178" t="s">
        <v>9</v>
      </c>
      <c r="G178" t="s">
        <v>10</v>
      </c>
    </row>
    <row r="179" spans="1:7" x14ac:dyDescent="0.3">
      <c r="A179">
        <v>177</v>
      </c>
      <c r="B179" t="s">
        <v>187</v>
      </c>
      <c r="C179" t="s">
        <v>38</v>
      </c>
      <c r="D179">
        <v>325</v>
      </c>
      <c r="E179">
        <v>260</v>
      </c>
      <c r="F179" t="s">
        <v>188</v>
      </c>
      <c r="G179" t="s">
        <v>10</v>
      </c>
    </row>
    <row r="180" spans="1:7" x14ac:dyDescent="0.3">
      <c r="A180">
        <v>178</v>
      </c>
      <c r="B180" t="s">
        <v>189</v>
      </c>
      <c r="C180" t="s">
        <v>28</v>
      </c>
      <c r="D180">
        <v>45</v>
      </c>
      <c r="E180">
        <v>41</v>
      </c>
      <c r="F180" t="s">
        <v>12</v>
      </c>
      <c r="G180" t="s">
        <v>18</v>
      </c>
    </row>
    <row r="181" spans="1:7" x14ac:dyDescent="0.3">
      <c r="A181">
        <v>179</v>
      </c>
      <c r="B181" t="s">
        <v>190</v>
      </c>
      <c r="C181" t="s">
        <v>28</v>
      </c>
      <c r="D181">
        <v>106</v>
      </c>
      <c r="E181">
        <v>98</v>
      </c>
      <c r="F181" t="s">
        <v>9</v>
      </c>
      <c r="G181" t="s">
        <v>20</v>
      </c>
    </row>
    <row r="182" spans="1:7" x14ac:dyDescent="0.3">
      <c r="A182">
        <v>180</v>
      </c>
      <c r="B182" t="s">
        <v>191</v>
      </c>
      <c r="C182" t="s">
        <v>17</v>
      </c>
      <c r="D182">
        <v>73</v>
      </c>
      <c r="E182">
        <v>60</v>
      </c>
      <c r="F182" t="s">
        <v>9</v>
      </c>
      <c r="G182" t="s">
        <v>20</v>
      </c>
    </row>
    <row r="183" spans="1:7" x14ac:dyDescent="0.3">
      <c r="A183">
        <v>181</v>
      </c>
      <c r="B183" t="s">
        <v>192</v>
      </c>
      <c r="C183" t="s">
        <v>17</v>
      </c>
      <c r="D183">
        <v>72</v>
      </c>
      <c r="E183">
        <v>60</v>
      </c>
      <c r="F183" t="s">
        <v>9</v>
      </c>
      <c r="G183" t="s">
        <v>18</v>
      </c>
    </row>
    <row r="184" spans="1:7" x14ac:dyDescent="0.3">
      <c r="A184">
        <v>182</v>
      </c>
      <c r="B184" t="s">
        <v>192</v>
      </c>
      <c r="C184" t="s">
        <v>17</v>
      </c>
      <c r="D184">
        <v>141</v>
      </c>
      <c r="E184">
        <v>120</v>
      </c>
      <c r="F184" t="s">
        <v>15</v>
      </c>
      <c r="G184" t="s">
        <v>18</v>
      </c>
    </row>
    <row r="185" spans="1:7" x14ac:dyDescent="0.3">
      <c r="A185">
        <v>183</v>
      </c>
      <c r="B185" t="s">
        <v>193</v>
      </c>
      <c r="C185" t="s">
        <v>28</v>
      </c>
      <c r="D185">
        <v>109</v>
      </c>
      <c r="E185">
        <v>101</v>
      </c>
      <c r="F185" t="s">
        <v>9</v>
      </c>
      <c r="G185" t="s">
        <v>20</v>
      </c>
    </row>
    <row r="186" spans="1:7" x14ac:dyDescent="0.3">
      <c r="A186">
        <v>184</v>
      </c>
      <c r="B186" t="s">
        <v>194</v>
      </c>
      <c r="C186" t="s">
        <v>8</v>
      </c>
      <c r="D186">
        <v>78</v>
      </c>
      <c r="E186">
        <v>61</v>
      </c>
      <c r="F186" t="s">
        <v>11</v>
      </c>
      <c r="G186" t="s">
        <v>10</v>
      </c>
    </row>
    <row r="187" spans="1:7" x14ac:dyDescent="0.3">
      <c r="A187">
        <v>185</v>
      </c>
      <c r="B187" t="s">
        <v>195</v>
      </c>
      <c r="C187" t="s">
        <v>8</v>
      </c>
      <c r="D187">
        <v>299</v>
      </c>
      <c r="E187">
        <v>200</v>
      </c>
      <c r="F187" t="s">
        <v>12</v>
      </c>
      <c r="G187" t="s">
        <v>10</v>
      </c>
    </row>
    <row r="188" spans="1:7" x14ac:dyDescent="0.3">
      <c r="A188">
        <v>186</v>
      </c>
      <c r="B188" t="s">
        <v>196</v>
      </c>
      <c r="C188" t="s">
        <v>70</v>
      </c>
      <c r="D188">
        <v>125</v>
      </c>
      <c r="E188">
        <v>116</v>
      </c>
      <c r="F188" t="s">
        <v>9</v>
      </c>
      <c r="G188" t="s">
        <v>20</v>
      </c>
    </row>
    <row r="189" spans="1:7" x14ac:dyDescent="0.3">
      <c r="A189">
        <v>187</v>
      </c>
      <c r="B189" t="s">
        <v>197</v>
      </c>
      <c r="C189" t="s">
        <v>17</v>
      </c>
      <c r="D189">
        <v>47</v>
      </c>
      <c r="E189">
        <v>41</v>
      </c>
      <c r="F189" t="s">
        <v>9</v>
      </c>
      <c r="G189" t="s">
        <v>18</v>
      </c>
    </row>
    <row r="190" spans="1:7" x14ac:dyDescent="0.3">
      <c r="A190">
        <v>188</v>
      </c>
      <c r="B190" t="s">
        <v>198</v>
      </c>
      <c r="C190" t="s">
        <v>17</v>
      </c>
      <c r="D190">
        <v>65</v>
      </c>
      <c r="E190">
        <v>54</v>
      </c>
      <c r="F190" t="s">
        <v>9</v>
      </c>
      <c r="G190" t="s">
        <v>20</v>
      </c>
    </row>
    <row r="191" spans="1:7" x14ac:dyDescent="0.3">
      <c r="A191">
        <v>189</v>
      </c>
      <c r="B191" t="s">
        <v>198</v>
      </c>
      <c r="C191" t="s">
        <v>17</v>
      </c>
      <c r="D191">
        <v>125</v>
      </c>
      <c r="E191">
        <v>106</v>
      </c>
      <c r="F191" t="s">
        <v>15</v>
      </c>
      <c r="G191" t="s">
        <v>20</v>
      </c>
    </row>
    <row r="192" spans="1:7" x14ac:dyDescent="0.3">
      <c r="A192">
        <v>190</v>
      </c>
      <c r="B192" t="s">
        <v>199</v>
      </c>
      <c r="C192" t="s">
        <v>8</v>
      </c>
      <c r="D192">
        <v>127</v>
      </c>
      <c r="E192">
        <v>98</v>
      </c>
      <c r="F192" t="s">
        <v>12</v>
      </c>
      <c r="G192" t="s">
        <v>10</v>
      </c>
    </row>
    <row r="193" spans="1:7" x14ac:dyDescent="0.3">
      <c r="A193">
        <v>191</v>
      </c>
      <c r="B193" t="s">
        <v>199</v>
      </c>
      <c r="C193" t="s">
        <v>8</v>
      </c>
      <c r="D193">
        <v>314</v>
      </c>
      <c r="E193">
        <v>244</v>
      </c>
      <c r="F193" t="s">
        <v>9</v>
      </c>
      <c r="G193" t="s">
        <v>10</v>
      </c>
    </row>
    <row r="194" spans="1:7" x14ac:dyDescent="0.3">
      <c r="A194">
        <v>192</v>
      </c>
      <c r="B194" t="s">
        <v>200</v>
      </c>
      <c r="C194" t="s">
        <v>14</v>
      </c>
      <c r="D194">
        <v>399</v>
      </c>
      <c r="E194">
        <v>259</v>
      </c>
      <c r="F194" t="s">
        <v>201</v>
      </c>
      <c r="G194" t="s">
        <v>10</v>
      </c>
    </row>
    <row r="195" spans="1:7" x14ac:dyDescent="0.3">
      <c r="A195">
        <v>193</v>
      </c>
      <c r="B195" t="s">
        <v>202</v>
      </c>
      <c r="C195" t="s">
        <v>28</v>
      </c>
      <c r="D195">
        <v>90</v>
      </c>
      <c r="E195">
        <v>83</v>
      </c>
      <c r="F195" t="s">
        <v>9</v>
      </c>
      <c r="G195" t="s">
        <v>20</v>
      </c>
    </row>
    <row r="196" spans="1:7" x14ac:dyDescent="0.3">
      <c r="A196">
        <v>194</v>
      </c>
      <c r="B196" t="s">
        <v>203</v>
      </c>
      <c r="C196" t="s">
        <v>38</v>
      </c>
      <c r="D196">
        <v>199</v>
      </c>
      <c r="E196">
        <v>139</v>
      </c>
      <c r="F196" t="s">
        <v>12</v>
      </c>
      <c r="G196" t="s">
        <v>10</v>
      </c>
    </row>
    <row r="197" spans="1:7" x14ac:dyDescent="0.3">
      <c r="A197">
        <v>195</v>
      </c>
      <c r="B197" t="s">
        <v>204</v>
      </c>
      <c r="C197" t="s">
        <v>38</v>
      </c>
      <c r="D197">
        <v>250</v>
      </c>
      <c r="E197">
        <v>231</v>
      </c>
      <c r="F197" t="s">
        <v>12</v>
      </c>
      <c r="G197" t="s">
        <v>10</v>
      </c>
    </row>
    <row r="198" spans="1:7" x14ac:dyDescent="0.3">
      <c r="A198">
        <v>196</v>
      </c>
      <c r="B198" t="s">
        <v>205</v>
      </c>
      <c r="C198" t="s">
        <v>106</v>
      </c>
      <c r="D198">
        <v>225</v>
      </c>
      <c r="E198">
        <v>160</v>
      </c>
      <c r="F198" t="s">
        <v>12</v>
      </c>
      <c r="G198" t="s">
        <v>10</v>
      </c>
    </row>
    <row r="199" spans="1:7" x14ac:dyDescent="0.3">
      <c r="A199">
        <v>197</v>
      </c>
      <c r="B199" t="s">
        <v>206</v>
      </c>
      <c r="C199" t="s">
        <v>106</v>
      </c>
      <c r="D199">
        <v>205</v>
      </c>
      <c r="E199">
        <v>119</v>
      </c>
      <c r="F199" t="s">
        <v>12</v>
      </c>
      <c r="G199" t="s">
        <v>10</v>
      </c>
    </row>
    <row r="200" spans="1:7" x14ac:dyDescent="0.3">
      <c r="A200">
        <v>198</v>
      </c>
      <c r="B200" t="s">
        <v>207</v>
      </c>
      <c r="C200" t="s">
        <v>106</v>
      </c>
      <c r="D200">
        <v>299</v>
      </c>
      <c r="E200">
        <v>199</v>
      </c>
      <c r="F200" t="s">
        <v>11</v>
      </c>
      <c r="G200" t="s">
        <v>10</v>
      </c>
    </row>
    <row r="201" spans="1:7" x14ac:dyDescent="0.3">
      <c r="A201">
        <v>199</v>
      </c>
      <c r="B201" t="s">
        <v>208</v>
      </c>
      <c r="C201" t="s">
        <v>106</v>
      </c>
      <c r="D201">
        <v>149</v>
      </c>
      <c r="E201">
        <v>99</v>
      </c>
      <c r="F201" t="s">
        <v>11</v>
      </c>
      <c r="G201" t="s">
        <v>10</v>
      </c>
    </row>
    <row r="202" spans="1:7" x14ac:dyDescent="0.3">
      <c r="A202">
        <v>200</v>
      </c>
      <c r="B202" t="s">
        <v>209</v>
      </c>
      <c r="C202" t="s">
        <v>17</v>
      </c>
      <c r="D202">
        <v>61</v>
      </c>
      <c r="E202">
        <v>51</v>
      </c>
      <c r="F202" t="s">
        <v>9</v>
      </c>
      <c r="G202" t="s">
        <v>20</v>
      </c>
    </row>
    <row r="203" spans="1:7" x14ac:dyDescent="0.3">
      <c r="A203">
        <v>201</v>
      </c>
      <c r="B203" t="s">
        <v>210</v>
      </c>
      <c r="C203" t="s">
        <v>17</v>
      </c>
      <c r="D203">
        <v>72</v>
      </c>
      <c r="E203">
        <v>60</v>
      </c>
      <c r="F203" t="s">
        <v>9</v>
      </c>
      <c r="G203" t="s">
        <v>20</v>
      </c>
    </row>
    <row r="204" spans="1:7" x14ac:dyDescent="0.3">
      <c r="A204">
        <v>202</v>
      </c>
      <c r="B204" t="s">
        <v>211</v>
      </c>
      <c r="C204" t="s">
        <v>28</v>
      </c>
      <c r="D204">
        <v>109</v>
      </c>
      <c r="E204">
        <v>101</v>
      </c>
      <c r="F204" t="s">
        <v>9</v>
      </c>
      <c r="G204" t="s">
        <v>20</v>
      </c>
    </row>
    <row r="205" spans="1:7" x14ac:dyDescent="0.3">
      <c r="A205">
        <v>203</v>
      </c>
      <c r="B205" t="s">
        <v>212</v>
      </c>
      <c r="C205" t="s">
        <v>17</v>
      </c>
      <c r="D205">
        <v>51</v>
      </c>
      <c r="E205">
        <v>45</v>
      </c>
      <c r="F205" t="s">
        <v>9</v>
      </c>
      <c r="G205" t="s">
        <v>20</v>
      </c>
    </row>
    <row r="206" spans="1:7" x14ac:dyDescent="0.3">
      <c r="A206">
        <v>204</v>
      </c>
      <c r="B206" t="s">
        <v>213</v>
      </c>
      <c r="C206" t="s">
        <v>28</v>
      </c>
      <c r="D206">
        <v>129</v>
      </c>
      <c r="E206">
        <v>119</v>
      </c>
      <c r="F206" t="s">
        <v>9</v>
      </c>
      <c r="G206" t="s">
        <v>20</v>
      </c>
    </row>
    <row r="207" spans="1:7" x14ac:dyDescent="0.3">
      <c r="A207">
        <v>205</v>
      </c>
      <c r="B207" t="s">
        <v>214</v>
      </c>
      <c r="C207" t="s">
        <v>30</v>
      </c>
      <c r="D207">
        <v>221</v>
      </c>
      <c r="E207">
        <v>160</v>
      </c>
      <c r="F207" t="s">
        <v>11</v>
      </c>
      <c r="G207" t="s">
        <v>10</v>
      </c>
    </row>
    <row r="208" spans="1:7" x14ac:dyDescent="0.3">
      <c r="A208">
        <v>206</v>
      </c>
      <c r="B208" t="s">
        <v>215</v>
      </c>
      <c r="C208" t="s">
        <v>8</v>
      </c>
      <c r="D208">
        <v>229</v>
      </c>
      <c r="E208">
        <v>162</v>
      </c>
      <c r="F208" t="s">
        <v>11</v>
      </c>
      <c r="G208" t="s">
        <v>10</v>
      </c>
    </row>
    <row r="209" spans="1:7" x14ac:dyDescent="0.3">
      <c r="A209">
        <v>207</v>
      </c>
      <c r="B209" t="s">
        <v>215</v>
      </c>
      <c r="C209" t="s">
        <v>8</v>
      </c>
      <c r="D209">
        <v>120</v>
      </c>
      <c r="E209">
        <v>88</v>
      </c>
      <c r="F209" t="s">
        <v>216</v>
      </c>
      <c r="G209" t="s">
        <v>10</v>
      </c>
    </row>
    <row r="210" spans="1:7" x14ac:dyDescent="0.3">
      <c r="A210">
        <v>208</v>
      </c>
      <c r="B210" t="s">
        <v>217</v>
      </c>
      <c r="C210" t="s">
        <v>28</v>
      </c>
      <c r="D210">
        <v>70</v>
      </c>
      <c r="E210">
        <v>65</v>
      </c>
      <c r="F210" t="s">
        <v>9</v>
      </c>
      <c r="G210" t="s">
        <v>20</v>
      </c>
    </row>
    <row r="211" spans="1:7" x14ac:dyDescent="0.3">
      <c r="A211">
        <v>209</v>
      </c>
      <c r="B211" t="s">
        <v>218</v>
      </c>
      <c r="C211" t="s">
        <v>17</v>
      </c>
      <c r="D211">
        <v>99</v>
      </c>
      <c r="E211">
        <v>82</v>
      </c>
      <c r="F211" t="s">
        <v>11</v>
      </c>
      <c r="G211" t="s">
        <v>10</v>
      </c>
    </row>
    <row r="212" spans="1:7" x14ac:dyDescent="0.3">
      <c r="A212">
        <v>210</v>
      </c>
      <c r="B212" t="s">
        <v>218</v>
      </c>
      <c r="C212" t="s">
        <v>17</v>
      </c>
      <c r="D212">
        <v>193</v>
      </c>
      <c r="E212">
        <v>170</v>
      </c>
      <c r="F212" t="s">
        <v>12</v>
      </c>
      <c r="G212" t="s">
        <v>10</v>
      </c>
    </row>
    <row r="213" spans="1:7" x14ac:dyDescent="0.3">
      <c r="A213">
        <v>211</v>
      </c>
      <c r="B213" t="s">
        <v>219</v>
      </c>
      <c r="C213" t="s">
        <v>17</v>
      </c>
      <c r="D213">
        <v>82</v>
      </c>
      <c r="E213">
        <v>66</v>
      </c>
      <c r="F213" t="s">
        <v>9</v>
      </c>
      <c r="G213" t="s">
        <v>20</v>
      </c>
    </row>
    <row r="214" spans="1:7" x14ac:dyDescent="0.3">
      <c r="A214">
        <v>212</v>
      </c>
      <c r="B214" t="s">
        <v>219</v>
      </c>
      <c r="C214" t="s">
        <v>17</v>
      </c>
      <c r="D214">
        <v>161</v>
      </c>
      <c r="E214">
        <v>131</v>
      </c>
      <c r="F214" t="s">
        <v>15</v>
      </c>
      <c r="G214" t="s">
        <v>20</v>
      </c>
    </row>
    <row r="215" spans="1:7" x14ac:dyDescent="0.3">
      <c r="A215">
        <v>213</v>
      </c>
      <c r="B215" t="s">
        <v>220</v>
      </c>
      <c r="C215" t="s">
        <v>17</v>
      </c>
      <c r="D215">
        <v>113</v>
      </c>
      <c r="E215">
        <v>91</v>
      </c>
      <c r="F215" t="s">
        <v>9</v>
      </c>
      <c r="G215" t="s">
        <v>20</v>
      </c>
    </row>
    <row r="216" spans="1:7" x14ac:dyDescent="0.3">
      <c r="A216">
        <v>214</v>
      </c>
      <c r="B216" t="s">
        <v>221</v>
      </c>
      <c r="C216" t="s">
        <v>222</v>
      </c>
      <c r="D216">
        <v>130</v>
      </c>
      <c r="E216">
        <v>99</v>
      </c>
      <c r="F216" t="s">
        <v>11</v>
      </c>
      <c r="G216" t="s">
        <v>10</v>
      </c>
    </row>
    <row r="217" spans="1:7" x14ac:dyDescent="0.3">
      <c r="A217">
        <v>215</v>
      </c>
      <c r="B217" t="s">
        <v>223</v>
      </c>
      <c r="C217" t="s">
        <v>17</v>
      </c>
      <c r="D217">
        <v>65</v>
      </c>
      <c r="E217">
        <v>53</v>
      </c>
      <c r="F217" t="s">
        <v>9</v>
      </c>
      <c r="G217" t="s">
        <v>20</v>
      </c>
    </row>
    <row r="218" spans="1:7" x14ac:dyDescent="0.3">
      <c r="A218">
        <v>216</v>
      </c>
      <c r="B218" t="s">
        <v>224</v>
      </c>
      <c r="C218" t="s">
        <v>17</v>
      </c>
      <c r="D218">
        <v>131</v>
      </c>
      <c r="E218">
        <v>102</v>
      </c>
      <c r="F218" t="s">
        <v>9</v>
      </c>
      <c r="G218" t="s">
        <v>20</v>
      </c>
    </row>
    <row r="219" spans="1:7" x14ac:dyDescent="0.3">
      <c r="A219">
        <v>217</v>
      </c>
      <c r="B219" t="s">
        <v>225</v>
      </c>
      <c r="C219" t="s">
        <v>17</v>
      </c>
      <c r="D219">
        <v>62</v>
      </c>
      <c r="E219">
        <v>56</v>
      </c>
      <c r="F219" t="s">
        <v>9</v>
      </c>
      <c r="G219" t="s">
        <v>20</v>
      </c>
    </row>
    <row r="220" spans="1:7" x14ac:dyDescent="0.3">
      <c r="A220">
        <v>218</v>
      </c>
      <c r="B220" t="s">
        <v>226</v>
      </c>
      <c r="C220" t="s">
        <v>28</v>
      </c>
      <c r="D220">
        <v>129</v>
      </c>
      <c r="E220">
        <v>119</v>
      </c>
      <c r="F220" t="s">
        <v>9</v>
      </c>
      <c r="G220" t="s">
        <v>20</v>
      </c>
    </row>
    <row r="221" spans="1:7" x14ac:dyDescent="0.3">
      <c r="A221">
        <v>219</v>
      </c>
      <c r="B221" t="s">
        <v>227</v>
      </c>
      <c r="C221" t="s">
        <v>28</v>
      </c>
      <c r="D221">
        <v>214</v>
      </c>
      <c r="E221">
        <v>199</v>
      </c>
      <c r="F221" t="s">
        <v>9</v>
      </c>
      <c r="G221" t="s">
        <v>20</v>
      </c>
    </row>
    <row r="222" spans="1:7" x14ac:dyDescent="0.3">
      <c r="A222">
        <v>220</v>
      </c>
      <c r="B222" t="s">
        <v>228</v>
      </c>
      <c r="C222" t="s">
        <v>17</v>
      </c>
      <c r="D222">
        <v>71</v>
      </c>
      <c r="E222">
        <v>59</v>
      </c>
      <c r="F222" t="s">
        <v>9</v>
      </c>
      <c r="G222" t="s">
        <v>20</v>
      </c>
    </row>
    <row r="223" spans="1:7" x14ac:dyDescent="0.3">
      <c r="A223">
        <v>221</v>
      </c>
      <c r="B223" t="s">
        <v>229</v>
      </c>
      <c r="C223" t="s">
        <v>17</v>
      </c>
      <c r="D223">
        <v>89</v>
      </c>
      <c r="E223">
        <v>76</v>
      </c>
      <c r="F223" t="s">
        <v>9</v>
      </c>
      <c r="G223" t="s">
        <v>20</v>
      </c>
    </row>
    <row r="224" spans="1:7" x14ac:dyDescent="0.3">
      <c r="A224">
        <v>222</v>
      </c>
      <c r="B224" t="s">
        <v>230</v>
      </c>
      <c r="C224" t="s">
        <v>28</v>
      </c>
      <c r="D224">
        <v>97</v>
      </c>
      <c r="E224">
        <v>90</v>
      </c>
      <c r="F224" t="s">
        <v>216</v>
      </c>
      <c r="G224" t="s">
        <v>10</v>
      </c>
    </row>
    <row r="225" spans="1:7" x14ac:dyDescent="0.3">
      <c r="A225">
        <v>223</v>
      </c>
      <c r="B225" t="s">
        <v>231</v>
      </c>
      <c r="C225" t="s">
        <v>17</v>
      </c>
      <c r="D225">
        <v>87</v>
      </c>
      <c r="E225">
        <v>81</v>
      </c>
      <c r="F225" t="s">
        <v>9</v>
      </c>
      <c r="G225" t="s">
        <v>20</v>
      </c>
    </row>
    <row r="226" spans="1:7" x14ac:dyDescent="0.3">
      <c r="A226">
        <v>224</v>
      </c>
      <c r="B226" t="s">
        <v>232</v>
      </c>
      <c r="C226" t="s">
        <v>28</v>
      </c>
      <c r="D226">
        <v>182</v>
      </c>
      <c r="E226">
        <v>169</v>
      </c>
      <c r="F226" t="s">
        <v>9</v>
      </c>
      <c r="G226" t="s">
        <v>20</v>
      </c>
    </row>
    <row r="227" spans="1:7" x14ac:dyDescent="0.3">
      <c r="A227">
        <v>225</v>
      </c>
      <c r="B227" t="s">
        <v>233</v>
      </c>
      <c r="C227" t="s">
        <v>38</v>
      </c>
      <c r="D227">
        <v>355</v>
      </c>
      <c r="E227">
        <v>303</v>
      </c>
      <c r="F227" t="s">
        <v>12</v>
      </c>
      <c r="G227" t="s">
        <v>10</v>
      </c>
    </row>
    <row r="228" spans="1:7" x14ac:dyDescent="0.3">
      <c r="A228">
        <v>226</v>
      </c>
      <c r="B228" t="s">
        <v>234</v>
      </c>
      <c r="C228" t="s">
        <v>8</v>
      </c>
      <c r="D228">
        <v>162</v>
      </c>
      <c r="E228">
        <v>124</v>
      </c>
      <c r="F228" t="s">
        <v>11</v>
      </c>
      <c r="G228" t="s">
        <v>10</v>
      </c>
    </row>
    <row r="229" spans="1:7" x14ac:dyDescent="0.3">
      <c r="A229">
        <v>227</v>
      </c>
      <c r="B229" t="s">
        <v>235</v>
      </c>
      <c r="C229" t="s">
        <v>17</v>
      </c>
      <c r="D229">
        <v>62</v>
      </c>
      <c r="E229">
        <v>48</v>
      </c>
      <c r="F229" t="s">
        <v>9</v>
      </c>
      <c r="G229" t="s">
        <v>20</v>
      </c>
    </row>
    <row r="230" spans="1:7" x14ac:dyDescent="0.3">
      <c r="A230">
        <v>228</v>
      </c>
      <c r="B230" t="s">
        <v>236</v>
      </c>
      <c r="C230" t="s">
        <v>106</v>
      </c>
      <c r="D230">
        <v>495</v>
      </c>
      <c r="E230">
        <v>370</v>
      </c>
      <c r="F230" t="s">
        <v>107</v>
      </c>
      <c r="G230" t="s">
        <v>10</v>
      </c>
    </row>
    <row r="231" spans="1:7" x14ac:dyDescent="0.3">
      <c r="A231">
        <v>229</v>
      </c>
      <c r="B231" t="s">
        <v>237</v>
      </c>
      <c r="C231" t="s">
        <v>14</v>
      </c>
      <c r="D231">
        <v>449</v>
      </c>
      <c r="E231">
        <v>249</v>
      </c>
      <c r="F231" t="s">
        <v>107</v>
      </c>
      <c r="G231" t="s">
        <v>10</v>
      </c>
    </row>
    <row r="232" spans="1:7" x14ac:dyDescent="0.3">
      <c r="A232">
        <v>230</v>
      </c>
      <c r="B232" t="s">
        <v>238</v>
      </c>
      <c r="C232" t="s">
        <v>8</v>
      </c>
      <c r="D232">
        <v>107</v>
      </c>
      <c r="E232">
        <v>88</v>
      </c>
      <c r="F232" t="s">
        <v>9</v>
      </c>
      <c r="G232" t="s">
        <v>20</v>
      </c>
    </row>
    <row r="233" spans="1:7" x14ac:dyDescent="0.3">
      <c r="A233">
        <v>231</v>
      </c>
      <c r="B233" t="s">
        <v>238</v>
      </c>
      <c r="C233" t="s">
        <v>8</v>
      </c>
      <c r="D233">
        <v>215</v>
      </c>
      <c r="E233">
        <v>179</v>
      </c>
      <c r="F233" t="s">
        <v>15</v>
      </c>
      <c r="G233" t="s">
        <v>20</v>
      </c>
    </row>
    <row r="234" spans="1:7" x14ac:dyDescent="0.3">
      <c r="A234">
        <v>232</v>
      </c>
      <c r="B234" t="s">
        <v>239</v>
      </c>
      <c r="C234" t="s">
        <v>28</v>
      </c>
      <c r="D234">
        <v>119</v>
      </c>
      <c r="E234">
        <v>101</v>
      </c>
      <c r="F234" t="s">
        <v>9</v>
      </c>
      <c r="G234" t="s">
        <v>240</v>
      </c>
    </row>
    <row r="235" spans="1:7" x14ac:dyDescent="0.3">
      <c r="A235">
        <v>233</v>
      </c>
      <c r="B235" t="s">
        <v>241</v>
      </c>
      <c r="C235" t="s">
        <v>70</v>
      </c>
      <c r="D235">
        <v>145</v>
      </c>
      <c r="E235">
        <v>120</v>
      </c>
      <c r="F235" t="s">
        <v>9</v>
      </c>
      <c r="G235" t="s">
        <v>20</v>
      </c>
    </row>
    <row r="236" spans="1:7" x14ac:dyDescent="0.3">
      <c r="A236">
        <v>234</v>
      </c>
      <c r="B236" t="s">
        <v>242</v>
      </c>
      <c r="C236" t="s">
        <v>78</v>
      </c>
      <c r="D236">
        <v>145</v>
      </c>
      <c r="E236">
        <v>102</v>
      </c>
      <c r="F236" t="s">
        <v>9</v>
      </c>
      <c r="G236" t="s">
        <v>20</v>
      </c>
    </row>
    <row r="237" spans="1:7" x14ac:dyDescent="0.3">
      <c r="A237">
        <v>235</v>
      </c>
      <c r="B237" t="s">
        <v>243</v>
      </c>
      <c r="C237" t="s">
        <v>8</v>
      </c>
      <c r="D237">
        <v>56</v>
      </c>
      <c r="E237">
        <v>45</v>
      </c>
      <c r="F237" t="s">
        <v>15</v>
      </c>
      <c r="G237" t="s">
        <v>244</v>
      </c>
    </row>
    <row r="238" spans="1:7" x14ac:dyDescent="0.3">
      <c r="A238">
        <v>236</v>
      </c>
      <c r="B238" t="s">
        <v>243</v>
      </c>
      <c r="C238" t="s">
        <v>8</v>
      </c>
      <c r="D238">
        <v>271</v>
      </c>
      <c r="E238">
        <v>224</v>
      </c>
      <c r="F238" t="s">
        <v>96</v>
      </c>
      <c r="G238" t="s">
        <v>244</v>
      </c>
    </row>
    <row r="239" spans="1:7" x14ac:dyDescent="0.3">
      <c r="A239">
        <v>237</v>
      </c>
      <c r="B239" t="s">
        <v>245</v>
      </c>
      <c r="C239" t="s">
        <v>8</v>
      </c>
      <c r="D239">
        <v>575</v>
      </c>
      <c r="E239">
        <v>535</v>
      </c>
      <c r="F239" t="s">
        <v>246</v>
      </c>
      <c r="G239" t="s">
        <v>247</v>
      </c>
    </row>
    <row r="240" spans="1:7" x14ac:dyDescent="0.3">
      <c r="A240">
        <v>238</v>
      </c>
      <c r="B240" t="s">
        <v>248</v>
      </c>
      <c r="C240" t="s">
        <v>8</v>
      </c>
      <c r="D240">
        <v>64</v>
      </c>
      <c r="E240">
        <v>52</v>
      </c>
      <c r="F240" t="s">
        <v>15</v>
      </c>
      <c r="G240" t="s">
        <v>249</v>
      </c>
    </row>
    <row r="241" spans="1:7" x14ac:dyDescent="0.3">
      <c r="A241">
        <v>239</v>
      </c>
      <c r="B241" t="s">
        <v>248</v>
      </c>
      <c r="C241" t="s">
        <v>8</v>
      </c>
      <c r="D241">
        <v>33</v>
      </c>
      <c r="E241">
        <v>27</v>
      </c>
      <c r="F241" t="s">
        <v>9</v>
      </c>
      <c r="G241" t="s">
        <v>249</v>
      </c>
    </row>
    <row r="242" spans="1:7" x14ac:dyDescent="0.3">
      <c r="A242">
        <v>240</v>
      </c>
      <c r="B242" t="s">
        <v>250</v>
      </c>
      <c r="C242" t="s">
        <v>8</v>
      </c>
      <c r="D242">
        <v>48</v>
      </c>
      <c r="E242">
        <v>38</v>
      </c>
      <c r="F242" t="s">
        <v>11</v>
      </c>
      <c r="G242" t="s">
        <v>240</v>
      </c>
    </row>
    <row r="243" spans="1:7" x14ac:dyDescent="0.3">
      <c r="A243">
        <v>241</v>
      </c>
      <c r="B243" t="s">
        <v>250</v>
      </c>
      <c r="C243" t="s">
        <v>8</v>
      </c>
      <c r="D243">
        <v>92</v>
      </c>
      <c r="E243">
        <v>75</v>
      </c>
      <c r="F243" t="s">
        <v>12</v>
      </c>
      <c r="G243" t="s">
        <v>240</v>
      </c>
    </row>
    <row r="244" spans="1:7" x14ac:dyDescent="0.3">
      <c r="A244">
        <v>242</v>
      </c>
      <c r="B244" t="s">
        <v>250</v>
      </c>
      <c r="C244" t="s">
        <v>8</v>
      </c>
      <c r="D244">
        <v>217</v>
      </c>
      <c r="E244">
        <v>168</v>
      </c>
      <c r="F244" t="s">
        <v>9</v>
      </c>
      <c r="G244" t="s">
        <v>240</v>
      </c>
    </row>
    <row r="245" spans="1:7" x14ac:dyDescent="0.3">
      <c r="A245">
        <v>243</v>
      </c>
      <c r="B245" t="s">
        <v>251</v>
      </c>
      <c r="C245" t="s">
        <v>8</v>
      </c>
      <c r="D245">
        <v>52</v>
      </c>
      <c r="E245">
        <v>42</v>
      </c>
      <c r="F245" t="s">
        <v>9</v>
      </c>
      <c r="G245" t="s">
        <v>252</v>
      </c>
    </row>
    <row r="246" spans="1:7" x14ac:dyDescent="0.3">
      <c r="A246">
        <v>244</v>
      </c>
      <c r="B246" t="s">
        <v>251</v>
      </c>
      <c r="C246" t="s">
        <v>8</v>
      </c>
      <c r="D246">
        <v>114</v>
      </c>
      <c r="E246">
        <v>75</v>
      </c>
      <c r="F246" t="s">
        <v>15</v>
      </c>
      <c r="G246" t="s">
        <v>252</v>
      </c>
    </row>
    <row r="247" spans="1:7" x14ac:dyDescent="0.3">
      <c r="A247">
        <v>245</v>
      </c>
      <c r="B247" t="s">
        <v>253</v>
      </c>
      <c r="C247" t="s">
        <v>17</v>
      </c>
      <c r="D247">
        <v>80</v>
      </c>
      <c r="E247">
        <v>59</v>
      </c>
      <c r="F247" t="s">
        <v>254</v>
      </c>
      <c r="G247" t="s">
        <v>244</v>
      </c>
    </row>
    <row r="248" spans="1:7" x14ac:dyDescent="0.3">
      <c r="A248">
        <v>246</v>
      </c>
      <c r="B248" t="s">
        <v>255</v>
      </c>
      <c r="C248" t="s">
        <v>8</v>
      </c>
      <c r="D248">
        <v>55</v>
      </c>
      <c r="E248">
        <v>47</v>
      </c>
      <c r="F248" t="s">
        <v>256</v>
      </c>
      <c r="G248" t="s">
        <v>240</v>
      </c>
    </row>
    <row r="249" spans="1:7" x14ac:dyDescent="0.3">
      <c r="A249">
        <v>247</v>
      </c>
      <c r="B249" t="s">
        <v>255</v>
      </c>
      <c r="C249" t="s">
        <v>8</v>
      </c>
      <c r="D249">
        <v>130</v>
      </c>
      <c r="E249">
        <v>118</v>
      </c>
      <c r="F249" t="s">
        <v>216</v>
      </c>
      <c r="G249" t="s">
        <v>240</v>
      </c>
    </row>
    <row r="250" spans="1:7" x14ac:dyDescent="0.3">
      <c r="A250">
        <v>248</v>
      </c>
      <c r="B250" t="s">
        <v>257</v>
      </c>
      <c r="C250" t="s">
        <v>8</v>
      </c>
      <c r="D250">
        <v>93</v>
      </c>
      <c r="E250">
        <v>73</v>
      </c>
      <c r="F250" t="s">
        <v>12</v>
      </c>
      <c r="G250" t="s">
        <v>240</v>
      </c>
    </row>
    <row r="251" spans="1:7" x14ac:dyDescent="0.3">
      <c r="A251">
        <v>249</v>
      </c>
      <c r="B251" t="s">
        <v>257</v>
      </c>
      <c r="C251" t="s">
        <v>8</v>
      </c>
      <c r="D251">
        <v>195</v>
      </c>
      <c r="E251">
        <v>149</v>
      </c>
      <c r="F251" t="s">
        <v>9</v>
      </c>
      <c r="G251" t="s">
        <v>240</v>
      </c>
    </row>
    <row r="252" spans="1:7" x14ac:dyDescent="0.3">
      <c r="A252">
        <v>250</v>
      </c>
      <c r="B252" t="s">
        <v>258</v>
      </c>
      <c r="C252" t="s">
        <v>259</v>
      </c>
      <c r="D252">
        <v>100</v>
      </c>
      <c r="E252">
        <v>95</v>
      </c>
      <c r="F252" t="s">
        <v>254</v>
      </c>
      <c r="G252" t="s">
        <v>244</v>
      </c>
    </row>
    <row r="253" spans="1:7" x14ac:dyDescent="0.3">
      <c r="A253">
        <v>251</v>
      </c>
      <c r="B253" t="s">
        <v>260</v>
      </c>
      <c r="C253" t="s">
        <v>8</v>
      </c>
      <c r="D253">
        <v>112</v>
      </c>
      <c r="E253">
        <v>89</v>
      </c>
      <c r="F253" t="s">
        <v>11</v>
      </c>
      <c r="G253" t="s">
        <v>240</v>
      </c>
    </row>
    <row r="254" spans="1:7" x14ac:dyDescent="0.3">
      <c r="A254">
        <v>252</v>
      </c>
      <c r="B254" t="s">
        <v>260</v>
      </c>
      <c r="C254" t="s">
        <v>8</v>
      </c>
      <c r="D254">
        <v>60</v>
      </c>
      <c r="E254">
        <v>49</v>
      </c>
      <c r="F254" t="s">
        <v>216</v>
      </c>
      <c r="G254" t="s">
        <v>240</v>
      </c>
    </row>
    <row r="255" spans="1:7" x14ac:dyDescent="0.3">
      <c r="A255">
        <v>253</v>
      </c>
      <c r="B255" t="s">
        <v>260</v>
      </c>
      <c r="C255" t="s">
        <v>8</v>
      </c>
      <c r="D255">
        <v>220</v>
      </c>
      <c r="E255">
        <v>169</v>
      </c>
      <c r="F255" t="s">
        <v>12</v>
      </c>
      <c r="G255" t="s">
        <v>240</v>
      </c>
    </row>
    <row r="256" spans="1:7" x14ac:dyDescent="0.3">
      <c r="A256">
        <v>254</v>
      </c>
      <c r="B256" t="s">
        <v>261</v>
      </c>
      <c r="C256" t="s">
        <v>8</v>
      </c>
      <c r="D256">
        <v>74</v>
      </c>
      <c r="E256">
        <v>61</v>
      </c>
      <c r="F256" t="s">
        <v>12</v>
      </c>
      <c r="G256" t="s">
        <v>240</v>
      </c>
    </row>
    <row r="257" spans="1:7" x14ac:dyDescent="0.3">
      <c r="A257">
        <v>255</v>
      </c>
      <c r="B257" t="s">
        <v>261</v>
      </c>
      <c r="C257" t="s">
        <v>8</v>
      </c>
      <c r="D257">
        <v>144</v>
      </c>
      <c r="E257">
        <v>115</v>
      </c>
      <c r="F257" t="s">
        <v>76</v>
      </c>
      <c r="G257" t="s">
        <v>240</v>
      </c>
    </row>
    <row r="258" spans="1:7" x14ac:dyDescent="0.3">
      <c r="A258">
        <v>256</v>
      </c>
      <c r="B258" t="s">
        <v>262</v>
      </c>
      <c r="C258" t="s">
        <v>8</v>
      </c>
      <c r="D258">
        <v>60</v>
      </c>
      <c r="E258">
        <v>49</v>
      </c>
      <c r="F258" t="s">
        <v>11</v>
      </c>
      <c r="G258" t="s">
        <v>240</v>
      </c>
    </row>
    <row r="259" spans="1:7" x14ac:dyDescent="0.3">
      <c r="A259">
        <v>257</v>
      </c>
      <c r="B259" t="s">
        <v>262</v>
      </c>
      <c r="C259" t="s">
        <v>8</v>
      </c>
      <c r="D259">
        <v>113</v>
      </c>
      <c r="E259">
        <v>88</v>
      </c>
      <c r="F259" t="s">
        <v>12</v>
      </c>
      <c r="G259" t="s">
        <v>240</v>
      </c>
    </row>
    <row r="260" spans="1:7" x14ac:dyDescent="0.3">
      <c r="A260">
        <v>258</v>
      </c>
      <c r="B260" t="s">
        <v>262</v>
      </c>
      <c r="C260" t="s">
        <v>8</v>
      </c>
      <c r="D260">
        <v>275</v>
      </c>
      <c r="E260">
        <v>225</v>
      </c>
      <c r="F260" t="s">
        <v>9</v>
      </c>
      <c r="G260" t="s">
        <v>240</v>
      </c>
    </row>
    <row r="261" spans="1:7" x14ac:dyDescent="0.3">
      <c r="A261">
        <v>259</v>
      </c>
      <c r="B261" t="s">
        <v>263</v>
      </c>
      <c r="C261" t="s">
        <v>8</v>
      </c>
      <c r="D261">
        <v>44</v>
      </c>
      <c r="E261">
        <v>35</v>
      </c>
      <c r="F261" t="s">
        <v>11</v>
      </c>
      <c r="G261" t="s">
        <v>240</v>
      </c>
    </row>
    <row r="262" spans="1:7" x14ac:dyDescent="0.3">
      <c r="A262">
        <v>260</v>
      </c>
      <c r="B262" t="s">
        <v>263</v>
      </c>
      <c r="C262" t="s">
        <v>8</v>
      </c>
      <c r="D262">
        <v>84</v>
      </c>
      <c r="E262">
        <v>67</v>
      </c>
      <c r="F262" t="s">
        <v>12</v>
      </c>
      <c r="G262" t="s">
        <v>240</v>
      </c>
    </row>
    <row r="263" spans="1:7" x14ac:dyDescent="0.3">
      <c r="A263">
        <v>261</v>
      </c>
      <c r="B263" t="s">
        <v>263</v>
      </c>
      <c r="C263" t="s">
        <v>8</v>
      </c>
      <c r="D263">
        <v>173</v>
      </c>
      <c r="E263">
        <v>133</v>
      </c>
      <c r="F263" t="s">
        <v>9</v>
      </c>
      <c r="G263" t="s">
        <v>240</v>
      </c>
    </row>
    <row r="264" spans="1:7" x14ac:dyDescent="0.3">
      <c r="A264">
        <v>262</v>
      </c>
      <c r="B264" t="s">
        <v>264</v>
      </c>
      <c r="C264" t="s">
        <v>8</v>
      </c>
      <c r="D264">
        <v>22</v>
      </c>
      <c r="E264">
        <v>17</v>
      </c>
      <c r="F264" t="s">
        <v>11</v>
      </c>
      <c r="G264" t="s">
        <v>240</v>
      </c>
    </row>
    <row r="265" spans="1:7" x14ac:dyDescent="0.3">
      <c r="A265">
        <v>263</v>
      </c>
      <c r="B265" t="s">
        <v>264</v>
      </c>
      <c r="C265" t="s">
        <v>8</v>
      </c>
      <c r="D265">
        <v>40</v>
      </c>
      <c r="E265">
        <v>33</v>
      </c>
      <c r="F265" t="s">
        <v>12</v>
      </c>
      <c r="G265" t="s">
        <v>240</v>
      </c>
    </row>
    <row r="266" spans="1:7" x14ac:dyDescent="0.3">
      <c r="A266">
        <v>264</v>
      </c>
      <c r="B266" t="s">
        <v>264</v>
      </c>
      <c r="C266" t="s">
        <v>8</v>
      </c>
      <c r="D266">
        <v>85</v>
      </c>
      <c r="E266">
        <v>67</v>
      </c>
      <c r="F266" t="s">
        <v>9</v>
      </c>
      <c r="G266" t="s">
        <v>240</v>
      </c>
    </row>
    <row r="267" spans="1:7" x14ac:dyDescent="0.3">
      <c r="A267">
        <v>265</v>
      </c>
      <c r="B267" t="s">
        <v>265</v>
      </c>
      <c r="C267" t="s">
        <v>8</v>
      </c>
      <c r="D267">
        <v>540</v>
      </c>
      <c r="E267">
        <v>436</v>
      </c>
      <c r="F267" t="s">
        <v>15</v>
      </c>
      <c r="G267" t="s">
        <v>240</v>
      </c>
    </row>
    <row r="268" spans="1:7" x14ac:dyDescent="0.3">
      <c r="A268">
        <v>266</v>
      </c>
      <c r="B268" t="s">
        <v>266</v>
      </c>
      <c r="C268" t="s">
        <v>17</v>
      </c>
      <c r="D268">
        <v>60</v>
      </c>
      <c r="E268">
        <v>40</v>
      </c>
      <c r="F268" t="s">
        <v>9</v>
      </c>
      <c r="G268" t="s">
        <v>249</v>
      </c>
    </row>
    <row r="269" spans="1:7" x14ac:dyDescent="0.3">
      <c r="A269">
        <v>267</v>
      </c>
      <c r="B269" t="s">
        <v>244</v>
      </c>
      <c r="C269" t="s">
        <v>267</v>
      </c>
      <c r="D269">
        <v>45</v>
      </c>
      <c r="E269">
        <v>34</v>
      </c>
      <c r="F269" t="s">
        <v>201</v>
      </c>
      <c r="G269" t="s">
        <v>244</v>
      </c>
    </row>
    <row r="270" spans="1:7" x14ac:dyDescent="0.3">
      <c r="A270">
        <v>268</v>
      </c>
      <c r="B270" t="s">
        <v>244</v>
      </c>
      <c r="C270" t="s">
        <v>267</v>
      </c>
      <c r="D270">
        <v>90</v>
      </c>
      <c r="E270">
        <v>64</v>
      </c>
      <c r="F270" t="s">
        <v>254</v>
      </c>
      <c r="G270" t="s">
        <v>244</v>
      </c>
    </row>
    <row r="271" spans="1:7" x14ac:dyDescent="0.3">
      <c r="A271">
        <v>269</v>
      </c>
      <c r="B271" t="s">
        <v>268</v>
      </c>
      <c r="C271" t="s">
        <v>8</v>
      </c>
      <c r="D271">
        <v>110</v>
      </c>
      <c r="E271">
        <v>90</v>
      </c>
      <c r="F271" t="s">
        <v>11</v>
      </c>
      <c r="G271" t="s">
        <v>240</v>
      </c>
    </row>
    <row r="272" spans="1:7" x14ac:dyDescent="0.3">
      <c r="A272">
        <v>270</v>
      </c>
      <c r="B272" t="s">
        <v>269</v>
      </c>
      <c r="C272" t="s">
        <v>8</v>
      </c>
      <c r="D272">
        <v>21</v>
      </c>
      <c r="E272">
        <v>17</v>
      </c>
      <c r="F272" t="s">
        <v>11</v>
      </c>
      <c r="G272" t="s">
        <v>240</v>
      </c>
    </row>
    <row r="273" spans="1:7" x14ac:dyDescent="0.3">
      <c r="A273">
        <v>271</v>
      </c>
      <c r="B273" t="s">
        <v>269</v>
      </c>
      <c r="C273" t="s">
        <v>8</v>
      </c>
      <c r="D273">
        <v>39</v>
      </c>
      <c r="E273">
        <v>30</v>
      </c>
      <c r="F273" t="s">
        <v>12</v>
      </c>
      <c r="G273" t="s">
        <v>240</v>
      </c>
    </row>
    <row r="274" spans="1:7" x14ac:dyDescent="0.3">
      <c r="A274">
        <v>272</v>
      </c>
      <c r="B274" t="s">
        <v>269</v>
      </c>
      <c r="C274" t="s">
        <v>8</v>
      </c>
      <c r="D274">
        <v>81</v>
      </c>
      <c r="E274">
        <v>69</v>
      </c>
      <c r="F274" t="s">
        <v>9</v>
      </c>
      <c r="G274" t="s">
        <v>240</v>
      </c>
    </row>
    <row r="275" spans="1:7" x14ac:dyDescent="0.3">
      <c r="A275">
        <v>273</v>
      </c>
      <c r="B275" t="s">
        <v>269</v>
      </c>
      <c r="C275" t="s">
        <v>8</v>
      </c>
      <c r="D275">
        <v>158</v>
      </c>
      <c r="E275">
        <v>119</v>
      </c>
      <c r="F275" t="s">
        <v>15</v>
      </c>
      <c r="G275" t="s">
        <v>240</v>
      </c>
    </row>
    <row r="276" spans="1:7" x14ac:dyDescent="0.3">
      <c r="A276">
        <v>274</v>
      </c>
      <c r="B276" t="s">
        <v>270</v>
      </c>
      <c r="C276" t="s">
        <v>8</v>
      </c>
      <c r="D276">
        <v>24</v>
      </c>
      <c r="E276">
        <v>20</v>
      </c>
      <c r="F276" t="s">
        <v>11</v>
      </c>
      <c r="G276" t="s">
        <v>240</v>
      </c>
    </row>
    <row r="277" spans="1:7" x14ac:dyDescent="0.3">
      <c r="A277">
        <v>275</v>
      </c>
      <c r="B277" t="s">
        <v>270</v>
      </c>
      <c r="C277" t="s">
        <v>8</v>
      </c>
      <c r="D277">
        <v>107</v>
      </c>
      <c r="E277">
        <v>80</v>
      </c>
      <c r="F277" t="s">
        <v>9</v>
      </c>
      <c r="G277" t="s">
        <v>240</v>
      </c>
    </row>
    <row r="278" spans="1:7" x14ac:dyDescent="0.3">
      <c r="A278">
        <v>276</v>
      </c>
      <c r="B278" t="s">
        <v>270</v>
      </c>
      <c r="C278" t="s">
        <v>8</v>
      </c>
      <c r="D278">
        <v>191</v>
      </c>
      <c r="E278">
        <v>142</v>
      </c>
      <c r="F278" t="s">
        <v>15</v>
      </c>
      <c r="G278" t="s">
        <v>240</v>
      </c>
    </row>
    <row r="279" spans="1:7" x14ac:dyDescent="0.3">
      <c r="A279">
        <v>277</v>
      </c>
      <c r="B279" t="s">
        <v>271</v>
      </c>
      <c r="C279" t="s">
        <v>17</v>
      </c>
      <c r="D279">
        <v>60</v>
      </c>
      <c r="E279">
        <v>50</v>
      </c>
      <c r="F279" t="s">
        <v>11</v>
      </c>
      <c r="G279" t="s">
        <v>240</v>
      </c>
    </row>
    <row r="280" spans="1:7" x14ac:dyDescent="0.3">
      <c r="A280">
        <v>278</v>
      </c>
      <c r="B280" t="s">
        <v>272</v>
      </c>
      <c r="C280" t="s">
        <v>8</v>
      </c>
      <c r="D280">
        <v>53</v>
      </c>
      <c r="E280">
        <v>40</v>
      </c>
      <c r="F280" t="s">
        <v>12</v>
      </c>
      <c r="G280" t="s">
        <v>240</v>
      </c>
    </row>
    <row r="281" spans="1:7" x14ac:dyDescent="0.3">
      <c r="A281">
        <v>279</v>
      </c>
      <c r="B281" t="s">
        <v>272</v>
      </c>
      <c r="C281" t="s">
        <v>8</v>
      </c>
      <c r="D281">
        <v>111</v>
      </c>
      <c r="E281">
        <v>90</v>
      </c>
      <c r="F281" t="s">
        <v>9</v>
      </c>
      <c r="G281" t="s">
        <v>240</v>
      </c>
    </row>
    <row r="282" spans="1:7" x14ac:dyDescent="0.3">
      <c r="A282">
        <v>280</v>
      </c>
      <c r="B282" t="s">
        <v>273</v>
      </c>
      <c r="C282" t="s">
        <v>8</v>
      </c>
      <c r="D282">
        <v>19</v>
      </c>
      <c r="E282">
        <v>15</v>
      </c>
      <c r="F282" t="s">
        <v>11</v>
      </c>
      <c r="G282" t="s">
        <v>240</v>
      </c>
    </row>
    <row r="283" spans="1:7" x14ac:dyDescent="0.3">
      <c r="A283">
        <v>281</v>
      </c>
      <c r="B283" t="s">
        <v>273</v>
      </c>
      <c r="C283" t="s">
        <v>8</v>
      </c>
      <c r="D283">
        <v>35</v>
      </c>
      <c r="E283">
        <v>26</v>
      </c>
      <c r="F283" t="s">
        <v>12</v>
      </c>
      <c r="G283" t="s">
        <v>240</v>
      </c>
    </row>
    <row r="284" spans="1:7" x14ac:dyDescent="0.3">
      <c r="A284">
        <v>282</v>
      </c>
      <c r="B284" t="s">
        <v>273</v>
      </c>
      <c r="C284" t="s">
        <v>8</v>
      </c>
      <c r="D284">
        <v>72</v>
      </c>
      <c r="E284">
        <v>57</v>
      </c>
      <c r="F284" t="s">
        <v>9</v>
      </c>
      <c r="G284" t="s">
        <v>240</v>
      </c>
    </row>
    <row r="285" spans="1:7" x14ac:dyDescent="0.3">
      <c r="A285">
        <v>283</v>
      </c>
      <c r="B285" t="s">
        <v>274</v>
      </c>
      <c r="C285" t="s">
        <v>8</v>
      </c>
      <c r="D285">
        <v>37</v>
      </c>
      <c r="E285">
        <v>30</v>
      </c>
      <c r="F285" t="s">
        <v>9</v>
      </c>
      <c r="G285" t="s">
        <v>249</v>
      </c>
    </row>
    <row r="286" spans="1:7" x14ac:dyDescent="0.3">
      <c r="A286">
        <v>284</v>
      </c>
      <c r="B286" t="s">
        <v>275</v>
      </c>
      <c r="C286" t="s">
        <v>8</v>
      </c>
      <c r="D286">
        <v>29</v>
      </c>
      <c r="E286">
        <v>21</v>
      </c>
      <c r="F286" t="s">
        <v>11</v>
      </c>
      <c r="G286" t="s">
        <v>240</v>
      </c>
    </row>
    <row r="287" spans="1:7" x14ac:dyDescent="0.3">
      <c r="A287">
        <v>285</v>
      </c>
      <c r="B287" t="s">
        <v>275</v>
      </c>
      <c r="C287" t="s">
        <v>8</v>
      </c>
      <c r="D287">
        <v>128</v>
      </c>
      <c r="E287">
        <v>98</v>
      </c>
      <c r="F287" t="s">
        <v>9</v>
      </c>
      <c r="G287" t="s">
        <v>240</v>
      </c>
    </row>
    <row r="288" spans="1:7" x14ac:dyDescent="0.3">
      <c r="A288">
        <v>286</v>
      </c>
      <c r="B288" t="s">
        <v>276</v>
      </c>
      <c r="C288" t="s">
        <v>8</v>
      </c>
      <c r="D288">
        <v>66</v>
      </c>
      <c r="E288">
        <v>51</v>
      </c>
      <c r="F288" t="s">
        <v>12</v>
      </c>
      <c r="G288" t="s">
        <v>240</v>
      </c>
    </row>
    <row r="289" spans="1:7" x14ac:dyDescent="0.3">
      <c r="A289">
        <v>287</v>
      </c>
      <c r="B289" t="s">
        <v>277</v>
      </c>
      <c r="C289" t="s">
        <v>8</v>
      </c>
      <c r="D289">
        <v>43</v>
      </c>
      <c r="E289">
        <v>33</v>
      </c>
      <c r="F289" t="s">
        <v>11</v>
      </c>
      <c r="G289" t="s">
        <v>240</v>
      </c>
    </row>
    <row r="290" spans="1:7" x14ac:dyDescent="0.3">
      <c r="A290">
        <v>288</v>
      </c>
      <c r="B290" t="s">
        <v>278</v>
      </c>
      <c r="C290" t="s">
        <v>8</v>
      </c>
      <c r="D290">
        <v>118</v>
      </c>
      <c r="E290">
        <v>96</v>
      </c>
      <c r="F290" t="s">
        <v>216</v>
      </c>
      <c r="G290" t="s">
        <v>240</v>
      </c>
    </row>
    <row r="291" spans="1:7" x14ac:dyDescent="0.3">
      <c r="A291">
        <v>289</v>
      </c>
      <c r="B291" t="s">
        <v>279</v>
      </c>
      <c r="C291" t="s">
        <v>8</v>
      </c>
      <c r="D291">
        <v>16</v>
      </c>
      <c r="E291">
        <v>14</v>
      </c>
      <c r="F291" t="s">
        <v>280</v>
      </c>
      <c r="G291" t="s">
        <v>240</v>
      </c>
    </row>
    <row r="292" spans="1:7" x14ac:dyDescent="0.3">
      <c r="A292">
        <v>290</v>
      </c>
      <c r="B292" t="s">
        <v>281</v>
      </c>
      <c r="C292" t="s">
        <v>8</v>
      </c>
      <c r="D292">
        <v>170</v>
      </c>
      <c r="E292">
        <v>138</v>
      </c>
      <c r="F292" t="s">
        <v>11</v>
      </c>
      <c r="G292" t="s">
        <v>240</v>
      </c>
    </row>
    <row r="293" spans="1:7" x14ac:dyDescent="0.3">
      <c r="A293">
        <v>291</v>
      </c>
      <c r="B293" t="s">
        <v>282</v>
      </c>
      <c r="C293" t="s">
        <v>8</v>
      </c>
      <c r="D293">
        <v>71</v>
      </c>
      <c r="E293">
        <v>51</v>
      </c>
      <c r="F293" t="s">
        <v>11</v>
      </c>
      <c r="G293" t="s">
        <v>240</v>
      </c>
    </row>
    <row r="294" spans="1:7" x14ac:dyDescent="0.3">
      <c r="A294">
        <v>292</v>
      </c>
      <c r="B294" t="s">
        <v>283</v>
      </c>
      <c r="C294" t="s">
        <v>8</v>
      </c>
      <c r="D294">
        <v>35</v>
      </c>
      <c r="E294">
        <v>24</v>
      </c>
      <c r="F294" t="s">
        <v>11</v>
      </c>
      <c r="G294" t="s">
        <v>240</v>
      </c>
    </row>
    <row r="295" spans="1:7" x14ac:dyDescent="0.3">
      <c r="A295">
        <v>293</v>
      </c>
      <c r="B295" t="s">
        <v>284</v>
      </c>
      <c r="C295" t="s">
        <v>8</v>
      </c>
      <c r="D295">
        <v>40</v>
      </c>
      <c r="E295">
        <v>32</v>
      </c>
      <c r="F295" t="s">
        <v>256</v>
      </c>
      <c r="G295" t="s">
        <v>240</v>
      </c>
    </row>
    <row r="296" spans="1:7" x14ac:dyDescent="0.3">
      <c r="A296">
        <v>294</v>
      </c>
      <c r="B296" t="s">
        <v>284</v>
      </c>
      <c r="C296" t="s">
        <v>8</v>
      </c>
      <c r="D296">
        <v>92</v>
      </c>
      <c r="E296">
        <v>72</v>
      </c>
      <c r="F296" t="s">
        <v>216</v>
      </c>
      <c r="G296" t="s">
        <v>240</v>
      </c>
    </row>
    <row r="297" spans="1:7" x14ac:dyDescent="0.3">
      <c r="A297">
        <v>295</v>
      </c>
      <c r="B297" t="s">
        <v>285</v>
      </c>
      <c r="C297" t="s">
        <v>8</v>
      </c>
      <c r="D297">
        <v>66</v>
      </c>
      <c r="E297">
        <v>42</v>
      </c>
      <c r="F297" t="s">
        <v>11</v>
      </c>
      <c r="G297" t="s">
        <v>240</v>
      </c>
    </row>
    <row r="298" spans="1:7" x14ac:dyDescent="0.3">
      <c r="A298">
        <v>296</v>
      </c>
      <c r="B298" t="s">
        <v>286</v>
      </c>
      <c r="C298" t="s">
        <v>8</v>
      </c>
      <c r="D298">
        <v>57</v>
      </c>
      <c r="E298">
        <v>47</v>
      </c>
      <c r="F298" t="s">
        <v>9</v>
      </c>
      <c r="G298" t="s">
        <v>249</v>
      </c>
    </row>
    <row r="299" spans="1:7" x14ac:dyDescent="0.3">
      <c r="A299">
        <v>297</v>
      </c>
      <c r="B299" t="s">
        <v>287</v>
      </c>
      <c r="C299" t="s">
        <v>8</v>
      </c>
      <c r="D299">
        <v>54</v>
      </c>
      <c r="E299">
        <v>35</v>
      </c>
      <c r="F299" t="s">
        <v>11</v>
      </c>
      <c r="G299" t="s">
        <v>240</v>
      </c>
    </row>
    <row r="300" spans="1:7" x14ac:dyDescent="0.3">
      <c r="A300">
        <v>298</v>
      </c>
      <c r="B300" t="s">
        <v>288</v>
      </c>
      <c r="C300" t="s">
        <v>8</v>
      </c>
      <c r="D300">
        <v>17</v>
      </c>
      <c r="E300">
        <v>15</v>
      </c>
      <c r="F300" t="s">
        <v>11</v>
      </c>
      <c r="G300" t="s">
        <v>240</v>
      </c>
    </row>
    <row r="301" spans="1:7" x14ac:dyDescent="0.3">
      <c r="A301">
        <v>299</v>
      </c>
      <c r="B301" t="s">
        <v>288</v>
      </c>
      <c r="C301" t="s">
        <v>8</v>
      </c>
      <c r="D301">
        <v>72</v>
      </c>
      <c r="E301">
        <v>55</v>
      </c>
      <c r="F301" t="s">
        <v>9</v>
      </c>
      <c r="G301" t="s">
        <v>240</v>
      </c>
    </row>
    <row r="302" spans="1:7" x14ac:dyDescent="0.3">
      <c r="A302">
        <v>300</v>
      </c>
      <c r="B302" t="s">
        <v>289</v>
      </c>
      <c r="C302" t="s">
        <v>8</v>
      </c>
      <c r="D302">
        <v>47</v>
      </c>
      <c r="E302">
        <v>34</v>
      </c>
      <c r="F302" t="s">
        <v>11</v>
      </c>
      <c r="G302" t="s">
        <v>240</v>
      </c>
    </row>
    <row r="303" spans="1:7" x14ac:dyDescent="0.3">
      <c r="A303">
        <v>301</v>
      </c>
      <c r="B303" t="s">
        <v>290</v>
      </c>
      <c r="C303" t="s">
        <v>8</v>
      </c>
      <c r="D303">
        <v>40</v>
      </c>
      <c r="E303">
        <v>30</v>
      </c>
      <c r="F303" t="s">
        <v>11</v>
      </c>
      <c r="G303" t="s">
        <v>240</v>
      </c>
    </row>
    <row r="304" spans="1:7" x14ac:dyDescent="0.3">
      <c r="A304">
        <v>302</v>
      </c>
      <c r="B304" t="s">
        <v>290</v>
      </c>
      <c r="C304" t="s">
        <v>8</v>
      </c>
      <c r="D304">
        <v>77</v>
      </c>
      <c r="E304">
        <v>60</v>
      </c>
      <c r="F304" t="s">
        <v>12</v>
      </c>
      <c r="G304" t="s">
        <v>240</v>
      </c>
    </row>
    <row r="305" spans="1:7" x14ac:dyDescent="0.3">
      <c r="A305">
        <v>303</v>
      </c>
      <c r="B305" t="s">
        <v>291</v>
      </c>
      <c r="C305" t="s">
        <v>8</v>
      </c>
      <c r="D305">
        <v>59</v>
      </c>
      <c r="E305">
        <v>40</v>
      </c>
      <c r="F305" t="s">
        <v>9</v>
      </c>
      <c r="G305" t="s">
        <v>252</v>
      </c>
    </row>
    <row r="306" spans="1:7" x14ac:dyDescent="0.3">
      <c r="A306">
        <v>304</v>
      </c>
      <c r="B306" t="s">
        <v>292</v>
      </c>
      <c r="C306" t="s">
        <v>8</v>
      </c>
      <c r="D306">
        <v>112</v>
      </c>
      <c r="E306">
        <v>85</v>
      </c>
      <c r="F306" t="s">
        <v>11</v>
      </c>
      <c r="G306" t="s">
        <v>240</v>
      </c>
    </row>
    <row r="307" spans="1:7" x14ac:dyDescent="0.3">
      <c r="A307">
        <v>305</v>
      </c>
      <c r="B307" t="s">
        <v>293</v>
      </c>
      <c r="C307" t="s">
        <v>8</v>
      </c>
      <c r="D307">
        <v>44</v>
      </c>
      <c r="E307">
        <v>35</v>
      </c>
      <c r="F307" t="s">
        <v>216</v>
      </c>
      <c r="G307" t="s">
        <v>240</v>
      </c>
    </row>
    <row r="308" spans="1:7" x14ac:dyDescent="0.3">
      <c r="A308">
        <v>306</v>
      </c>
      <c r="B308" t="s">
        <v>294</v>
      </c>
      <c r="C308" t="s">
        <v>8</v>
      </c>
      <c r="D308">
        <v>19</v>
      </c>
      <c r="E308">
        <v>15</v>
      </c>
      <c r="F308" t="s">
        <v>11</v>
      </c>
      <c r="G308" t="s">
        <v>240</v>
      </c>
    </row>
    <row r="309" spans="1:7" x14ac:dyDescent="0.3">
      <c r="A309">
        <v>307</v>
      </c>
      <c r="B309" t="s">
        <v>295</v>
      </c>
      <c r="C309" t="s">
        <v>8</v>
      </c>
      <c r="D309">
        <v>100</v>
      </c>
      <c r="E309">
        <v>68</v>
      </c>
      <c r="F309" t="s">
        <v>11</v>
      </c>
      <c r="G309" t="s">
        <v>240</v>
      </c>
    </row>
    <row r="310" spans="1:7" x14ac:dyDescent="0.3">
      <c r="A310">
        <v>308</v>
      </c>
      <c r="B310" t="s">
        <v>296</v>
      </c>
      <c r="C310" t="s">
        <v>8</v>
      </c>
      <c r="D310">
        <v>132</v>
      </c>
      <c r="E310">
        <v>79</v>
      </c>
      <c r="F310" t="s">
        <v>11</v>
      </c>
      <c r="G310" t="s">
        <v>240</v>
      </c>
    </row>
    <row r="311" spans="1:7" x14ac:dyDescent="0.3">
      <c r="A311">
        <v>309</v>
      </c>
      <c r="B311" t="s">
        <v>297</v>
      </c>
      <c r="C311" t="s">
        <v>8</v>
      </c>
      <c r="D311">
        <v>40</v>
      </c>
      <c r="E311">
        <v>34</v>
      </c>
      <c r="F311" t="s">
        <v>11</v>
      </c>
      <c r="G311" t="s">
        <v>240</v>
      </c>
    </row>
    <row r="312" spans="1:7" x14ac:dyDescent="0.3">
      <c r="A312">
        <v>310</v>
      </c>
      <c r="B312" t="s">
        <v>298</v>
      </c>
      <c r="C312" t="s">
        <v>17</v>
      </c>
      <c r="D312">
        <v>80</v>
      </c>
      <c r="E312">
        <v>46</v>
      </c>
      <c r="F312" t="s">
        <v>9</v>
      </c>
      <c r="G312" t="s">
        <v>249</v>
      </c>
    </row>
    <row r="313" spans="1:7" x14ac:dyDescent="0.3">
      <c r="A313">
        <v>311</v>
      </c>
      <c r="B313" t="s">
        <v>299</v>
      </c>
      <c r="C313" t="s">
        <v>8</v>
      </c>
      <c r="D313">
        <v>56</v>
      </c>
      <c r="E313">
        <v>51</v>
      </c>
      <c r="F313" t="s">
        <v>11</v>
      </c>
      <c r="G313" t="s">
        <v>240</v>
      </c>
    </row>
    <row r="314" spans="1:7" x14ac:dyDescent="0.3">
      <c r="A314">
        <v>312</v>
      </c>
      <c r="B314" t="s">
        <v>299</v>
      </c>
      <c r="C314" t="s">
        <v>8</v>
      </c>
      <c r="D314">
        <v>108</v>
      </c>
      <c r="E314">
        <v>96</v>
      </c>
      <c r="F314" t="s">
        <v>12</v>
      </c>
      <c r="G314" t="s">
        <v>240</v>
      </c>
    </row>
    <row r="315" spans="1:7" x14ac:dyDescent="0.3">
      <c r="A315">
        <v>313</v>
      </c>
      <c r="B315" t="s">
        <v>300</v>
      </c>
      <c r="C315" t="s">
        <v>8</v>
      </c>
      <c r="D315">
        <v>136</v>
      </c>
      <c r="E315">
        <v>104</v>
      </c>
      <c r="F315" t="s">
        <v>256</v>
      </c>
      <c r="G315" t="s">
        <v>240</v>
      </c>
    </row>
    <row r="316" spans="1:7" x14ac:dyDescent="0.3">
      <c r="A316">
        <v>314</v>
      </c>
      <c r="B316" t="s">
        <v>301</v>
      </c>
      <c r="C316" t="s">
        <v>8</v>
      </c>
      <c r="D316">
        <v>20</v>
      </c>
      <c r="E316">
        <v>14</v>
      </c>
      <c r="F316" t="s">
        <v>216</v>
      </c>
      <c r="G316" t="s">
        <v>240</v>
      </c>
    </row>
    <row r="317" spans="1:7" x14ac:dyDescent="0.3">
      <c r="A317">
        <v>315</v>
      </c>
      <c r="B317" t="s">
        <v>302</v>
      </c>
      <c r="C317" t="s">
        <v>8</v>
      </c>
      <c r="D317">
        <v>172</v>
      </c>
      <c r="E317">
        <v>145</v>
      </c>
      <c r="F317" t="s">
        <v>11</v>
      </c>
      <c r="G317" t="s">
        <v>240</v>
      </c>
    </row>
    <row r="318" spans="1:7" x14ac:dyDescent="0.3">
      <c r="A318">
        <v>316</v>
      </c>
      <c r="B318" t="s">
        <v>303</v>
      </c>
      <c r="C318" t="s">
        <v>8</v>
      </c>
      <c r="D318">
        <v>46</v>
      </c>
      <c r="E318">
        <v>35</v>
      </c>
      <c r="F318" t="s">
        <v>12</v>
      </c>
      <c r="G318" t="s">
        <v>240</v>
      </c>
    </row>
    <row r="319" spans="1:7" x14ac:dyDescent="0.3">
      <c r="A319">
        <v>317</v>
      </c>
      <c r="B319" t="s">
        <v>304</v>
      </c>
      <c r="C319" t="s">
        <v>8</v>
      </c>
      <c r="D319">
        <v>20</v>
      </c>
      <c r="E319">
        <v>16</v>
      </c>
      <c r="F319" t="s">
        <v>12</v>
      </c>
      <c r="G319" t="s">
        <v>244</v>
      </c>
    </row>
    <row r="320" spans="1:7" x14ac:dyDescent="0.3">
      <c r="A320">
        <v>318</v>
      </c>
      <c r="B320" t="s">
        <v>305</v>
      </c>
      <c r="C320" t="s">
        <v>8</v>
      </c>
      <c r="D320">
        <v>31</v>
      </c>
      <c r="E320">
        <v>24</v>
      </c>
      <c r="F320" t="s">
        <v>11</v>
      </c>
      <c r="G320" t="s">
        <v>240</v>
      </c>
    </row>
    <row r="321" spans="1:7" x14ac:dyDescent="0.3">
      <c r="A321">
        <v>319</v>
      </c>
      <c r="B321" t="s">
        <v>305</v>
      </c>
      <c r="C321" t="s">
        <v>8</v>
      </c>
      <c r="D321">
        <v>59</v>
      </c>
      <c r="E321">
        <v>43</v>
      </c>
      <c r="F321" t="s">
        <v>12</v>
      </c>
      <c r="G321" t="s">
        <v>240</v>
      </c>
    </row>
    <row r="322" spans="1:7" x14ac:dyDescent="0.3">
      <c r="A322">
        <v>320</v>
      </c>
      <c r="B322" t="s">
        <v>305</v>
      </c>
      <c r="C322" t="s">
        <v>8</v>
      </c>
      <c r="D322">
        <v>139</v>
      </c>
      <c r="E322">
        <v>104</v>
      </c>
      <c r="F322" t="s">
        <v>9</v>
      </c>
      <c r="G322" t="s">
        <v>240</v>
      </c>
    </row>
    <row r="323" spans="1:7" x14ac:dyDescent="0.3">
      <c r="A323">
        <v>321</v>
      </c>
      <c r="B323" t="s">
        <v>305</v>
      </c>
      <c r="C323" t="s">
        <v>8</v>
      </c>
      <c r="D323">
        <v>255</v>
      </c>
      <c r="E323">
        <v>190</v>
      </c>
      <c r="F323" t="s">
        <v>15</v>
      </c>
      <c r="G323" t="s">
        <v>240</v>
      </c>
    </row>
    <row r="324" spans="1:7" x14ac:dyDescent="0.3">
      <c r="A324">
        <v>322</v>
      </c>
      <c r="B324" t="s">
        <v>306</v>
      </c>
      <c r="C324" t="s">
        <v>8</v>
      </c>
      <c r="D324">
        <v>54</v>
      </c>
      <c r="E324">
        <v>41</v>
      </c>
      <c r="F324" t="s">
        <v>307</v>
      </c>
      <c r="G324" t="s">
        <v>240</v>
      </c>
    </row>
    <row r="325" spans="1:7" x14ac:dyDescent="0.3">
      <c r="A325">
        <v>323</v>
      </c>
      <c r="B325" t="s">
        <v>308</v>
      </c>
      <c r="C325" t="s">
        <v>8</v>
      </c>
      <c r="D325">
        <v>83</v>
      </c>
      <c r="E325">
        <v>55</v>
      </c>
      <c r="F325" t="s">
        <v>12</v>
      </c>
      <c r="G325" t="s">
        <v>240</v>
      </c>
    </row>
    <row r="326" spans="1:7" x14ac:dyDescent="0.3">
      <c r="A326">
        <v>324</v>
      </c>
      <c r="B326" t="s">
        <v>309</v>
      </c>
      <c r="C326" t="s">
        <v>310</v>
      </c>
      <c r="D326">
        <v>60</v>
      </c>
      <c r="E326">
        <v>40</v>
      </c>
      <c r="F326" t="s">
        <v>9</v>
      </c>
      <c r="G326" t="s">
        <v>249</v>
      </c>
    </row>
    <row r="327" spans="1:7" x14ac:dyDescent="0.3">
      <c r="A327">
        <v>325</v>
      </c>
      <c r="B327" t="s">
        <v>311</v>
      </c>
      <c r="C327" t="s">
        <v>8</v>
      </c>
      <c r="D327">
        <v>83</v>
      </c>
      <c r="E327">
        <v>69</v>
      </c>
      <c r="F327" t="s">
        <v>12</v>
      </c>
      <c r="G327" t="s">
        <v>240</v>
      </c>
    </row>
    <row r="328" spans="1:7" x14ac:dyDescent="0.3">
      <c r="A328">
        <v>326</v>
      </c>
      <c r="B328" t="s">
        <v>312</v>
      </c>
      <c r="C328" t="s">
        <v>8</v>
      </c>
      <c r="D328">
        <v>27</v>
      </c>
      <c r="E328">
        <v>20</v>
      </c>
      <c r="F328" t="s">
        <v>12</v>
      </c>
      <c r="G328" t="s">
        <v>244</v>
      </c>
    </row>
    <row r="329" spans="1:7" x14ac:dyDescent="0.3">
      <c r="A329">
        <v>327</v>
      </c>
      <c r="B329" t="s">
        <v>313</v>
      </c>
      <c r="C329" t="s">
        <v>8</v>
      </c>
      <c r="D329">
        <v>150</v>
      </c>
      <c r="E329">
        <v>130</v>
      </c>
      <c r="F329" t="s">
        <v>9</v>
      </c>
      <c r="G329" t="s">
        <v>240</v>
      </c>
    </row>
    <row r="330" spans="1:7" x14ac:dyDescent="0.3">
      <c r="A330">
        <v>328</v>
      </c>
      <c r="B330" t="s">
        <v>314</v>
      </c>
      <c r="C330" t="s">
        <v>8</v>
      </c>
      <c r="D330">
        <v>35</v>
      </c>
      <c r="E330">
        <v>26</v>
      </c>
      <c r="F330" t="s">
        <v>11</v>
      </c>
      <c r="G330" t="s">
        <v>240</v>
      </c>
    </row>
    <row r="331" spans="1:7" x14ac:dyDescent="0.3">
      <c r="A331">
        <v>329</v>
      </c>
      <c r="B331" t="s">
        <v>315</v>
      </c>
      <c r="C331" t="s">
        <v>8</v>
      </c>
      <c r="D331">
        <v>75</v>
      </c>
      <c r="E331">
        <v>55</v>
      </c>
      <c r="F331" t="s">
        <v>11</v>
      </c>
      <c r="G331" t="s">
        <v>240</v>
      </c>
    </row>
    <row r="332" spans="1:7" x14ac:dyDescent="0.3">
      <c r="A332">
        <v>330</v>
      </c>
      <c r="B332" t="s">
        <v>316</v>
      </c>
      <c r="C332" t="s">
        <v>8</v>
      </c>
      <c r="D332">
        <v>26</v>
      </c>
      <c r="E332">
        <v>19</v>
      </c>
      <c r="F332" t="s">
        <v>12</v>
      </c>
      <c r="G332" t="s">
        <v>240</v>
      </c>
    </row>
    <row r="333" spans="1:7" x14ac:dyDescent="0.3">
      <c r="A333">
        <v>331</v>
      </c>
      <c r="B333" t="s">
        <v>317</v>
      </c>
      <c r="C333" t="s">
        <v>8</v>
      </c>
      <c r="D333">
        <v>33</v>
      </c>
      <c r="E333">
        <v>30</v>
      </c>
      <c r="F333" t="s">
        <v>11</v>
      </c>
      <c r="G333" t="s">
        <v>240</v>
      </c>
    </row>
    <row r="334" spans="1:7" x14ac:dyDescent="0.3">
      <c r="A334">
        <v>332</v>
      </c>
      <c r="B334" t="s">
        <v>318</v>
      </c>
      <c r="C334" t="s">
        <v>8</v>
      </c>
      <c r="D334">
        <v>34</v>
      </c>
      <c r="E334">
        <v>28</v>
      </c>
      <c r="F334" t="s">
        <v>11</v>
      </c>
      <c r="G334" t="s">
        <v>240</v>
      </c>
    </row>
    <row r="335" spans="1:7" x14ac:dyDescent="0.3">
      <c r="A335">
        <v>333</v>
      </c>
      <c r="B335" t="s">
        <v>319</v>
      </c>
      <c r="C335" t="s">
        <v>320</v>
      </c>
      <c r="D335">
        <v>42</v>
      </c>
      <c r="E335">
        <v>33</v>
      </c>
      <c r="F335" t="s">
        <v>9</v>
      </c>
      <c r="G335" t="s">
        <v>249</v>
      </c>
    </row>
    <row r="336" spans="1:7" x14ac:dyDescent="0.3">
      <c r="A336">
        <v>334</v>
      </c>
      <c r="B336" t="s">
        <v>321</v>
      </c>
      <c r="C336" t="s">
        <v>8</v>
      </c>
      <c r="D336">
        <v>58</v>
      </c>
      <c r="E336">
        <v>46</v>
      </c>
      <c r="F336" t="s">
        <v>11</v>
      </c>
      <c r="G336" t="s">
        <v>240</v>
      </c>
    </row>
    <row r="337" spans="1:7" x14ac:dyDescent="0.3">
      <c r="A337">
        <v>335</v>
      </c>
      <c r="B337" t="s">
        <v>322</v>
      </c>
      <c r="C337" t="s">
        <v>8</v>
      </c>
      <c r="D337">
        <v>30</v>
      </c>
      <c r="E337">
        <v>23</v>
      </c>
      <c r="F337" t="s">
        <v>11</v>
      </c>
      <c r="G337" t="s">
        <v>240</v>
      </c>
    </row>
    <row r="338" spans="1:7" x14ac:dyDescent="0.3">
      <c r="A338">
        <v>336</v>
      </c>
      <c r="B338" t="s">
        <v>323</v>
      </c>
      <c r="C338" t="s">
        <v>8</v>
      </c>
      <c r="D338">
        <v>32</v>
      </c>
      <c r="E338">
        <v>24</v>
      </c>
      <c r="F338" t="s">
        <v>216</v>
      </c>
      <c r="G338" t="s">
        <v>240</v>
      </c>
    </row>
    <row r="339" spans="1:7" x14ac:dyDescent="0.3">
      <c r="A339">
        <v>337</v>
      </c>
      <c r="B339" t="s">
        <v>324</v>
      </c>
      <c r="C339" t="s">
        <v>8</v>
      </c>
      <c r="D339">
        <v>66</v>
      </c>
      <c r="E339">
        <v>55</v>
      </c>
      <c r="F339" t="s">
        <v>216</v>
      </c>
      <c r="G339" t="s">
        <v>240</v>
      </c>
    </row>
    <row r="340" spans="1:7" x14ac:dyDescent="0.3">
      <c r="A340">
        <v>338</v>
      </c>
      <c r="B340" t="s">
        <v>325</v>
      </c>
      <c r="C340" t="s">
        <v>8</v>
      </c>
      <c r="D340">
        <v>20</v>
      </c>
      <c r="E340">
        <v>16</v>
      </c>
      <c r="F340" t="s">
        <v>12</v>
      </c>
      <c r="G340" t="s">
        <v>244</v>
      </c>
    </row>
    <row r="341" spans="1:7" x14ac:dyDescent="0.3">
      <c r="A341">
        <v>339</v>
      </c>
      <c r="B341" t="s">
        <v>326</v>
      </c>
      <c r="C341" t="s">
        <v>8</v>
      </c>
      <c r="D341">
        <v>77</v>
      </c>
      <c r="E341">
        <v>66</v>
      </c>
      <c r="F341" t="s">
        <v>12</v>
      </c>
      <c r="G341" t="s">
        <v>240</v>
      </c>
    </row>
    <row r="342" spans="1:7" x14ac:dyDescent="0.3">
      <c r="A342">
        <v>340</v>
      </c>
      <c r="B342" t="s">
        <v>327</v>
      </c>
      <c r="C342" t="s">
        <v>8</v>
      </c>
      <c r="D342">
        <v>22</v>
      </c>
      <c r="E342">
        <v>15</v>
      </c>
      <c r="F342" t="s">
        <v>11</v>
      </c>
      <c r="G342" t="s">
        <v>240</v>
      </c>
    </row>
    <row r="343" spans="1:7" x14ac:dyDescent="0.3">
      <c r="A343">
        <v>341</v>
      </c>
      <c r="B343" t="s">
        <v>328</v>
      </c>
      <c r="C343" t="s">
        <v>329</v>
      </c>
      <c r="D343">
        <v>210</v>
      </c>
      <c r="E343">
        <v>190</v>
      </c>
      <c r="F343" t="s">
        <v>246</v>
      </c>
      <c r="G343" t="s">
        <v>330</v>
      </c>
    </row>
    <row r="344" spans="1:7" x14ac:dyDescent="0.3">
      <c r="A344">
        <v>342</v>
      </c>
      <c r="B344" t="s">
        <v>328</v>
      </c>
      <c r="C344" t="s">
        <v>329</v>
      </c>
      <c r="D344">
        <v>1100</v>
      </c>
      <c r="E344">
        <v>970</v>
      </c>
      <c r="F344" t="s">
        <v>331</v>
      </c>
      <c r="G344" t="s">
        <v>330</v>
      </c>
    </row>
    <row r="345" spans="1:7" x14ac:dyDescent="0.3">
      <c r="A345">
        <v>343</v>
      </c>
      <c r="B345" t="s">
        <v>332</v>
      </c>
      <c r="C345" t="s">
        <v>329</v>
      </c>
      <c r="D345">
        <v>3100</v>
      </c>
      <c r="E345">
        <v>2599</v>
      </c>
      <c r="F345" t="s">
        <v>333</v>
      </c>
      <c r="G345" t="s">
        <v>330</v>
      </c>
    </row>
    <row r="346" spans="1:7" x14ac:dyDescent="0.3">
      <c r="A346">
        <v>344</v>
      </c>
      <c r="B346" t="s">
        <v>334</v>
      </c>
      <c r="C346" t="s">
        <v>335</v>
      </c>
      <c r="D346">
        <v>194</v>
      </c>
      <c r="E346">
        <v>167</v>
      </c>
      <c r="F346" t="s">
        <v>246</v>
      </c>
      <c r="G346" t="s">
        <v>330</v>
      </c>
    </row>
    <row r="347" spans="1:7" x14ac:dyDescent="0.3">
      <c r="A347">
        <v>345</v>
      </c>
      <c r="B347" t="s">
        <v>334</v>
      </c>
      <c r="C347" t="s">
        <v>335</v>
      </c>
      <c r="D347">
        <v>1027</v>
      </c>
      <c r="E347">
        <v>899</v>
      </c>
      <c r="F347" t="s">
        <v>331</v>
      </c>
      <c r="G347" t="s">
        <v>330</v>
      </c>
    </row>
    <row r="348" spans="1:7" x14ac:dyDescent="0.3">
      <c r="A348">
        <v>346</v>
      </c>
      <c r="B348" t="s">
        <v>336</v>
      </c>
      <c r="C348" t="s">
        <v>337</v>
      </c>
      <c r="D348">
        <v>225</v>
      </c>
      <c r="E348">
        <v>188</v>
      </c>
      <c r="F348" t="s">
        <v>246</v>
      </c>
      <c r="G348" t="s">
        <v>330</v>
      </c>
    </row>
    <row r="349" spans="1:7" x14ac:dyDescent="0.3">
      <c r="A349">
        <v>347</v>
      </c>
      <c r="B349" t="s">
        <v>336</v>
      </c>
      <c r="C349" t="s">
        <v>337</v>
      </c>
      <c r="D349">
        <v>1200</v>
      </c>
      <c r="E349">
        <v>975</v>
      </c>
      <c r="F349" t="s">
        <v>331</v>
      </c>
      <c r="G349" t="s">
        <v>330</v>
      </c>
    </row>
    <row r="350" spans="1:7" x14ac:dyDescent="0.3">
      <c r="A350">
        <v>348</v>
      </c>
      <c r="B350" t="s">
        <v>338</v>
      </c>
      <c r="C350" t="s">
        <v>17</v>
      </c>
      <c r="D350">
        <v>3277</v>
      </c>
      <c r="E350">
        <v>2675</v>
      </c>
      <c r="F350" t="s">
        <v>333</v>
      </c>
      <c r="G350" t="s">
        <v>330</v>
      </c>
    </row>
    <row r="351" spans="1:7" x14ac:dyDescent="0.3">
      <c r="A351">
        <v>349</v>
      </c>
      <c r="B351" t="s">
        <v>339</v>
      </c>
      <c r="C351" t="s">
        <v>340</v>
      </c>
      <c r="D351">
        <v>270</v>
      </c>
      <c r="E351">
        <v>176</v>
      </c>
      <c r="F351" t="s">
        <v>246</v>
      </c>
      <c r="G351" t="s">
        <v>330</v>
      </c>
    </row>
    <row r="352" spans="1:7" x14ac:dyDescent="0.3">
      <c r="A352">
        <v>350</v>
      </c>
      <c r="B352" t="s">
        <v>341</v>
      </c>
      <c r="C352" t="s">
        <v>342</v>
      </c>
      <c r="D352">
        <v>210</v>
      </c>
      <c r="E352">
        <v>178</v>
      </c>
      <c r="F352" t="s">
        <v>246</v>
      </c>
      <c r="G352" t="s">
        <v>330</v>
      </c>
    </row>
    <row r="353" spans="1:7" x14ac:dyDescent="0.3">
      <c r="A353">
        <v>351</v>
      </c>
      <c r="B353" t="s">
        <v>341</v>
      </c>
      <c r="C353" t="s">
        <v>342</v>
      </c>
      <c r="D353">
        <v>1099</v>
      </c>
      <c r="E353">
        <v>945</v>
      </c>
      <c r="F353" t="s">
        <v>331</v>
      </c>
      <c r="G353" t="s">
        <v>330</v>
      </c>
    </row>
    <row r="354" spans="1:7" x14ac:dyDescent="0.3">
      <c r="A354">
        <v>352</v>
      </c>
      <c r="B354" t="s">
        <v>328</v>
      </c>
      <c r="C354" t="s">
        <v>329</v>
      </c>
      <c r="D354">
        <v>3150</v>
      </c>
      <c r="E354">
        <v>2699</v>
      </c>
      <c r="F354" t="s">
        <v>333</v>
      </c>
      <c r="G354" t="s">
        <v>330</v>
      </c>
    </row>
    <row r="355" spans="1:7" x14ac:dyDescent="0.3">
      <c r="A355">
        <v>353</v>
      </c>
      <c r="B355" t="s">
        <v>343</v>
      </c>
      <c r="C355" t="s">
        <v>344</v>
      </c>
      <c r="D355">
        <v>220</v>
      </c>
      <c r="E355">
        <v>179</v>
      </c>
      <c r="F355" t="s">
        <v>246</v>
      </c>
      <c r="G355" t="s">
        <v>330</v>
      </c>
    </row>
    <row r="356" spans="1:7" x14ac:dyDescent="0.3">
      <c r="A356">
        <v>354</v>
      </c>
      <c r="B356" t="s">
        <v>343</v>
      </c>
      <c r="C356" t="s">
        <v>344</v>
      </c>
      <c r="D356">
        <v>1125</v>
      </c>
      <c r="E356">
        <v>940</v>
      </c>
      <c r="F356" t="s">
        <v>331</v>
      </c>
      <c r="G356" t="s">
        <v>330</v>
      </c>
    </row>
    <row r="357" spans="1:7" x14ac:dyDescent="0.3">
      <c r="A357">
        <v>355</v>
      </c>
      <c r="B357" t="s">
        <v>345</v>
      </c>
      <c r="C357" t="s">
        <v>346</v>
      </c>
      <c r="D357">
        <v>245</v>
      </c>
      <c r="E357">
        <v>205</v>
      </c>
      <c r="F357" t="s">
        <v>246</v>
      </c>
      <c r="G357" t="s">
        <v>330</v>
      </c>
    </row>
    <row r="358" spans="1:7" x14ac:dyDescent="0.3">
      <c r="A358">
        <v>356</v>
      </c>
      <c r="B358" t="s">
        <v>343</v>
      </c>
      <c r="C358" t="s">
        <v>344</v>
      </c>
      <c r="D358">
        <v>3345</v>
      </c>
      <c r="E358">
        <v>2755</v>
      </c>
      <c r="F358" t="s">
        <v>333</v>
      </c>
      <c r="G358" t="s">
        <v>330</v>
      </c>
    </row>
    <row r="359" spans="1:7" x14ac:dyDescent="0.3">
      <c r="A359">
        <v>357</v>
      </c>
      <c r="B359" t="s">
        <v>347</v>
      </c>
      <c r="C359" t="s">
        <v>348</v>
      </c>
      <c r="D359">
        <v>236</v>
      </c>
      <c r="E359">
        <v>166</v>
      </c>
      <c r="F359" t="s">
        <v>246</v>
      </c>
      <c r="G359" t="s">
        <v>330</v>
      </c>
    </row>
    <row r="360" spans="1:7" x14ac:dyDescent="0.3">
      <c r="A360">
        <v>358</v>
      </c>
      <c r="B360" t="s">
        <v>347</v>
      </c>
      <c r="C360" t="s">
        <v>348</v>
      </c>
      <c r="D360">
        <v>1350</v>
      </c>
      <c r="E360">
        <v>935</v>
      </c>
      <c r="F360" t="s">
        <v>331</v>
      </c>
      <c r="G360" t="s">
        <v>330</v>
      </c>
    </row>
    <row r="361" spans="1:7" x14ac:dyDescent="0.3">
      <c r="A361">
        <v>359</v>
      </c>
      <c r="B361" t="s">
        <v>349</v>
      </c>
      <c r="C361" t="s">
        <v>350</v>
      </c>
      <c r="D361">
        <v>270</v>
      </c>
      <c r="E361">
        <v>250</v>
      </c>
      <c r="F361" t="s">
        <v>246</v>
      </c>
      <c r="G361" t="s">
        <v>330</v>
      </c>
    </row>
    <row r="362" spans="1:7" x14ac:dyDescent="0.3">
      <c r="A362">
        <v>360</v>
      </c>
      <c r="B362" t="s">
        <v>349</v>
      </c>
      <c r="C362" t="s">
        <v>350</v>
      </c>
      <c r="D362">
        <v>1365</v>
      </c>
      <c r="E362">
        <v>1255</v>
      </c>
      <c r="F362" t="s">
        <v>331</v>
      </c>
      <c r="G362" t="s">
        <v>330</v>
      </c>
    </row>
    <row r="363" spans="1:7" x14ac:dyDescent="0.3">
      <c r="A363">
        <v>361</v>
      </c>
      <c r="B363" t="s">
        <v>351</v>
      </c>
      <c r="C363" t="s">
        <v>352</v>
      </c>
      <c r="D363">
        <v>225</v>
      </c>
      <c r="E363">
        <v>175</v>
      </c>
      <c r="F363" t="s">
        <v>246</v>
      </c>
      <c r="G363" t="s">
        <v>330</v>
      </c>
    </row>
    <row r="364" spans="1:7" x14ac:dyDescent="0.3">
      <c r="A364">
        <v>362</v>
      </c>
      <c r="B364" t="s">
        <v>351</v>
      </c>
      <c r="C364" t="s">
        <v>352</v>
      </c>
      <c r="D364">
        <v>1206</v>
      </c>
      <c r="E364">
        <v>930</v>
      </c>
      <c r="F364" t="s">
        <v>331</v>
      </c>
      <c r="G364" t="s">
        <v>330</v>
      </c>
    </row>
    <row r="365" spans="1:7" x14ac:dyDescent="0.3">
      <c r="A365">
        <v>363</v>
      </c>
      <c r="B365" t="s">
        <v>353</v>
      </c>
      <c r="C365" t="s">
        <v>17</v>
      </c>
      <c r="D365">
        <v>228</v>
      </c>
      <c r="E365">
        <v>171</v>
      </c>
      <c r="F365" t="s">
        <v>246</v>
      </c>
      <c r="G365" t="s">
        <v>330</v>
      </c>
    </row>
    <row r="366" spans="1:7" x14ac:dyDescent="0.3">
      <c r="A366">
        <v>364</v>
      </c>
      <c r="B366" t="s">
        <v>354</v>
      </c>
      <c r="C366" t="s">
        <v>337</v>
      </c>
      <c r="D366">
        <v>3050</v>
      </c>
      <c r="E366">
        <v>2599</v>
      </c>
      <c r="F366" t="s">
        <v>333</v>
      </c>
      <c r="G366" t="s">
        <v>330</v>
      </c>
    </row>
    <row r="367" spans="1:7" x14ac:dyDescent="0.3">
      <c r="A367">
        <v>365</v>
      </c>
      <c r="B367" t="s">
        <v>355</v>
      </c>
      <c r="C367" t="s">
        <v>356</v>
      </c>
      <c r="D367">
        <v>3520</v>
      </c>
      <c r="E367">
        <v>2769</v>
      </c>
      <c r="F367" t="s">
        <v>333</v>
      </c>
      <c r="G367" t="s">
        <v>330</v>
      </c>
    </row>
    <row r="368" spans="1:7" x14ac:dyDescent="0.3">
      <c r="A368">
        <v>366</v>
      </c>
      <c r="B368" t="s">
        <v>357</v>
      </c>
      <c r="C368" t="s">
        <v>358</v>
      </c>
      <c r="D368">
        <v>205</v>
      </c>
      <c r="E368">
        <v>165</v>
      </c>
      <c r="F368" t="s">
        <v>246</v>
      </c>
      <c r="G368" t="s">
        <v>330</v>
      </c>
    </row>
    <row r="369" spans="1:7" x14ac:dyDescent="0.3">
      <c r="A369">
        <v>367</v>
      </c>
      <c r="B369" t="s">
        <v>359</v>
      </c>
      <c r="C369" t="s">
        <v>113</v>
      </c>
      <c r="D369">
        <v>205</v>
      </c>
      <c r="E369">
        <v>180</v>
      </c>
      <c r="F369" t="s">
        <v>246</v>
      </c>
      <c r="G369" t="s">
        <v>330</v>
      </c>
    </row>
    <row r="370" spans="1:7" x14ac:dyDescent="0.3">
      <c r="A370">
        <v>368</v>
      </c>
      <c r="B370" t="s">
        <v>359</v>
      </c>
      <c r="C370" t="s">
        <v>113</v>
      </c>
      <c r="D370">
        <v>1105</v>
      </c>
      <c r="E370">
        <v>1045</v>
      </c>
      <c r="F370" t="s">
        <v>331</v>
      </c>
      <c r="G370" t="s">
        <v>330</v>
      </c>
    </row>
    <row r="371" spans="1:7" x14ac:dyDescent="0.3">
      <c r="A371">
        <v>369</v>
      </c>
      <c r="B371" t="s">
        <v>360</v>
      </c>
      <c r="C371" t="s">
        <v>113</v>
      </c>
      <c r="D371">
        <v>190</v>
      </c>
      <c r="E371">
        <v>163</v>
      </c>
      <c r="F371" t="s">
        <v>246</v>
      </c>
      <c r="G371" t="s">
        <v>330</v>
      </c>
    </row>
    <row r="372" spans="1:7" x14ac:dyDescent="0.3">
      <c r="A372">
        <v>370</v>
      </c>
      <c r="B372" t="s">
        <v>360</v>
      </c>
      <c r="C372" t="s">
        <v>113</v>
      </c>
      <c r="D372">
        <v>840</v>
      </c>
      <c r="E372">
        <v>825</v>
      </c>
      <c r="F372" t="s">
        <v>331</v>
      </c>
      <c r="G372" t="s">
        <v>330</v>
      </c>
    </row>
    <row r="373" spans="1:7" x14ac:dyDescent="0.3">
      <c r="A373">
        <v>371</v>
      </c>
      <c r="B373" t="s">
        <v>359</v>
      </c>
      <c r="C373" t="s">
        <v>113</v>
      </c>
      <c r="D373">
        <v>3125</v>
      </c>
      <c r="E373">
        <v>2773</v>
      </c>
      <c r="F373" t="s">
        <v>333</v>
      </c>
      <c r="G373" t="s">
        <v>330</v>
      </c>
    </row>
    <row r="374" spans="1:7" x14ac:dyDescent="0.3">
      <c r="A374">
        <v>372</v>
      </c>
      <c r="B374" t="s">
        <v>361</v>
      </c>
      <c r="C374" t="s">
        <v>113</v>
      </c>
      <c r="D374">
        <v>1200</v>
      </c>
      <c r="E374">
        <v>1135</v>
      </c>
      <c r="F374" t="s">
        <v>331</v>
      </c>
      <c r="G374" t="s">
        <v>330</v>
      </c>
    </row>
    <row r="375" spans="1:7" x14ac:dyDescent="0.3">
      <c r="A375">
        <v>373</v>
      </c>
      <c r="B375" t="s">
        <v>360</v>
      </c>
      <c r="C375" t="s">
        <v>113</v>
      </c>
      <c r="D375">
        <v>3025</v>
      </c>
      <c r="E375">
        <v>2695</v>
      </c>
      <c r="F375" t="s">
        <v>333</v>
      </c>
      <c r="G375" t="s">
        <v>330</v>
      </c>
    </row>
    <row r="376" spans="1:7" x14ac:dyDescent="0.3">
      <c r="A376">
        <v>374</v>
      </c>
      <c r="B376" t="s">
        <v>362</v>
      </c>
      <c r="C376" t="s">
        <v>329</v>
      </c>
      <c r="D376">
        <v>220</v>
      </c>
      <c r="E376">
        <v>202</v>
      </c>
      <c r="F376" t="s">
        <v>246</v>
      </c>
      <c r="G376" t="s">
        <v>330</v>
      </c>
    </row>
    <row r="377" spans="1:7" x14ac:dyDescent="0.3">
      <c r="A377">
        <v>375</v>
      </c>
      <c r="B377" t="s">
        <v>362</v>
      </c>
      <c r="C377" t="s">
        <v>329</v>
      </c>
      <c r="D377">
        <v>1150</v>
      </c>
      <c r="E377">
        <v>998</v>
      </c>
      <c r="F377" t="s">
        <v>331</v>
      </c>
      <c r="G377" t="s">
        <v>330</v>
      </c>
    </row>
    <row r="378" spans="1:7" x14ac:dyDescent="0.3">
      <c r="A378">
        <v>376</v>
      </c>
      <c r="B378" t="s">
        <v>363</v>
      </c>
      <c r="C378" t="s">
        <v>364</v>
      </c>
      <c r="D378">
        <v>299</v>
      </c>
      <c r="E378">
        <v>199</v>
      </c>
      <c r="F378" t="s">
        <v>246</v>
      </c>
      <c r="G378" t="s">
        <v>330</v>
      </c>
    </row>
    <row r="379" spans="1:7" x14ac:dyDescent="0.3">
      <c r="A379">
        <v>377</v>
      </c>
      <c r="B379" t="s">
        <v>365</v>
      </c>
      <c r="C379" t="s">
        <v>366</v>
      </c>
      <c r="D379">
        <v>195</v>
      </c>
      <c r="E379">
        <v>139</v>
      </c>
      <c r="F379" t="s">
        <v>246</v>
      </c>
      <c r="G379" t="s">
        <v>330</v>
      </c>
    </row>
    <row r="380" spans="1:7" x14ac:dyDescent="0.3">
      <c r="A380">
        <v>378</v>
      </c>
      <c r="B380" t="s">
        <v>367</v>
      </c>
      <c r="C380" t="s">
        <v>329</v>
      </c>
      <c r="D380">
        <v>199</v>
      </c>
      <c r="E380">
        <v>179</v>
      </c>
      <c r="F380" t="s">
        <v>246</v>
      </c>
      <c r="G380" t="s">
        <v>330</v>
      </c>
    </row>
    <row r="381" spans="1:7" x14ac:dyDescent="0.3">
      <c r="A381">
        <v>379</v>
      </c>
      <c r="B381" t="s">
        <v>367</v>
      </c>
      <c r="C381" t="s">
        <v>329</v>
      </c>
      <c r="D381">
        <v>1100</v>
      </c>
      <c r="E381">
        <v>973</v>
      </c>
      <c r="F381" t="s">
        <v>331</v>
      </c>
      <c r="G381" t="s">
        <v>330</v>
      </c>
    </row>
    <row r="382" spans="1:7" x14ac:dyDescent="0.3">
      <c r="A382">
        <v>380</v>
      </c>
      <c r="B382" t="s">
        <v>368</v>
      </c>
      <c r="C382" t="s">
        <v>17</v>
      </c>
      <c r="D382">
        <v>190</v>
      </c>
      <c r="E382">
        <v>170</v>
      </c>
      <c r="F382" t="s">
        <v>246</v>
      </c>
      <c r="G382" t="s">
        <v>330</v>
      </c>
    </row>
    <row r="383" spans="1:7" x14ac:dyDescent="0.3">
      <c r="A383">
        <v>381</v>
      </c>
      <c r="B383" t="s">
        <v>367</v>
      </c>
      <c r="C383" t="s">
        <v>329</v>
      </c>
      <c r="D383">
        <v>3200</v>
      </c>
      <c r="E383">
        <v>2399</v>
      </c>
      <c r="F383" t="s">
        <v>333</v>
      </c>
      <c r="G383" t="s">
        <v>330</v>
      </c>
    </row>
    <row r="384" spans="1:7" x14ac:dyDescent="0.3">
      <c r="A384">
        <v>382</v>
      </c>
      <c r="B384" t="s">
        <v>369</v>
      </c>
      <c r="C384" t="s">
        <v>370</v>
      </c>
      <c r="D384">
        <v>230</v>
      </c>
      <c r="E384">
        <v>172</v>
      </c>
      <c r="F384" t="s">
        <v>246</v>
      </c>
      <c r="G384" t="s">
        <v>330</v>
      </c>
    </row>
    <row r="385" spans="1:7" x14ac:dyDescent="0.3">
      <c r="A385">
        <v>383</v>
      </c>
      <c r="B385" t="s">
        <v>369</v>
      </c>
      <c r="C385" t="s">
        <v>370</v>
      </c>
      <c r="D385">
        <v>1175</v>
      </c>
      <c r="E385">
        <v>895</v>
      </c>
      <c r="F385" t="s">
        <v>331</v>
      </c>
      <c r="G385" t="s">
        <v>330</v>
      </c>
    </row>
    <row r="386" spans="1:7" x14ac:dyDescent="0.3">
      <c r="A386">
        <v>384</v>
      </c>
      <c r="B386" t="s">
        <v>371</v>
      </c>
      <c r="C386" t="s">
        <v>344</v>
      </c>
      <c r="D386">
        <v>950</v>
      </c>
      <c r="E386">
        <v>875</v>
      </c>
      <c r="F386" t="s">
        <v>372</v>
      </c>
      <c r="G386" t="s">
        <v>330</v>
      </c>
    </row>
    <row r="387" spans="1:7" x14ac:dyDescent="0.3">
      <c r="A387">
        <v>385</v>
      </c>
      <c r="B387" t="s">
        <v>371</v>
      </c>
      <c r="C387" t="s">
        <v>344</v>
      </c>
      <c r="D387">
        <v>185</v>
      </c>
      <c r="E387">
        <v>169</v>
      </c>
      <c r="F387" t="s">
        <v>246</v>
      </c>
      <c r="G387" t="s">
        <v>330</v>
      </c>
    </row>
    <row r="388" spans="1:7" x14ac:dyDescent="0.3">
      <c r="A388">
        <v>386</v>
      </c>
      <c r="B388" t="s">
        <v>373</v>
      </c>
      <c r="C388" t="s">
        <v>374</v>
      </c>
      <c r="D388">
        <v>225</v>
      </c>
      <c r="E388">
        <v>182</v>
      </c>
      <c r="F388" t="s">
        <v>246</v>
      </c>
      <c r="G388" t="s">
        <v>330</v>
      </c>
    </row>
    <row r="389" spans="1:7" x14ac:dyDescent="0.3">
      <c r="A389">
        <v>387</v>
      </c>
      <c r="B389" t="s">
        <v>373</v>
      </c>
      <c r="C389" t="s">
        <v>374</v>
      </c>
      <c r="D389">
        <v>1165</v>
      </c>
      <c r="E389">
        <v>899</v>
      </c>
      <c r="F389" t="s">
        <v>331</v>
      </c>
      <c r="G389" t="s">
        <v>330</v>
      </c>
    </row>
    <row r="390" spans="1:7" x14ac:dyDescent="0.3">
      <c r="A390">
        <v>388</v>
      </c>
      <c r="B390" t="s">
        <v>375</v>
      </c>
      <c r="C390" t="s">
        <v>337</v>
      </c>
      <c r="D390">
        <v>215</v>
      </c>
      <c r="E390">
        <v>191</v>
      </c>
      <c r="F390" t="s">
        <v>246</v>
      </c>
      <c r="G390" t="s">
        <v>330</v>
      </c>
    </row>
    <row r="391" spans="1:7" x14ac:dyDescent="0.3">
      <c r="A391">
        <v>389</v>
      </c>
      <c r="B391" t="s">
        <v>375</v>
      </c>
      <c r="C391" t="s">
        <v>337</v>
      </c>
      <c r="D391">
        <v>1100</v>
      </c>
      <c r="E391">
        <v>950</v>
      </c>
      <c r="F391" t="s">
        <v>331</v>
      </c>
      <c r="G391" t="s">
        <v>330</v>
      </c>
    </row>
    <row r="392" spans="1:7" x14ac:dyDescent="0.3">
      <c r="A392">
        <v>390</v>
      </c>
      <c r="B392" t="s">
        <v>376</v>
      </c>
      <c r="C392" t="s">
        <v>344</v>
      </c>
      <c r="D392">
        <v>3030</v>
      </c>
      <c r="E392">
        <v>2799</v>
      </c>
      <c r="F392" t="s">
        <v>333</v>
      </c>
      <c r="G392" t="s">
        <v>330</v>
      </c>
    </row>
    <row r="393" spans="1:7" x14ac:dyDescent="0.3">
      <c r="A393">
        <v>391</v>
      </c>
      <c r="B393" t="s">
        <v>377</v>
      </c>
      <c r="C393" t="s">
        <v>378</v>
      </c>
      <c r="D393">
        <v>3589</v>
      </c>
      <c r="E393">
        <v>2719</v>
      </c>
      <c r="F393" t="s">
        <v>333</v>
      </c>
      <c r="G393" t="s">
        <v>330</v>
      </c>
    </row>
    <row r="394" spans="1:7" x14ac:dyDescent="0.3">
      <c r="A394">
        <v>392</v>
      </c>
      <c r="B394" t="s">
        <v>379</v>
      </c>
      <c r="C394" t="s">
        <v>380</v>
      </c>
      <c r="D394">
        <v>3500</v>
      </c>
      <c r="E394">
        <v>2745</v>
      </c>
      <c r="F394" t="s">
        <v>333</v>
      </c>
      <c r="G394" t="s">
        <v>330</v>
      </c>
    </row>
    <row r="395" spans="1:7" x14ac:dyDescent="0.3">
      <c r="A395">
        <v>393</v>
      </c>
      <c r="B395" t="s">
        <v>381</v>
      </c>
      <c r="C395" t="s">
        <v>344</v>
      </c>
      <c r="D395">
        <v>225</v>
      </c>
      <c r="E395">
        <v>192</v>
      </c>
      <c r="F395" t="s">
        <v>246</v>
      </c>
      <c r="G395" t="s">
        <v>330</v>
      </c>
    </row>
    <row r="396" spans="1:7" x14ac:dyDescent="0.3">
      <c r="A396">
        <v>394</v>
      </c>
      <c r="B396" t="s">
        <v>381</v>
      </c>
      <c r="C396" t="s">
        <v>344</v>
      </c>
      <c r="D396">
        <v>1150</v>
      </c>
      <c r="E396">
        <v>975</v>
      </c>
      <c r="F396" t="s">
        <v>331</v>
      </c>
      <c r="G396" t="s">
        <v>330</v>
      </c>
    </row>
    <row r="397" spans="1:7" x14ac:dyDescent="0.3">
      <c r="A397">
        <v>395</v>
      </c>
      <c r="B397" t="s">
        <v>382</v>
      </c>
      <c r="C397" t="s">
        <v>383</v>
      </c>
      <c r="D397">
        <v>255</v>
      </c>
      <c r="E397">
        <v>175</v>
      </c>
      <c r="F397" t="s">
        <v>246</v>
      </c>
      <c r="G397" t="s">
        <v>330</v>
      </c>
    </row>
    <row r="398" spans="1:7" x14ac:dyDescent="0.3">
      <c r="A398">
        <v>396</v>
      </c>
      <c r="B398" t="s">
        <v>382</v>
      </c>
      <c r="C398" t="s">
        <v>383</v>
      </c>
      <c r="D398">
        <v>1255</v>
      </c>
      <c r="E398">
        <v>879</v>
      </c>
      <c r="F398" t="s">
        <v>331</v>
      </c>
      <c r="G398" t="s">
        <v>330</v>
      </c>
    </row>
    <row r="399" spans="1:7" x14ac:dyDescent="0.3">
      <c r="A399">
        <v>397</v>
      </c>
      <c r="B399" t="s">
        <v>384</v>
      </c>
      <c r="C399" t="s">
        <v>17</v>
      </c>
      <c r="D399">
        <v>1223</v>
      </c>
      <c r="E399">
        <v>935</v>
      </c>
      <c r="F399" t="s">
        <v>331</v>
      </c>
      <c r="G399" t="s">
        <v>330</v>
      </c>
    </row>
    <row r="400" spans="1:7" x14ac:dyDescent="0.3">
      <c r="A400">
        <v>398</v>
      </c>
      <c r="B400" t="s">
        <v>384</v>
      </c>
      <c r="C400" t="s">
        <v>17</v>
      </c>
      <c r="D400">
        <v>230</v>
      </c>
      <c r="E400">
        <v>184</v>
      </c>
      <c r="F400" t="s">
        <v>246</v>
      </c>
      <c r="G400" t="s">
        <v>330</v>
      </c>
    </row>
    <row r="401" spans="1:7" x14ac:dyDescent="0.3">
      <c r="A401">
        <v>399</v>
      </c>
      <c r="B401" t="s">
        <v>385</v>
      </c>
      <c r="C401" t="s">
        <v>383</v>
      </c>
      <c r="D401">
        <v>1250</v>
      </c>
      <c r="E401">
        <v>1105</v>
      </c>
      <c r="F401" t="s">
        <v>331</v>
      </c>
      <c r="G401" t="s">
        <v>330</v>
      </c>
    </row>
    <row r="402" spans="1:7" x14ac:dyDescent="0.3">
      <c r="A402">
        <v>400</v>
      </c>
      <c r="B402" t="s">
        <v>385</v>
      </c>
      <c r="C402" t="s">
        <v>386</v>
      </c>
      <c r="D402">
        <v>3750</v>
      </c>
      <c r="E402">
        <v>2799</v>
      </c>
      <c r="F402" t="s">
        <v>333</v>
      </c>
      <c r="G402" t="s">
        <v>330</v>
      </c>
    </row>
    <row r="403" spans="1:7" x14ac:dyDescent="0.3">
      <c r="A403">
        <v>401</v>
      </c>
      <c r="B403" t="s">
        <v>382</v>
      </c>
      <c r="C403" t="s">
        <v>386</v>
      </c>
      <c r="D403">
        <v>3500</v>
      </c>
      <c r="E403">
        <v>2499</v>
      </c>
      <c r="F403" t="s">
        <v>333</v>
      </c>
      <c r="G403" t="s">
        <v>330</v>
      </c>
    </row>
    <row r="404" spans="1:7" x14ac:dyDescent="0.3">
      <c r="A404">
        <v>402</v>
      </c>
      <c r="B404" t="s">
        <v>387</v>
      </c>
      <c r="C404" t="s">
        <v>388</v>
      </c>
      <c r="D404">
        <v>490</v>
      </c>
      <c r="E404">
        <v>389</v>
      </c>
      <c r="F404" t="s">
        <v>246</v>
      </c>
      <c r="G404" t="s">
        <v>330</v>
      </c>
    </row>
    <row r="405" spans="1:7" x14ac:dyDescent="0.3">
      <c r="A405">
        <v>403</v>
      </c>
      <c r="B405" t="s">
        <v>389</v>
      </c>
      <c r="C405" t="s">
        <v>380</v>
      </c>
      <c r="D405">
        <v>1325</v>
      </c>
      <c r="E405">
        <v>1109</v>
      </c>
      <c r="F405" t="s">
        <v>331</v>
      </c>
      <c r="G405" t="s">
        <v>330</v>
      </c>
    </row>
    <row r="406" spans="1:7" x14ac:dyDescent="0.3">
      <c r="A406">
        <v>404</v>
      </c>
      <c r="B406" t="s">
        <v>390</v>
      </c>
      <c r="C406" t="s">
        <v>388</v>
      </c>
      <c r="D406">
        <v>290</v>
      </c>
      <c r="E406">
        <v>229</v>
      </c>
      <c r="F406" t="s">
        <v>391</v>
      </c>
      <c r="G406" t="s">
        <v>330</v>
      </c>
    </row>
    <row r="407" spans="1:7" x14ac:dyDescent="0.3">
      <c r="A407">
        <v>405</v>
      </c>
      <c r="B407" t="s">
        <v>392</v>
      </c>
      <c r="C407" t="s">
        <v>393</v>
      </c>
      <c r="D407">
        <v>2400</v>
      </c>
      <c r="E407">
        <v>1023</v>
      </c>
      <c r="F407" t="s">
        <v>394</v>
      </c>
      <c r="G407" t="s">
        <v>330</v>
      </c>
    </row>
    <row r="408" spans="1:7" x14ac:dyDescent="0.3">
      <c r="A408">
        <v>406</v>
      </c>
      <c r="B408" t="s">
        <v>395</v>
      </c>
      <c r="C408" t="s">
        <v>396</v>
      </c>
      <c r="D408">
        <v>2600</v>
      </c>
      <c r="E408">
        <v>1199</v>
      </c>
      <c r="F408" t="s">
        <v>394</v>
      </c>
      <c r="G408" t="s">
        <v>330</v>
      </c>
    </row>
    <row r="409" spans="1:7" x14ac:dyDescent="0.3">
      <c r="A409">
        <v>407</v>
      </c>
      <c r="B409" t="s">
        <v>395</v>
      </c>
      <c r="C409" t="s">
        <v>396</v>
      </c>
      <c r="D409">
        <v>5500</v>
      </c>
      <c r="E409">
        <v>2649</v>
      </c>
      <c r="F409" t="s">
        <v>331</v>
      </c>
      <c r="G409" t="s">
        <v>330</v>
      </c>
    </row>
    <row r="410" spans="1:7" x14ac:dyDescent="0.3">
      <c r="A410">
        <v>408</v>
      </c>
      <c r="B410" t="s">
        <v>397</v>
      </c>
      <c r="C410" t="s">
        <v>398</v>
      </c>
      <c r="D410">
        <v>325</v>
      </c>
      <c r="E410">
        <v>279</v>
      </c>
      <c r="F410" t="s">
        <v>399</v>
      </c>
      <c r="G410" t="s">
        <v>330</v>
      </c>
    </row>
    <row r="411" spans="1:7" x14ac:dyDescent="0.3">
      <c r="A411">
        <v>409</v>
      </c>
      <c r="B411" t="s">
        <v>397</v>
      </c>
      <c r="C411" t="s">
        <v>398</v>
      </c>
      <c r="D411">
        <v>599</v>
      </c>
      <c r="E411">
        <v>482</v>
      </c>
      <c r="F411" t="s">
        <v>391</v>
      </c>
      <c r="G411" t="s">
        <v>330</v>
      </c>
    </row>
    <row r="412" spans="1:7" x14ac:dyDescent="0.3">
      <c r="A412">
        <v>410</v>
      </c>
      <c r="B412" t="s">
        <v>397</v>
      </c>
      <c r="C412" t="s">
        <v>398</v>
      </c>
      <c r="D412">
        <v>999</v>
      </c>
      <c r="E412">
        <v>765</v>
      </c>
      <c r="F412" t="s">
        <v>246</v>
      </c>
      <c r="G412" t="s">
        <v>330</v>
      </c>
    </row>
    <row r="413" spans="1:7" x14ac:dyDescent="0.3">
      <c r="A413">
        <v>411</v>
      </c>
      <c r="B413" t="s">
        <v>397</v>
      </c>
      <c r="C413" t="s">
        <v>398</v>
      </c>
      <c r="D413">
        <v>4500</v>
      </c>
      <c r="E413">
        <v>3225</v>
      </c>
      <c r="F413" t="s">
        <v>331</v>
      </c>
      <c r="G413" t="s">
        <v>330</v>
      </c>
    </row>
    <row r="414" spans="1:7" x14ac:dyDescent="0.3">
      <c r="A414">
        <v>412</v>
      </c>
      <c r="B414" t="s">
        <v>400</v>
      </c>
      <c r="C414" t="s">
        <v>396</v>
      </c>
      <c r="D414">
        <v>400</v>
      </c>
      <c r="E414">
        <v>275</v>
      </c>
      <c r="F414" t="s">
        <v>401</v>
      </c>
      <c r="G414" t="s">
        <v>330</v>
      </c>
    </row>
    <row r="415" spans="1:7" x14ac:dyDescent="0.3">
      <c r="A415">
        <v>413</v>
      </c>
      <c r="B415" t="s">
        <v>400</v>
      </c>
      <c r="C415" t="s">
        <v>396</v>
      </c>
      <c r="D415">
        <v>1400</v>
      </c>
      <c r="E415">
        <v>784</v>
      </c>
      <c r="F415" t="s">
        <v>246</v>
      </c>
      <c r="G415" t="s">
        <v>330</v>
      </c>
    </row>
    <row r="416" spans="1:7" x14ac:dyDescent="0.3">
      <c r="A416">
        <v>414</v>
      </c>
      <c r="B416" t="s">
        <v>402</v>
      </c>
      <c r="C416" t="s">
        <v>403</v>
      </c>
      <c r="D416">
        <v>4099</v>
      </c>
      <c r="E416">
        <v>1899</v>
      </c>
      <c r="F416" t="s">
        <v>331</v>
      </c>
      <c r="G416" t="s">
        <v>330</v>
      </c>
    </row>
    <row r="417" spans="1:7" x14ac:dyDescent="0.3">
      <c r="A417">
        <v>415</v>
      </c>
      <c r="B417" t="s">
        <v>404</v>
      </c>
      <c r="C417" t="s">
        <v>405</v>
      </c>
      <c r="D417">
        <v>2999</v>
      </c>
      <c r="E417">
        <v>1049</v>
      </c>
      <c r="F417" t="s">
        <v>394</v>
      </c>
      <c r="G417" t="s">
        <v>330</v>
      </c>
    </row>
    <row r="418" spans="1:7" x14ac:dyDescent="0.3">
      <c r="A418">
        <v>416</v>
      </c>
      <c r="B418" t="s">
        <v>406</v>
      </c>
      <c r="C418" t="s">
        <v>398</v>
      </c>
      <c r="D418">
        <v>1199</v>
      </c>
      <c r="E418">
        <v>765</v>
      </c>
      <c r="F418" t="s">
        <v>246</v>
      </c>
      <c r="G418" t="s">
        <v>330</v>
      </c>
    </row>
    <row r="419" spans="1:7" x14ac:dyDescent="0.3">
      <c r="A419">
        <v>417</v>
      </c>
      <c r="B419" t="s">
        <v>406</v>
      </c>
      <c r="C419" t="s">
        <v>398</v>
      </c>
      <c r="D419">
        <v>649</v>
      </c>
      <c r="E419">
        <v>405</v>
      </c>
      <c r="F419" t="s">
        <v>391</v>
      </c>
      <c r="G419" t="s">
        <v>330</v>
      </c>
    </row>
    <row r="420" spans="1:7" x14ac:dyDescent="0.3">
      <c r="A420">
        <v>418</v>
      </c>
      <c r="B420" t="s">
        <v>407</v>
      </c>
      <c r="C420" t="s">
        <v>396</v>
      </c>
      <c r="D420">
        <v>1350</v>
      </c>
      <c r="E420">
        <v>639</v>
      </c>
      <c r="F420" t="s">
        <v>246</v>
      </c>
      <c r="G420" t="s">
        <v>330</v>
      </c>
    </row>
    <row r="421" spans="1:7" x14ac:dyDescent="0.3">
      <c r="A421">
        <v>419</v>
      </c>
      <c r="B421" t="s">
        <v>408</v>
      </c>
      <c r="C421" t="s">
        <v>403</v>
      </c>
      <c r="D421">
        <v>2599</v>
      </c>
      <c r="E421">
        <v>1400</v>
      </c>
      <c r="F421" t="s">
        <v>394</v>
      </c>
      <c r="G421" t="s">
        <v>330</v>
      </c>
    </row>
    <row r="422" spans="1:7" x14ac:dyDescent="0.3">
      <c r="A422">
        <v>420</v>
      </c>
      <c r="B422" t="s">
        <v>409</v>
      </c>
      <c r="C422" t="s">
        <v>410</v>
      </c>
      <c r="D422">
        <v>185</v>
      </c>
      <c r="E422">
        <v>176</v>
      </c>
      <c r="F422" t="s">
        <v>246</v>
      </c>
      <c r="G422" t="s">
        <v>330</v>
      </c>
    </row>
    <row r="423" spans="1:7" x14ac:dyDescent="0.3">
      <c r="A423">
        <v>421</v>
      </c>
      <c r="B423" t="s">
        <v>411</v>
      </c>
      <c r="C423" t="s">
        <v>329</v>
      </c>
      <c r="D423">
        <v>226</v>
      </c>
      <c r="E423">
        <v>185</v>
      </c>
      <c r="F423" t="s">
        <v>246</v>
      </c>
      <c r="G423" t="s">
        <v>330</v>
      </c>
    </row>
    <row r="424" spans="1:7" x14ac:dyDescent="0.3">
      <c r="A424">
        <v>422</v>
      </c>
      <c r="B424" t="s">
        <v>412</v>
      </c>
      <c r="C424" t="s">
        <v>344</v>
      </c>
      <c r="D424">
        <v>195</v>
      </c>
      <c r="E424">
        <v>179</v>
      </c>
      <c r="F424" t="s">
        <v>246</v>
      </c>
      <c r="G424" t="s">
        <v>330</v>
      </c>
    </row>
    <row r="425" spans="1:7" x14ac:dyDescent="0.3">
      <c r="A425">
        <v>423</v>
      </c>
      <c r="B425" t="s">
        <v>412</v>
      </c>
      <c r="C425" t="s">
        <v>344</v>
      </c>
      <c r="D425">
        <v>1000</v>
      </c>
      <c r="E425">
        <v>919</v>
      </c>
      <c r="F425" t="s">
        <v>331</v>
      </c>
      <c r="G425" t="s">
        <v>330</v>
      </c>
    </row>
    <row r="426" spans="1:7" x14ac:dyDescent="0.3">
      <c r="A426">
        <v>424</v>
      </c>
      <c r="B426" t="s">
        <v>413</v>
      </c>
      <c r="C426" t="s">
        <v>410</v>
      </c>
      <c r="D426">
        <v>180</v>
      </c>
      <c r="E426">
        <v>167</v>
      </c>
      <c r="F426" t="s">
        <v>246</v>
      </c>
      <c r="G426" t="s">
        <v>330</v>
      </c>
    </row>
    <row r="427" spans="1:7" x14ac:dyDescent="0.3">
      <c r="A427">
        <v>425</v>
      </c>
      <c r="B427" t="s">
        <v>414</v>
      </c>
      <c r="C427" t="s">
        <v>329</v>
      </c>
      <c r="D427">
        <v>210</v>
      </c>
      <c r="E427">
        <v>185</v>
      </c>
      <c r="F427" t="s">
        <v>246</v>
      </c>
      <c r="G427" t="s">
        <v>330</v>
      </c>
    </row>
    <row r="428" spans="1:7" x14ac:dyDescent="0.3">
      <c r="A428">
        <v>426</v>
      </c>
      <c r="B428" t="s">
        <v>414</v>
      </c>
      <c r="C428" t="s">
        <v>329</v>
      </c>
      <c r="D428">
        <v>1154</v>
      </c>
      <c r="E428">
        <v>999</v>
      </c>
      <c r="F428" t="s">
        <v>331</v>
      </c>
      <c r="G428" t="s">
        <v>330</v>
      </c>
    </row>
    <row r="429" spans="1:7" x14ac:dyDescent="0.3">
      <c r="A429">
        <v>427</v>
      </c>
      <c r="B429" t="s">
        <v>415</v>
      </c>
      <c r="C429" t="s">
        <v>416</v>
      </c>
      <c r="D429">
        <v>225</v>
      </c>
      <c r="E429">
        <v>202</v>
      </c>
      <c r="F429" t="s">
        <v>246</v>
      </c>
      <c r="G429" t="s">
        <v>330</v>
      </c>
    </row>
    <row r="430" spans="1:7" x14ac:dyDescent="0.3">
      <c r="A430">
        <v>428</v>
      </c>
      <c r="B430" t="s">
        <v>417</v>
      </c>
      <c r="C430" t="s">
        <v>383</v>
      </c>
      <c r="D430">
        <v>1170</v>
      </c>
      <c r="E430">
        <v>985</v>
      </c>
      <c r="F430" t="s">
        <v>331</v>
      </c>
      <c r="G430" t="s">
        <v>330</v>
      </c>
    </row>
    <row r="431" spans="1:7" x14ac:dyDescent="0.3">
      <c r="A431">
        <v>429</v>
      </c>
      <c r="B431" t="s">
        <v>418</v>
      </c>
      <c r="C431" t="s">
        <v>383</v>
      </c>
      <c r="D431">
        <v>235</v>
      </c>
      <c r="E431">
        <v>195</v>
      </c>
      <c r="F431" t="s">
        <v>246</v>
      </c>
      <c r="G431" t="s">
        <v>330</v>
      </c>
    </row>
    <row r="432" spans="1:7" x14ac:dyDescent="0.3">
      <c r="A432">
        <v>430</v>
      </c>
      <c r="B432" t="s">
        <v>419</v>
      </c>
      <c r="C432" t="s">
        <v>416</v>
      </c>
      <c r="D432">
        <v>221</v>
      </c>
      <c r="E432">
        <v>199</v>
      </c>
      <c r="F432" t="s">
        <v>246</v>
      </c>
      <c r="G432" t="s">
        <v>330</v>
      </c>
    </row>
    <row r="433" spans="1:7" x14ac:dyDescent="0.3">
      <c r="A433">
        <v>431</v>
      </c>
      <c r="B433" t="s">
        <v>419</v>
      </c>
      <c r="C433" t="s">
        <v>416</v>
      </c>
      <c r="D433">
        <v>1120</v>
      </c>
      <c r="E433">
        <v>999</v>
      </c>
      <c r="F433" t="s">
        <v>331</v>
      </c>
      <c r="G433" t="s">
        <v>330</v>
      </c>
    </row>
    <row r="434" spans="1:7" x14ac:dyDescent="0.3">
      <c r="A434">
        <v>432</v>
      </c>
      <c r="B434" t="s">
        <v>420</v>
      </c>
      <c r="C434" t="s">
        <v>337</v>
      </c>
      <c r="D434">
        <v>175</v>
      </c>
      <c r="E434">
        <v>146</v>
      </c>
      <c r="F434" t="s">
        <v>246</v>
      </c>
      <c r="G434" t="s">
        <v>330</v>
      </c>
    </row>
    <row r="435" spans="1:7" x14ac:dyDescent="0.3">
      <c r="A435">
        <v>433</v>
      </c>
      <c r="B435" t="s">
        <v>421</v>
      </c>
      <c r="C435" t="s">
        <v>342</v>
      </c>
      <c r="D435">
        <v>199</v>
      </c>
      <c r="E435">
        <v>166</v>
      </c>
      <c r="F435" t="s">
        <v>246</v>
      </c>
      <c r="G435" t="s">
        <v>330</v>
      </c>
    </row>
    <row r="436" spans="1:7" x14ac:dyDescent="0.3">
      <c r="A436">
        <v>434</v>
      </c>
      <c r="B436" t="s">
        <v>422</v>
      </c>
      <c r="C436" t="s">
        <v>423</v>
      </c>
      <c r="D436">
        <v>368</v>
      </c>
      <c r="E436">
        <v>320</v>
      </c>
      <c r="F436" t="s">
        <v>246</v>
      </c>
      <c r="G436" t="s">
        <v>330</v>
      </c>
    </row>
    <row r="437" spans="1:7" x14ac:dyDescent="0.3">
      <c r="A437">
        <v>435</v>
      </c>
      <c r="B437" t="s">
        <v>424</v>
      </c>
      <c r="C437" t="s">
        <v>425</v>
      </c>
      <c r="D437">
        <v>330</v>
      </c>
      <c r="E437">
        <v>228</v>
      </c>
      <c r="F437" t="s">
        <v>246</v>
      </c>
      <c r="G437" t="s">
        <v>330</v>
      </c>
    </row>
    <row r="438" spans="1:7" x14ac:dyDescent="0.3">
      <c r="A438">
        <v>436</v>
      </c>
      <c r="B438" t="s">
        <v>426</v>
      </c>
      <c r="C438" t="s">
        <v>383</v>
      </c>
      <c r="D438">
        <v>184</v>
      </c>
      <c r="E438">
        <v>152</v>
      </c>
      <c r="F438" t="s">
        <v>391</v>
      </c>
      <c r="G438" t="s">
        <v>330</v>
      </c>
    </row>
    <row r="439" spans="1:7" x14ac:dyDescent="0.3">
      <c r="A439">
        <v>437</v>
      </c>
      <c r="B439" t="s">
        <v>426</v>
      </c>
      <c r="C439" t="s">
        <v>383</v>
      </c>
      <c r="D439">
        <v>360</v>
      </c>
      <c r="E439">
        <v>299</v>
      </c>
      <c r="F439" t="s">
        <v>246</v>
      </c>
      <c r="G439" t="s">
        <v>330</v>
      </c>
    </row>
    <row r="440" spans="1:7" x14ac:dyDescent="0.3">
      <c r="A440">
        <v>438</v>
      </c>
      <c r="B440" t="s">
        <v>427</v>
      </c>
      <c r="C440" t="s">
        <v>428</v>
      </c>
      <c r="D440">
        <v>365</v>
      </c>
      <c r="E440">
        <v>315</v>
      </c>
      <c r="F440" t="s">
        <v>246</v>
      </c>
      <c r="G440" t="s">
        <v>330</v>
      </c>
    </row>
    <row r="441" spans="1:7" x14ac:dyDescent="0.3">
      <c r="A441">
        <v>439</v>
      </c>
      <c r="B441" t="s">
        <v>427</v>
      </c>
      <c r="C441" t="s">
        <v>428</v>
      </c>
      <c r="D441">
        <v>194</v>
      </c>
      <c r="E441">
        <v>167</v>
      </c>
      <c r="F441" t="s">
        <v>391</v>
      </c>
      <c r="G441" t="s">
        <v>330</v>
      </c>
    </row>
    <row r="442" spans="1:7" x14ac:dyDescent="0.3">
      <c r="A442">
        <v>440</v>
      </c>
      <c r="B442" t="s">
        <v>429</v>
      </c>
      <c r="C442" t="s">
        <v>329</v>
      </c>
      <c r="D442">
        <v>855</v>
      </c>
      <c r="E442">
        <v>795</v>
      </c>
      <c r="F442" t="s">
        <v>331</v>
      </c>
      <c r="G442" t="s">
        <v>330</v>
      </c>
    </row>
    <row r="443" spans="1:7" x14ac:dyDescent="0.3">
      <c r="A443">
        <v>441</v>
      </c>
      <c r="B443" t="s">
        <v>429</v>
      </c>
      <c r="C443" t="s">
        <v>329</v>
      </c>
      <c r="D443">
        <v>175</v>
      </c>
      <c r="E443">
        <v>153</v>
      </c>
      <c r="F443" t="s">
        <v>246</v>
      </c>
      <c r="G443" t="s">
        <v>330</v>
      </c>
    </row>
    <row r="444" spans="1:7" x14ac:dyDescent="0.3">
      <c r="A444">
        <v>442</v>
      </c>
      <c r="B444" t="s">
        <v>430</v>
      </c>
      <c r="C444" t="s">
        <v>431</v>
      </c>
      <c r="D444">
        <v>255</v>
      </c>
      <c r="E444">
        <v>229</v>
      </c>
      <c r="F444" t="s">
        <v>246</v>
      </c>
      <c r="G444" t="s">
        <v>432</v>
      </c>
    </row>
    <row r="445" spans="1:7" x14ac:dyDescent="0.3">
      <c r="A445">
        <v>443</v>
      </c>
      <c r="B445" t="s">
        <v>433</v>
      </c>
      <c r="C445" t="s">
        <v>423</v>
      </c>
      <c r="D445">
        <v>386</v>
      </c>
      <c r="E445">
        <v>329</v>
      </c>
      <c r="F445" t="s">
        <v>246</v>
      </c>
      <c r="G445" t="s">
        <v>330</v>
      </c>
    </row>
    <row r="446" spans="1:7" x14ac:dyDescent="0.3">
      <c r="A446">
        <v>444</v>
      </c>
      <c r="B446" t="s">
        <v>434</v>
      </c>
      <c r="C446" t="s">
        <v>329</v>
      </c>
      <c r="D446">
        <v>230</v>
      </c>
      <c r="E446">
        <v>186</v>
      </c>
      <c r="F446" t="s">
        <v>246</v>
      </c>
      <c r="G446" t="s">
        <v>330</v>
      </c>
    </row>
    <row r="447" spans="1:7" x14ac:dyDescent="0.3">
      <c r="A447">
        <v>445</v>
      </c>
      <c r="B447" t="s">
        <v>434</v>
      </c>
      <c r="C447" t="s">
        <v>329</v>
      </c>
      <c r="D447">
        <v>1200</v>
      </c>
      <c r="E447">
        <v>960</v>
      </c>
      <c r="F447" t="s">
        <v>331</v>
      </c>
      <c r="G447" t="s">
        <v>330</v>
      </c>
    </row>
    <row r="448" spans="1:7" x14ac:dyDescent="0.3">
      <c r="A448">
        <v>446</v>
      </c>
      <c r="B448" t="s">
        <v>435</v>
      </c>
      <c r="C448" t="s">
        <v>388</v>
      </c>
      <c r="D448">
        <v>360</v>
      </c>
      <c r="E448">
        <v>290</v>
      </c>
      <c r="F448" t="s">
        <v>391</v>
      </c>
      <c r="G448" t="s">
        <v>330</v>
      </c>
    </row>
    <row r="449" spans="1:7" x14ac:dyDescent="0.3">
      <c r="A449">
        <v>447</v>
      </c>
      <c r="B449" t="s">
        <v>436</v>
      </c>
      <c r="C449" t="s">
        <v>329</v>
      </c>
      <c r="D449">
        <v>159</v>
      </c>
      <c r="E449">
        <v>129</v>
      </c>
      <c r="F449" t="s">
        <v>246</v>
      </c>
      <c r="G449" t="s">
        <v>330</v>
      </c>
    </row>
    <row r="450" spans="1:7" x14ac:dyDescent="0.3">
      <c r="A450">
        <v>448</v>
      </c>
      <c r="B450" t="s">
        <v>437</v>
      </c>
      <c r="C450" t="s">
        <v>438</v>
      </c>
      <c r="D450">
        <v>265</v>
      </c>
      <c r="E450">
        <v>255</v>
      </c>
      <c r="F450" t="s">
        <v>391</v>
      </c>
      <c r="G450" t="s">
        <v>247</v>
      </c>
    </row>
    <row r="451" spans="1:7" x14ac:dyDescent="0.3">
      <c r="A451">
        <v>449</v>
      </c>
      <c r="B451" t="s">
        <v>437</v>
      </c>
      <c r="C451" t="s">
        <v>438</v>
      </c>
      <c r="D451">
        <v>545</v>
      </c>
      <c r="E451">
        <v>509</v>
      </c>
      <c r="F451" t="s">
        <v>246</v>
      </c>
      <c r="G451" t="s">
        <v>247</v>
      </c>
    </row>
    <row r="452" spans="1:7" x14ac:dyDescent="0.3">
      <c r="A452">
        <v>450</v>
      </c>
      <c r="B452" t="s">
        <v>439</v>
      </c>
      <c r="C452" t="s">
        <v>440</v>
      </c>
      <c r="D452">
        <v>1258</v>
      </c>
      <c r="E452">
        <v>1169</v>
      </c>
      <c r="F452" t="s">
        <v>441</v>
      </c>
      <c r="G452" t="s">
        <v>247</v>
      </c>
    </row>
    <row r="453" spans="1:7" x14ac:dyDescent="0.3">
      <c r="A453">
        <v>451</v>
      </c>
      <c r="B453" t="s">
        <v>439</v>
      </c>
      <c r="C453" t="s">
        <v>440</v>
      </c>
      <c r="D453">
        <v>629</v>
      </c>
      <c r="E453">
        <v>584</v>
      </c>
      <c r="F453" t="s">
        <v>246</v>
      </c>
      <c r="G453" t="s">
        <v>247</v>
      </c>
    </row>
    <row r="454" spans="1:7" x14ac:dyDescent="0.3">
      <c r="A454">
        <v>452</v>
      </c>
      <c r="B454" t="s">
        <v>442</v>
      </c>
      <c r="C454" t="s">
        <v>438</v>
      </c>
      <c r="D454">
        <v>540</v>
      </c>
      <c r="E454">
        <v>523</v>
      </c>
      <c r="F454" t="s">
        <v>246</v>
      </c>
      <c r="G454" t="s">
        <v>247</v>
      </c>
    </row>
    <row r="455" spans="1:7" x14ac:dyDescent="0.3">
      <c r="A455">
        <v>453</v>
      </c>
      <c r="B455" t="s">
        <v>443</v>
      </c>
      <c r="C455" t="s">
        <v>444</v>
      </c>
      <c r="D455">
        <v>599</v>
      </c>
      <c r="E455">
        <v>425</v>
      </c>
      <c r="F455" t="s">
        <v>246</v>
      </c>
      <c r="G455" t="s">
        <v>247</v>
      </c>
    </row>
    <row r="456" spans="1:7" x14ac:dyDescent="0.3">
      <c r="A456">
        <v>454</v>
      </c>
      <c r="B456" t="s">
        <v>445</v>
      </c>
      <c r="C456" t="s">
        <v>446</v>
      </c>
      <c r="D456">
        <v>550</v>
      </c>
      <c r="E456">
        <v>499</v>
      </c>
      <c r="F456" t="s">
        <v>246</v>
      </c>
      <c r="G456" t="s">
        <v>247</v>
      </c>
    </row>
    <row r="457" spans="1:7" x14ac:dyDescent="0.3">
      <c r="A457">
        <v>455</v>
      </c>
      <c r="B457" t="s">
        <v>447</v>
      </c>
      <c r="C457" t="s">
        <v>448</v>
      </c>
      <c r="D457">
        <v>545</v>
      </c>
      <c r="E457">
        <v>506</v>
      </c>
      <c r="F457" t="s">
        <v>246</v>
      </c>
      <c r="G457" t="s">
        <v>247</v>
      </c>
    </row>
    <row r="458" spans="1:7" x14ac:dyDescent="0.3">
      <c r="A458">
        <v>456</v>
      </c>
      <c r="B458" t="s">
        <v>449</v>
      </c>
      <c r="C458" t="s">
        <v>450</v>
      </c>
      <c r="D458">
        <v>610</v>
      </c>
      <c r="E458">
        <v>479</v>
      </c>
      <c r="F458" t="s">
        <v>246</v>
      </c>
      <c r="G458" t="s">
        <v>247</v>
      </c>
    </row>
    <row r="459" spans="1:7" x14ac:dyDescent="0.3">
      <c r="A459">
        <v>457</v>
      </c>
      <c r="B459" t="s">
        <v>451</v>
      </c>
      <c r="C459" t="s">
        <v>452</v>
      </c>
      <c r="D459">
        <v>300</v>
      </c>
      <c r="E459">
        <v>279</v>
      </c>
      <c r="F459" t="s">
        <v>391</v>
      </c>
      <c r="G459" t="s">
        <v>247</v>
      </c>
    </row>
    <row r="460" spans="1:7" x14ac:dyDescent="0.3">
      <c r="A460">
        <v>458</v>
      </c>
      <c r="B460" t="s">
        <v>451</v>
      </c>
      <c r="C460" t="s">
        <v>452</v>
      </c>
      <c r="D460">
        <v>570</v>
      </c>
      <c r="E460">
        <v>525</v>
      </c>
      <c r="F460" t="s">
        <v>246</v>
      </c>
      <c r="G460" t="s">
        <v>247</v>
      </c>
    </row>
    <row r="461" spans="1:7" x14ac:dyDescent="0.3">
      <c r="A461">
        <v>459</v>
      </c>
      <c r="B461" t="s">
        <v>453</v>
      </c>
      <c r="C461" t="s">
        <v>440</v>
      </c>
      <c r="D461">
        <v>160</v>
      </c>
      <c r="E461">
        <v>145</v>
      </c>
      <c r="F461" t="s">
        <v>399</v>
      </c>
      <c r="G461" t="s">
        <v>247</v>
      </c>
    </row>
    <row r="462" spans="1:7" x14ac:dyDescent="0.3">
      <c r="A462">
        <v>460</v>
      </c>
      <c r="B462" t="s">
        <v>453</v>
      </c>
      <c r="C462" t="s">
        <v>440</v>
      </c>
      <c r="D462">
        <v>335</v>
      </c>
      <c r="E462">
        <v>302</v>
      </c>
      <c r="F462" t="s">
        <v>391</v>
      </c>
      <c r="G462" t="s">
        <v>247</v>
      </c>
    </row>
    <row r="463" spans="1:7" x14ac:dyDescent="0.3">
      <c r="A463">
        <v>461</v>
      </c>
      <c r="B463" t="s">
        <v>453</v>
      </c>
      <c r="C463" t="s">
        <v>440</v>
      </c>
      <c r="D463">
        <v>649</v>
      </c>
      <c r="E463">
        <v>604</v>
      </c>
      <c r="F463" t="s">
        <v>246</v>
      </c>
      <c r="G463" t="s">
        <v>247</v>
      </c>
    </row>
    <row r="464" spans="1:7" x14ac:dyDescent="0.3">
      <c r="A464">
        <v>462</v>
      </c>
      <c r="B464" t="s">
        <v>454</v>
      </c>
      <c r="C464" t="s">
        <v>455</v>
      </c>
      <c r="D464">
        <v>599</v>
      </c>
      <c r="E464">
        <v>525</v>
      </c>
      <c r="F464" t="s">
        <v>246</v>
      </c>
      <c r="G464" t="s">
        <v>247</v>
      </c>
    </row>
    <row r="465" spans="1:7" x14ac:dyDescent="0.3">
      <c r="A465">
        <v>463</v>
      </c>
      <c r="B465" t="s">
        <v>456</v>
      </c>
      <c r="C465" t="s">
        <v>457</v>
      </c>
      <c r="D465">
        <v>600</v>
      </c>
      <c r="E465">
        <v>499</v>
      </c>
      <c r="F465" t="s">
        <v>246</v>
      </c>
      <c r="G465" t="s">
        <v>247</v>
      </c>
    </row>
    <row r="466" spans="1:7" x14ac:dyDescent="0.3">
      <c r="A466">
        <v>464</v>
      </c>
      <c r="B466" t="s">
        <v>458</v>
      </c>
      <c r="C466" t="s">
        <v>438</v>
      </c>
      <c r="D466">
        <v>560</v>
      </c>
      <c r="E466">
        <v>519</v>
      </c>
      <c r="F466" t="s">
        <v>246</v>
      </c>
      <c r="G466" t="s">
        <v>247</v>
      </c>
    </row>
    <row r="467" spans="1:7" x14ac:dyDescent="0.3">
      <c r="A467">
        <v>465</v>
      </c>
      <c r="B467" t="s">
        <v>458</v>
      </c>
      <c r="C467" t="s">
        <v>438</v>
      </c>
      <c r="D467">
        <v>2750</v>
      </c>
      <c r="E467">
        <v>2549</v>
      </c>
      <c r="F467" t="s">
        <v>331</v>
      </c>
      <c r="G467" t="s">
        <v>247</v>
      </c>
    </row>
    <row r="468" spans="1:7" x14ac:dyDescent="0.3">
      <c r="A468">
        <v>466</v>
      </c>
      <c r="B468" t="s">
        <v>459</v>
      </c>
      <c r="C468" t="s">
        <v>444</v>
      </c>
      <c r="D468">
        <v>599</v>
      </c>
      <c r="E468">
        <v>410</v>
      </c>
      <c r="F468" t="s">
        <v>246</v>
      </c>
      <c r="G468" t="s">
        <v>247</v>
      </c>
    </row>
    <row r="469" spans="1:7" x14ac:dyDescent="0.3">
      <c r="A469">
        <v>467</v>
      </c>
      <c r="B469" t="s">
        <v>460</v>
      </c>
      <c r="C469" t="s">
        <v>452</v>
      </c>
      <c r="D469">
        <v>300</v>
      </c>
      <c r="E469">
        <v>279</v>
      </c>
      <c r="F469" t="s">
        <v>391</v>
      </c>
      <c r="G469" t="s">
        <v>247</v>
      </c>
    </row>
    <row r="470" spans="1:7" x14ac:dyDescent="0.3">
      <c r="A470">
        <v>468</v>
      </c>
      <c r="B470" t="s">
        <v>460</v>
      </c>
      <c r="C470" t="s">
        <v>452</v>
      </c>
      <c r="D470">
        <v>570</v>
      </c>
      <c r="E470">
        <v>525</v>
      </c>
      <c r="F470" t="s">
        <v>246</v>
      </c>
      <c r="G470" t="s">
        <v>247</v>
      </c>
    </row>
    <row r="471" spans="1:7" x14ac:dyDescent="0.3">
      <c r="A471">
        <v>469</v>
      </c>
      <c r="B471" t="s">
        <v>461</v>
      </c>
      <c r="C471" t="s">
        <v>448</v>
      </c>
      <c r="D471">
        <v>560</v>
      </c>
      <c r="E471">
        <v>519</v>
      </c>
      <c r="F471" t="s">
        <v>246</v>
      </c>
      <c r="G471" t="s">
        <v>247</v>
      </c>
    </row>
    <row r="472" spans="1:7" x14ac:dyDescent="0.3">
      <c r="A472">
        <v>470</v>
      </c>
      <c r="B472" t="s">
        <v>462</v>
      </c>
      <c r="C472" t="s">
        <v>463</v>
      </c>
      <c r="D472">
        <v>650</v>
      </c>
      <c r="E472">
        <v>499</v>
      </c>
      <c r="F472" t="s">
        <v>246</v>
      </c>
      <c r="G472" t="s">
        <v>247</v>
      </c>
    </row>
    <row r="473" spans="1:7" x14ac:dyDescent="0.3">
      <c r="A473">
        <v>471</v>
      </c>
      <c r="B473" t="s">
        <v>464</v>
      </c>
      <c r="C473" t="s">
        <v>465</v>
      </c>
      <c r="D473">
        <v>575</v>
      </c>
      <c r="E473">
        <v>475</v>
      </c>
      <c r="F473" t="s">
        <v>391</v>
      </c>
      <c r="G473" t="s">
        <v>247</v>
      </c>
    </row>
    <row r="474" spans="1:7" x14ac:dyDescent="0.3">
      <c r="A474">
        <v>472</v>
      </c>
      <c r="B474" t="s">
        <v>466</v>
      </c>
      <c r="C474" t="s">
        <v>455</v>
      </c>
      <c r="D474">
        <v>615</v>
      </c>
      <c r="E474">
        <v>525</v>
      </c>
      <c r="F474" t="s">
        <v>246</v>
      </c>
      <c r="G474" t="s">
        <v>247</v>
      </c>
    </row>
    <row r="475" spans="1:7" x14ac:dyDescent="0.3">
      <c r="A475">
        <v>473</v>
      </c>
      <c r="B475" t="s">
        <v>466</v>
      </c>
      <c r="C475" t="s">
        <v>455</v>
      </c>
      <c r="D475">
        <v>310</v>
      </c>
      <c r="E475">
        <v>265</v>
      </c>
      <c r="F475" t="s">
        <v>391</v>
      </c>
      <c r="G475" t="s">
        <v>247</v>
      </c>
    </row>
    <row r="476" spans="1:7" x14ac:dyDescent="0.3">
      <c r="A476">
        <v>474</v>
      </c>
      <c r="B476" t="s">
        <v>466</v>
      </c>
      <c r="C476" t="s">
        <v>455</v>
      </c>
      <c r="D476">
        <v>139</v>
      </c>
      <c r="E476">
        <v>119</v>
      </c>
      <c r="F476" t="s">
        <v>399</v>
      </c>
      <c r="G476" t="s">
        <v>247</v>
      </c>
    </row>
    <row r="477" spans="1:7" x14ac:dyDescent="0.3">
      <c r="A477">
        <v>475</v>
      </c>
      <c r="B477" t="s">
        <v>467</v>
      </c>
      <c r="C477" t="s">
        <v>444</v>
      </c>
      <c r="D477">
        <v>615</v>
      </c>
      <c r="E477">
        <v>479</v>
      </c>
      <c r="F477" t="s">
        <v>246</v>
      </c>
      <c r="G477" t="s">
        <v>247</v>
      </c>
    </row>
    <row r="478" spans="1:7" x14ac:dyDescent="0.3">
      <c r="A478">
        <v>476</v>
      </c>
      <c r="B478" t="s">
        <v>468</v>
      </c>
      <c r="C478" t="s">
        <v>455</v>
      </c>
      <c r="D478">
        <v>3000</v>
      </c>
      <c r="E478">
        <v>2599</v>
      </c>
      <c r="F478" t="s">
        <v>331</v>
      </c>
      <c r="G478" t="s">
        <v>247</v>
      </c>
    </row>
    <row r="479" spans="1:7" x14ac:dyDescent="0.3">
      <c r="A479">
        <v>477</v>
      </c>
      <c r="B479" t="s">
        <v>469</v>
      </c>
      <c r="C479" t="s">
        <v>470</v>
      </c>
      <c r="D479">
        <v>375</v>
      </c>
      <c r="E479">
        <v>255</v>
      </c>
      <c r="F479" t="s">
        <v>471</v>
      </c>
      <c r="G479" t="s">
        <v>472</v>
      </c>
    </row>
    <row r="480" spans="1:7" x14ac:dyDescent="0.3">
      <c r="A480">
        <v>478</v>
      </c>
      <c r="B480" t="s">
        <v>473</v>
      </c>
      <c r="C480" t="s">
        <v>465</v>
      </c>
      <c r="D480">
        <v>575</v>
      </c>
      <c r="E480">
        <v>470</v>
      </c>
      <c r="F480" t="s">
        <v>391</v>
      </c>
      <c r="G480" t="s">
        <v>247</v>
      </c>
    </row>
    <row r="481" spans="1:7" x14ac:dyDescent="0.3">
      <c r="A481">
        <v>479</v>
      </c>
      <c r="B481" t="s">
        <v>474</v>
      </c>
      <c r="C481" t="s">
        <v>475</v>
      </c>
      <c r="D481">
        <v>650</v>
      </c>
      <c r="E481">
        <v>585</v>
      </c>
      <c r="F481" t="s">
        <v>391</v>
      </c>
      <c r="G481" t="s">
        <v>247</v>
      </c>
    </row>
    <row r="482" spans="1:7" x14ac:dyDescent="0.3">
      <c r="A482">
        <v>480</v>
      </c>
      <c r="B482" t="s">
        <v>476</v>
      </c>
      <c r="C482" t="s">
        <v>348</v>
      </c>
      <c r="D482">
        <v>106</v>
      </c>
      <c r="E482">
        <v>87</v>
      </c>
      <c r="F482" t="s">
        <v>391</v>
      </c>
      <c r="G482" t="s">
        <v>247</v>
      </c>
    </row>
    <row r="483" spans="1:7" x14ac:dyDescent="0.3">
      <c r="A483">
        <v>481</v>
      </c>
      <c r="B483" t="s">
        <v>476</v>
      </c>
      <c r="C483" t="s">
        <v>348</v>
      </c>
      <c r="D483">
        <v>203</v>
      </c>
      <c r="E483">
        <v>175</v>
      </c>
      <c r="F483" t="s">
        <v>246</v>
      </c>
      <c r="G483" t="s">
        <v>247</v>
      </c>
    </row>
    <row r="484" spans="1:7" x14ac:dyDescent="0.3">
      <c r="A484">
        <v>482</v>
      </c>
      <c r="B484" t="s">
        <v>477</v>
      </c>
      <c r="C484" t="s">
        <v>463</v>
      </c>
      <c r="D484">
        <v>273</v>
      </c>
      <c r="E484">
        <v>235</v>
      </c>
      <c r="F484" t="s">
        <v>96</v>
      </c>
      <c r="G484" t="s">
        <v>252</v>
      </c>
    </row>
    <row r="485" spans="1:7" x14ac:dyDescent="0.3">
      <c r="A485">
        <v>483</v>
      </c>
      <c r="B485" t="s">
        <v>477</v>
      </c>
      <c r="C485" t="s">
        <v>463</v>
      </c>
      <c r="D485">
        <v>512</v>
      </c>
      <c r="E485">
        <v>430</v>
      </c>
      <c r="F485" t="s">
        <v>478</v>
      </c>
      <c r="G485" t="s">
        <v>252</v>
      </c>
    </row>
    <row r="486" spans="1:7" x14ac:dyDescent="0.3">
      <c r="A486">
        <v>484</v>
      </c>
      <c r="B486" t="s">
        <v>479</v>
      </c>
      <c r="C486" t="s">
        <v>463</v>
      </c>
      <c r="D486">
        <v>321</v>
      </c>
      <c r="E486">
        <v>255</v>
      </c>
      <c r="F486" t="s">
        <v>96</v>
      </c>
      <c r="G486" t="s">
        <v>252</v>
      </c>
    </row>
    <row r="487" spans="1:7" x14ac:dyDescent="0.3">
      <c r="A487">
        <v>485</v>
      </c>
      <c r="B487" t="s">
        <v>480</v>
      </c>
      <c r="C487" t="s">
        <v>463</v>
      </c>
      <c r="D487">
        <v>337</v>
      </c>
      <c r="E487">
        <v>272</v>
      </c>
      <c r="F487" t="s">
        <v>96</v>
      </c>
      <c r="G487" t="s">
        <v>252</v>
      </c>
    </row>
    <row r="488" spans="1:7" x14ac:dyDescent="0.3">
      <c r="A488">
        <v>486</v>
      </c>
      <c r="B488" t="s">
        <v>481</v>
      </c>
      <c r="C488" t="s">
        <v>482</v>
      </c>
      <c r="D488">
        <v>265</v>
      </c>
      <c r="E488">
        <v>210</v>
      </c>
      <c r="F488" t="s">
        <v>96</v>
      </c>
      <c r="G488" t="s">
        <v>252</v>
      </c>
    </row>
    <row r="489" spans="1:7" x14ac:dyDescent="0.3">
      <c r="A489">
        <v>487</v>
      </c>
      <c r="B489" t="s">
        <v>481</v>
      </c>
      <c r="C489" t="s">
        <v>482</v>
      </c>
      <c r="D489">
        <v>496</v>
      </c>
      <c r="E489">
        <v>385</v>
      </c>
      <c r="F489" t="s">
        <v>478</v>
      </c>
      <c r="G489" t="s">
        <v>252</v>
      </c>
    </row>
    <row r="490" spans="1:7" x14ac:dyDescent="0.3">
      <c r="A490">
        <v>488</v>
      </c>
      <c r="B490" t="s">
        <v>483</v>
      </c>
      <c r="C490" t="s">
        <v>329</v>
      </c>
      <c r="D490">
        <v>425</v>
      </c>
      <c r="E490">
        <v>335</v>
      </c>
      <c r="F490" t="s">
        <v>478</v>
      </c>
      <c r="G490" t="s">
        <v>252</v>
      </c>
    </row>
    <row r="491" spans="1:7" x14ac:dyDescent="0.3">
      <c r="A491">
        <v>489</v>
      </c>
      <c r="B491" t="s">
        <v>484</v>
      </c>
      <c r="C491" t="s">
        <v>346</v>
      </c>
      <c r="D491">
        <v>245</v>
      </c>
      <c r="E491">
        <v>185</v>
      </c>
      <c r="F491" t="s">
        <v>96</v>
      </c>
      <c r="G491" t="s">
        <v>252</v>
      </c>
    </row>
    <row r="492" spans="1:7" x14ac:dyDescent="0.3">
      <c r="A492">
        <v>490</v>
      </c>
      <c r="B492" t="s">
        <v>484</v>
      </c>
      <c r="C492" t="s">
        <v>346</v>
      </c>
      <c r="D492">
        <v>450</v>
      </c>
      <c r="E492">
        <v>355</v>
      </c>
      <c r="F492" t="s">
        <v>478</v>
      </c>
      <c r="G492" t="s">
        <v>252</v>
      </c>
    </row>
    <row r="493" spans="1:7" x14ac:dyDescent="0.3">
      <c r="A493">
        <v>491</v>
      </c>
      <c r="B493" t="s">
        <v>485</v>
      </c>
      <c r="C493" t="s">
        <v>486</v>
      </c>
      <c r="D493">
        <v>86</v>
      </c>
      <c r="E493">
        <v>79</v>
      </c>
      <c r="F493" t="s">
        <v>15</v>
      </c>
      <c r="G493" t="s">
        <v>252</v>
      </c>
    </row>
    <row r="494" spans="1:7" x14ac:dyDescent="0.3">
      <c r="A494">
        <v>492</v>
      </c>
      <c r="B494" t="s">
        <v>485</v>
      </c>
      <c r="C494" t="s">
        <v>486</v>
      </c>
      <c r="D494">
        <v>425</v>
      </c>
      <c r="E494">
        <v>390</v>
      </c>
      <c r="F494" t="s">
        <v>96</v>
      </c>
      <c r="G494" t="s">
        <v>252</v>
      </c>
    </row>
    <row r="495" spans="1:7" x14ac:dyDescent="0.3">
      <c r="A495">
        <v>493</v>
      </c>
      <c r="B495" t="s">
        <v>487</v>
      </c>
      <c r="C495" t="s">
        <v>17</v>
      </c>
      <c r="D495">
        <v>225</v>
      </c>
      <c r="E495">
        <v>163</v>
      </c>
      <c r="F495" t="s">
        <v>96</v>
      </c>
      <c r="G495" t="s">
        <v>252</v>
      </c>
    </row>
    <row r="496" spans="1:7" x14ac:dyDescent="0.3">
      <c r="A496">
        <v>494</v>
      </c>
      <c r="B496" t="s">
        <v>488</v>
      </c>
      <c r="C496" t="s">
        <v>482</v>
      </c>
      <c r="D496">
        <v>330</v>
      </c>
      <c r="E496">
        <v>255</v>
      </c>
      <c r="F496" t="s">
        <v>96</v>
      </c>
      <c r="G496" t="s">
        <v>252</v>
      </c>
    </row>
    <row r="497" spans="1:7" x14ac:dyDescent="0.3">
      <c r="A497">
        <v>495</v>
      </c>
      <c r="B497" t="s">
        <v>489</v>
      </c>
      <c r="C497" t="s">
        <v>70</v>
      </c>
      <c r="D497">
        <v>350</v>
      </c>
      <c r="E497">
        <v>305</v>
      </c>
      <c r="F497" t="s">
        <v>490</v>
      </c>
      <c r="G497" t="s">
        <v>252</v>
      </c>
    </row>
    <row r="498" spans="1:7" x14ac:dyDescent="0.3">
      <c r="A498">
        <v>496</v>
      </c>
      <c r="B498" t="s">
        <v>489</v>
      </c>
      <c r="C498" t="s">
        <v>70</v>
      </c>
      <c r="D498">
        <v>72</v>
      </c>
      <c r="E498">
        <v>59</v>
      </c>
      <c r="F498" t="s">
        <v>15</v>
      </c>
      <c r="G498" t="s">
        <v>252</v>
      </c>
    </row>
    <row r="499" spans="1:7" x14ac:dyDescent="0.3">
      <c r="A499">
        <v>497</v>
      </c>
      <c r="B499" t="s">
        <v>491</v>
      </c>
      <c r="C499" t="s">
        <v>17</v>
      </c>
      <c r="D499">
        <v>55</v>
      </c>
      <c r="E499">
        <v>45</v>
      </c>
      <c r="F499" t="s">
        <v>15</v>
      </c>
      <c r="G499" t="s">
        <v>252</v>
      </c>
    </row>
    <row r="500" spans="1:7" x14ac:dyDescent="0.3">
      <c r="A500">
        <v>498</v>
      </c>
      <c r="B500" t="s">
        <v>492</v>
      </c>
      <c r="C500" t="s">
        <v>78</v>
      </c>
      <c r="D500">
        <v>320</v>
      </c>
      <c r="E500">
        <v>199</v>
      </c>
      <c r="F500" t="s">
        <v>96</v>
      </c>
      <c r="G500" t="s">
        <v>252</v>
      </c>
    </row>
    <row r="501" spans="1:7" x14ac:dyDescent="0.3">
      <c r="A501">
        <v>499</v>
      </c>
      <c r="B501" t="s">
        <v>493</v>
      </c>
      <c r="C501" t="s">
        <v>70</v>
      </c>
      <c r="D501">
        <v>65</v>
      </c>
      <c r="E501">
        <v>52</v>
      </c>
      <c r="F501" t="s">
        <v>9</v>
      </c>
      <c r="G501" t="s">
        <v>252</v>
      </c>
    </row>
    <row r="502" spans="1:7" x14ac:dyDescent="0.3">
      <c r="A502">
        <v>500</v>
      </c>
      <c r="B502" t="s">
        <v>494</v>
      </c>
      <c r="C502" t="s">
        <v>70</v>
      </c>
      <c r="D502">
        <v>70</v>
      </c>
      <c r="E502">
        <v>60</v>
      </c>
      <c r="F502" t="s">
        <v>9</v>
      </c>
      <c r="G502" t="s">
        <v>252</v>
      </c>
    </row>
    <row r="503" spans="1:7" x14ac:dyDescent="0.3">
      <c r="A503">
        <v>501</v>
      </c>
      <c r="B503" t="s">
        <v>495</v>
      </c>
      <c r="C503" t="s">
        <v>486</v>
      </c>
      <c r="D503">
        <v>155</v>
      </c>
      <c r="E503">
        <v>144</v>
      </c>
      <c r="F503" t="s">
        <v>15</v>
      </c>
      <c r="G503" t="s">
        <v>252</v>
      </c>
    </row>
    <row r="504" spans="1:7" x14ac:dyDescent="0.3">
      <c r="A504">
        <v>502</v>
      </c>
      <c r="B504" t="s">
        <v>496</v>
      </c>
      <c r="C504" t="s">
        <v>17</v>
      </c>
      <c r="D504">
        <v>300</v>
      </c>
      <c r="E504">
        <v>195</v>
      </c>
      <c r="F504" t="s">
        <v>96</v>
      </c>
      <c r="G504" t="s">
        <v>252</v>
      </c>
    </row>
    <row r="505" spans="1:7" x14ac:dyDescent="0.3">
      <c r="A505">
        <v>503</v>
      </c>
      <c r="B505" t="s">
        <v>496</v>
      </c>
      <c r="C505" t="s">
        <v>17</v>
      </c>
      <c r="D505">
        <v>570</v>
      </c>
      <c r="E505">
        <v>370</v>
      </c>
      <c r="F505" t="s">
        <v>478</v>
      </c>
      <c r="G505" t="s">
        <v>252</v>
      </c>
    </row>
    <row r="506" spans="1:7" x14ac:dyDescent="0.3">
      <c r="A506">
        <v>504</v>
      </c>
      <c r="B506" t="s">
        <v>497</v>
      </c>
      <c r="C506" t="s">
        <v>17</v>
      </c>
      <c r="D506">
        <v>35</v>
      </c>
      <c r="E506">
        <v>30</v>
      </c>
      <c r="F506" t="s">
        <v>12</v>
      </c>
      <c r="G506" t="s">
        <v>252</v>
      </c>
    </row>
    <row r="507" spans="1:7" x14ac:dyDescent="0.3">
      <c r="A507">
        <v>505</v>
      </c>
      <c r="B507" t="s">
        <v>498</v>
      </c>
      <c r="C507" t="s">
        <v>17</v>
      </c>
      <c r="D507">
        <v>44</v>
      </c>
      <c r="E507">
        <v>40</v>
      </c>
      <c r="F507" t="s">
        <v>15</v>
      </c>
      <c r="G507" t="s">
        <v>252</v>
      </c>
    </row>
    <row r="508" spans="1:7" x14ac:dyDescent="0.3">
      <c r="A508">
        <v>506</v>
      </c>
      <c r="B508" t="s">
        <v>499</v>
      </c>
      <c r="C508" t="s">
        <v>28</v>
      </c>
      <c r="D508">
        <v>57</v>
      </c>
      <c r="E508">
        <v>49</v>
      </c>
      <c r="F508" t="s">
        <v>9</v>
      </c>
      <c r="G508" t="s">
        <v>252</v>
      </c>
    </row>
    <row r="509" spans="1:7" x14ac:dyDescent="0.3">
      <c r="A509">
        <v>507</v>
      </c>
      <c r="B509" t="s">
        <v>500</v>
      </c>
      <c r="C509" t="s">
        <v>17</v>
      </c>
      <c r="D509">
        <v>47</v>
      </c>
      <c r="E509">
        <v>41</v>
      </c>
      <c r="F509" t="s">
        <v>15</v>
      </c>
      <c r="G509" t="s">
        <v>252</v>
      </c>
    </row>
    <row r="510" spans="1:7" x14ac:dyDescent="0.3">
      <c r="A510">
        <v>508</v>
      </c>
      <c r="B510" t="s">
        <v>501</v>
      </c>
      <c r="C510" t="s">
        <v>475</v>
      </c>
      <c r="D510">
        <v>295</v>
      </c>
      <c r="E510">
        <v>265</v>
      </c>
      <c r="F510" t="s">
        <v>9</v>
      </c>
      <c r="G510" t="s">
        <v>252</v>
      </c>
    </row>
    <row r="511" spans="1:7" x14ac:dyDescent="0.3">
      <c r="A511">
        <v>509</v>
      </c>
      <c r="B511" t="s">
        <v>502</v>
      </c>
      <c r="C511" t="s">
        <v>28</v>
      </c>
      <c r="D511">
        <v>37</v>
      </c>
      <c r="E511">
        <v>34</v>
      </c>
      <c r="F511" t="s">
        <v>9</v>
      </c>
      <c r="G511" t="s">
        <v>252</v>
      </c>
    </row>
    <row r="512" spans="1:7" x14ac:dyDescent="0.3">
      <c r="A512">
        <v>510</v>
      </c>
      <c r="B512" t="s">
        <v>503</v>
      </c>
      <c r="C512" t="s">
        <v>28</v>
      </c>
      <c r="D512">
        <v>15</v>
      </c>
      <c r="E512">
        <v>13</v>
      </c>
      <c r="F512" t="s">
        <v>11</v>
      </c>
      <c r="G512" t="s">
        <v>252</v>
      </c>
    </row>
    <row r="513" spans="1:7" x14ac:dyDescent="0.3">
      <c r="A513">
        <v>511</v>
      </c>
      <c r="B513" t="s">
        <v>504</v>
      </c>
      <c r="C513" t="s">
        <v>505</v>
      </c>
      <c r="D513">
        <v>225</v>
      </c>
      <c r="E513">
        <v>112</v>
      </c>
      <c r="F513" t="s">
        <v>9</v>
      </c>
      <c r="G513" t="s">
        <v>252</v>
      </c>
    </row>
    <row r="514" spans="1:7" x14ac:dyDescent="0.3">
      <c r="A514">
        <v>512</v>
      </c>
      <c r="B514" t="s">
        <v>506</v>
      </c>
      <c r="C514" t="s">
        <v>17</v>
      </c>
      <c r="D514">
        <v>26</v>
      </c>
      <c r="E514">
        <v>21</v>
      </c>
      <c r="F514" t="s">
        <v>9</v>
      </c>
      <c r="G514" t="s">
        <v>252</v>
      </c>
    </row>
    <row r="515" spans="1:7" x14ac:dyDescent="0.3">
      <c r="A515">
        <v>513</v>
      </c>
      <c r="B515" t="s">
        <v>506</v>
      </c>
      <c r="C515" t="s">
        <v>17</v>
      </c>
      <c r="D515">
        <v>50</v>
      </c>
      <c r="E515">
        <v>42</v>
      </c>
      <c r="F515" t="s">
        <v>15</v>
      </c>
      <c r="G515" t="s">
        <v>252</v>
      </c>
    </row>
    <row r="516" spans="1:7" x14ac:dyDescent="0.3">
      <c r="A516">
        <v>514</v>
      </c>
      <c r="B516" t="s">
        <v>507</v>
      </c>
      <c r="C516" t="s">
        <v>17</v>
      </c>
      <c r="D516">
        <v>47</v>
      </c>
      <c r="E516">
        <v>40</v>
      </c>
      <c r="F516" t="s">
        <v>9</v>
      </c>
      <c r="G516" t="s">
        <v>252</v>
      </c>
    </row>
    <row r="517" spans="1:7" x14ac:dyDescent="0.3">
      <c r="A517">
        <v>515</v>
      </c>
      <c r="B517" t="s">
        <v>507</v>
      </c>
      <c r="C517" t="s">
        <v>17</v>
      </c>
      <c r="D517">
        <v>91</v>
      </c>
      <c r="E517">
        <v>78</v>
      </c>
      <c r="F517" t="s">
        <v>15</v>
      </c>
      <c r="G517" t="s">
        <v>252</v>
      </c>
    </row>
    <row r="518" spans="1:7" x14ac:dyDescent="0.3">
      <c r="A518">
        <v>516</v>
      </c>
      <c r="B518" t="s">
        <v>508</v>
      </c>
      <c r="C518" t="s">
        <v>329</v>
      </c>
      <c r="D518">
        <v>140</v>
      </c>
      <c r="E518">
        <v>70</v>
      </c>
      <c r="F518" t="s">
        <v>15</v>
      </c>
      <c r="G518" t="s">
        <v>252</v>
      </c>
    </row>
    <row r="519" spans="1:7" x14ac:dyDescent="0.3">
      <c r="A519">
        <v>517</v>
      </c>
      <c r="B519" t="s">
        <v>509</v>
      </c>
      <c r="C519" t="s">
        <v>28</v>
      </c>
      <c r="D519">
        <v>37</v>
      </c>
      <c r="E519">
        <v>34</v>
      </c>
      <c r="F519" t="s">
        <v>9</v>
      </c>
      <c r="G519" t="s">
        <v>252</v>
      </c>
    </row>
    <row r="520" spans="1:7" x14ac:dyDescent="0.3">
      <c r="A520">
        <v>518</v>
      </c>
      <c r="B520" t="s">
        <v>510</v>
      </c>
      <c r="C520" t="s">
        <v>17</v>
      </c>
      <c r="D520">
        <v>28</v>
      </c>
      <c r="E520">
        <v>24</v>
      </c>
      <c r="F520" t="s">
        <v>9</v>
      </c>
      <c r="G520" t="s">
        <v>252</v>
      </c>
    </row>
    <row r="521" spans="1:7" x14ac:dyDescent="0.3">
      <c r="A521">
        <v>519</v>
      </c>
      <c r="B521" t="s">
        <v>511</v>
      </c>
      <c r="C521" t="s">
        <v>17</v>
      </c>
      <c r="D521">
        <v>27</v>
      </c>
      <c r="E521">
        <v>24</v>
      </c>
      <c r="F521" t="s">
        <v>9</v>
      </c>
      <c r="G521" t="s">
        <v>252</v>
      </c>
    </row>
    <row r="522" spans="1:7" x14ac:dyDescent="0.3">
      <c r="A522">
        <v>520</v>
      </c>
      <c r="B522" t="s">
        <v>512</v>
      </c>
      <c r="C522" t="s">
        <v>36</v>
      </c>
      <c r="D522">
        <v>125</v>
      </c>
      <c r="E522">
        <v>99</v>
      </c>
      <c r="F522" t="s">
        <v>182</v>
      </c>
      <c r="G522" t="s">
        <v>252</v>
      </c>
    </row>
    <row r="523" spans="1:7" x14ac:dyDescent="0.3">
      <c r="A523">
        <v>521</v>
      </c>
      <c r="B523" t="s">
        <v>491</v>
      </c>
      <c r="C523" t="s">
        <v>17</v>
      </c>
      <c r="D523">
        <v>27</v>
      </c>
      <c r="E523">
        <v>23</v>
      </c>
      <c r="F523" t="s">
        <v>9</v>
      </c>
      <c r="G523" t="s">
        <v>252</v>
      </c>
    </row>
    <row r="524" spans="1:7" x14ac:dyDescent="0.3">
      <c r="A524">
        <v>522</v>
      </c>
      <c r="B524" t="s">
        <v>513</v>
      </c>
      <c r="C524" t="s">
        <v>17</v>
      </c>
      <c r="D524">
        <v>32</v>
      </c>
      <c r="E524">
        <v>28</v>
      </c>
      <c r="F524" t="s">
        <v>9</v>
      </c>
      <c r="G524" t="s">
        <v>252</v>
      </c>
    </row>
    <row r="525" spans="1:7" x14ac:dyDescent="0.3">
      <c r="A525">
        <v>523</v>
      </c>
      <c r="B525" t="s">
        <v>514</v>
      </c>
      <c r="C525" t="s">
        <v>515</v>
      </c>
      <c r="D525">
        <v>44</v>
      </c>
      <c r="E525">
        <v>34</v>
      </c>
      <c r="F525" t="s">
        <v>9</v>
      </c>
      <c r="G525" t="s">
        <v>252</v>
      </c>
    </row>
    <row r="526" spans="1:7" x14ac:dyDescent="0.3">
      <c r="A526">
        <v>524</v>
      </c>
      <c r="B526" t="s">
        <v>516</v>
      </c>
      <c r="C526" t="s">
        <v>28</v>
      </c>
      <c r="D526">
        <v>63</v>
      </c>
      <c r="E526">
        <v>58</v>
      </c>
      <c r="F526" t="s">
        <v>9</v>
      </c>
      <c r="G526" t="s">
        <v>252</v>
      </c>
    </row>
    <row r="527" spans="1:7" x14ac:dyDescent="0.3">
      <c r="A527">
        <v>525</v>
      </c>
      <c r="B527" t="s">
        <v>517</v>
      </c>
      <c r="C527" t="s">
        <v>518</v>
      </c>
      <c r="D527">
        <v>45</v>
      </c>
      <c r="E527">
        <v>38</v>
      </c>
      <c r="F527" t="s">
        <v>12</v>
      </c>
      <c r="G527" t="s">
        <v>252</v>
      </c>
    </row>
    <row r="528" spans="1:7" x14ac:dyDescent="0.3">
      <c r="A528">
        <v>526</v>
      </c>
      <c r="B528" t="s">
        <v>517</v>
      </c>
      <c r="C528" t="s">
        <v>518</v>
      </c>
      <c r="D528">
        <v>80</v>
      </c>
      <c r="E528">
        <v>74</v>
      </c>
      <c r="F528" t="s">
        <v>9</v>
      </c>
      <c r="G528" t="s">
        <v>252</v>
      </c>
    </row>
    <row r="529" spans="1:7" x14ac:dyDescent="0.3">
      <c r="A529">
        <v>527</v>
      </c>
      <c r="B529" t="s">
        <v>519</v>
      </c>
      <c r="C529" t="s">
        <v>28</v>
      </c>
      <c r="D529">
        <v>35</v>
      </c>
      <c r="E529">
        <v>30</v>
      </c>
      <c r="F529" t="s">
        <v>9</v>
      </c>
      <c r="G529" t="s">
        <v>252</v>
      </c>
    </row>
    <row r="530" spans="1:7" x14ac:dyDescent="0.3">
      <c r="A530">
        <v>528</v>
      </c>
      <c r="B530" t="s">
        <v>520</v>
      </c>
      <c r="C530" t="s">
        <v>17</v>
      </c>
      <c r="D530">
        <v>33</v>
      </c>
      <c r="E530">
        <v>27</v>
      </c>
      <c r="F530" t="s">
        <v>9</v>
      </c>
      <c r="G530" t="s">
        <v>252</v>
      </c>
    </row>
    <row r="531" spans="1:7" x14ac:dyDescent="0.3">
      <c r="A531">
        <v>529</v>
      </c>
      <c r="B531" t="s">
        <v>521</v>
      </c>
      <c r="C531" t="s">
        <v>515</v>
      </c>
      <c r="D531">
        <v>45</v>
      </c>
      <c r="E531">
        <v>35</v>
      </c>
      <c r="F531" t="s">
        <v>12</v>
      </c>
      <c r="G531" t="s">
        <v>252</v>
      </c>
    </row>
    <row r="532" spans="1:7" x14ac:dyDescent="0.3">
      <c r="A532">
        <v>530</v>
      </c>
      <c r="B532" t="s">
        <v>522</v>
      </c>
      <c r="C532" t="s">
        <v>28</v>
      </c>
      <c r="D532">
        <v>96</v>
      </c>
      <c r="E532">
        <v>89</v>
      </c>
      <c r="F532" t="s">
        <v>9</v>
      </c>
      <c r="G532" t="s">
        <v>252</v>
      </c>
    </row>
    <row r="533" spans="1:7" x14ac:dyDescent="0.3">
      <c r="A533">
        <v>531</v>
      </c>
      <c r="B533" t="s">
        <v>523</v>
      </c>
      <c r="C533" t="s">
        <v>515</v>
      </c>
      <c r="D533">
        <v>44</v>
      </c>
      <c r="E533">
        <v>37</v>
      </c>
      <c r="F533" t="s">
        <v>9</v>
      </c>
      <c r="G533" t="s">
        <v>252</v>
      </c>
    </row>
    <row r="534" spans="1:7" x14ac:dyDescent="0.3">
      <c r="A534">
        <v>532</v>
      </c>
      <c r="B534" t="s">
        <v>524</v>
      </c>
      <c r="C534" t="s">
        <v>515</v>
      </c>
      <c r="D534">
        <v>33</v>
      </c>
      <c r="E534">
        <v>28</v>
      </c>
      <c r="F534" t="s">
        <v>9</v>
      </c>
      <c r="G534" t="s">
        <v>252</v>
      </c>
    </row>
    <row r="535" spans="1:7" x14ac:dyDescent="0.3">
      <c r="A535">
        <v>533</v>
      </c>
      <c r="B535" t="s">
        <v>525</v>
      </c>
      <c r="C535" t="s">
        <v>515</v>
      </c>
      <c r="D535">
        <v>40</v>
      </c>
      <c r="E535">
        <v>28</v>
      </c>
      <c r="F535" t="s">
        <v>9</v>
      </c>
      <c r="G535" t="s">
        <v>252</v>
      </c>
    </row>
    <row r="536" spans="1:7" x14ac:dyDescent="0.3">
      <c r="A536">
        <v>534</v>
      </c>
      <c r="B536" t="s">
        <v>526</v>
      </c>
      <c r="C536" t="s">
        <v>515</v>
      </c>
      <c r="D536">
        <v>55</v>
      </c>
      <c r="E536">
        <v>39</v>
      </c>
      <c r="F536" t="s">
        <v>12</v>
      </c>
      <c r="G536" t="s">
        <v>252</v>
      </c>
    </row>
    <row r="537" spans="1:7" x14ac:dyDescent="0.3">
      <c r="A537">
        <v>535</v>
      </c>
      <c r="B537" t="s">
        <v>527</v>
      </c>
      <c r="C537" t="s">
        <v>78</v>
      </c>
      <c r="D537">
        <v>55</v>
      </c>
      <c r="E537">
        <v>38</v>
      </c>
      <c r="F537" t="s">
        <v>9</v>
      </c>
      <c r="G537" t="s">
        <v>252</v>
      </c>
    </row>
    <row r="538" spans="1:7" x14ac:dyDescent="0.3">
      <c r="A538">
        <v>536</v>
      </c>
      <c r="B538" t="s">
        <v>528</v>
      </c>
      <c r="C538" t="s">
        <v>515</v>
      </c>
      <c r="D538">
        <v>40</v>
      </c>
      <c r="E538">
        <v>34</v>
      </c>
      <c r="F538" t="s">
        <v>12</v>
      </c>
      <c r="G538" t="s">
        <v>252</v>
      </c>
    </row>
    <row r="539" spans="1:7" x14ac:dyDescent="0.3">
      <c r="A539">
        <v>537</v>
      </c>
      <c r="B539" t="s">
        <v>529</v>
      </c>
      <c r="C539" t="s">
        <v>515</v>
      </c>
      <c r="D539">
        <v>120</v>
      </c>
      <c r="E539">
        <v>85</v>
      </c>
      <c r="F539" t="s">
        <v>12</v>
      </c>
      <c r="G539" t="s">
        <v>252</v>
      </c>
    </row>
    <row r="540" spans="1:7" x14ac:dyDescent="0.3">
      <c r="A540">
        <v>538</v>
      </c>
      <c r="B540" t="s">
        <v>530</v>
      </c>
      <c r="C540" t="s">
        <v>515</v>
      </c>
      <c r="D540">
        <v>55</v>
      </c>
      <c r="E540">
        <v>39</v>
      </c>
      <c r="F540" t="s">
        <v>12</v>
      </c>
      <c r="G540" t="s">
        <v>252</v>
      </c>
    </row>
    <row r="541" spans="1:7" x14ac:dyDescent="0.3">
      <c r="A541">
        <v>539</v>
      </c>
      <c r="B541" t="s">
        <v>531</v>
      </c>
      <c r="C541" t="s">
        <v>17</v>
      </c>
      <c r="D541">
        <v>34</v>
      </c>
      <c r="E541">
        <v>28</v>
      </c>
      <c r="F541" t="s">
        <v>9</v>
      </c>
      <c r="G541" t="s">
        <v>252</v>
      </c>
    </row>
    <row r="542" spans="1:7" x14ac:dyDescent="0.3">
      <c r="A542">
        <v>540</v>
      </c>
      <c r="B542" t="s">
        <v>532</v>
      </c>
      <c r="C542" t="s">
        <v>533</v>
      </c>
      <c r="D542">
        <v>30</v>
      </c>
      <c r="E542">
        <v>25</v>
      </c>
      <c r="F542" t="s">
        <v>11</v>
      </c>
      <c r="G542" t="s">
        <v>252</v>
      </c>
    </row>
    <row r="543" spans="1:7" x14ac:dyDescent="0.3">
      <c r="A543">
        <v>541</v>
      </c>
      <c r="B543" t="s">
        <v>534</v>
      </c>
      <c r="C543" t="s">
        <v>60</v>
      </c>
      <c r="D543">
        <v>50</v>
      </c>
      <c r="E543">
        <v>35</v>
      </c>
      <c r="F543" t="s">
        <v>12</v>
      </c>
      <c r="G543" t="s">
        <v>252</v>
      </c>
    </row>
    <row r="544" spans="1:7" x14ac:dyDescent="0.3">
      <c r="A544">
        <v>542</v>
      </c>
      <c r="B544" t="s">
        <v>535</v>
      </c>
      <c r="C544" t="s">
        <v>515</v>
      </c>
      <c r="D544">
        <v>36</v>
      </c>
      <c r="E544">
        <v>28</v>
      </c>
      <c r="F544" t="s">
        <v>9</v>
      </c>
      <c r="G544" t="s">
        <v>252</v>
      </c>
    </row>
    <row r="545" spans="1:7" x14ac:dyDescent="0.3">
      <c r="A545">
        <v>543</v>
      </c>
      <c r="B545" t="s">
        <v>536</v>
      </c>
      <c r="C545" t="s">
        <v>28</v>
      </c>
      <c r="D545">
        <v>33</v>
      </c>
      <c r="E545">
        <v>30</v>
      </c>
      <c r="F545" t="s">
        <v>9</v>
      </c>
      <c r="G545" t="s">
        <v>252</v>
      </c>
    </row>
    <row r="546" spans="1:7" x14ac:dyDescent="0.3">
      <c r="A546">
        <v>544</v>
      </c>
      <c r="B546" t="s">
        <v>537</v>
      </c>
      <c r="C546" t="s">
        <v>515</v>
      </c>
      <c r="D546">
        <v>48</v>
      </c>
      <c r="E546">
        <v>33</v>
      </c>
      <c r="F546" t="s">
        <v>9</v>
      </c>
      <c r="G546" t="s">
        <v>252</v>
      </c>
    </row>
    <row r="547" spans="1:7" x14ac:dyDescent="0.3">
      <c r="A547">
        <v>545</v>
      </c>
      <c r="B547" t="s">
        <v>538</v>
      </c>
      <c r="C547" t="s">
        <v>539</v>
      </c>
      <c r="D547">
        <v>28</v>
      </c>
      <c r="E547">
        <v>25</v>
      </c>
      <c r="F547" t="s">
        <v>11</v>
      </c>
      <c r="G547" t="s">
        <v>252</v>
      </c>
    </row>
    <row r="548" spans="1:7" x14ac:dyDescent="0.3">
      <c r="A548">
        <v>546</v>
      </c>
      <c r="B548" t="s">
        <v>540</v>
      </c>
      <c r="C548" t="s">
        <v>60</v>
      </c>
      <c r="D548">
        <v>60</v>
      </c>
      <c r="E548">
        <v>40</v>
      </c>
      <c r="F548" t="s">
        <v>12</v>
      </c>
      <c r="G548" t="s">
        <v>252</v>
      </c>
    </row>
    <row r="549" spans="1:7" x14ac:dyDescent="0.3">
      <c r="A549">
        <v>547</v>
      </c>
      <c r="B549" t="s">
        <v>541</v>
      </c>
      <c r="C549" t="s">
        <v>542</v>
      </c>
      <c r="D549">
        <v>50</v>
      </c>
      <c r="E549">
        <v>45</v>
      </c>
      <c r="F549" t="s">
        <v>12</v>
      </c>
      <c r="G549" t="s">
        <v>252</v>
      </c>
    </row>
    <row r="550" spans="1:7" x14ac:dyDescent="0.3">
      <c r="A550">
        <v>548</v>
      </c>
      <c r="B550" t="s">
        <v>543</v>
      </c>
      <c r="C550" t="s">
        <v>515</v>
      </c>
      <c r="D550">
        <v>60</v>
      </c>
      <c r="E550">
        <v>40</v>
      </c>
      <c r="F550" t="s">
        <v>9</v>
      </c>
      <c r="G550" t="s">
        <v>252</v>
      </c>
    </row>
    <row r="551" spans="1:7" x14ac:dyDescent="0.3">
      <c r="A551">
        <v>549</v>
      </c>
      <c r="B551" t="s">
        <v>544</v>
      </c>
      <c r="C551" t="s">
        <v>542</v>
      </c>
      <c r="D551">
        <v>65</v>
      </c>
      <c r="E551">
        <v>52</v>
      </c>
      <c r="F551" t="s">
        <v>12</v>
      </c>
      <c r="G551" t="s">
        <v>252</v>
      </c>
    </row>
    <row r="552" spans="1:7" x14ac:dyDescent="0.3">
      <c r="A552">
        <v>550</v>
      </c>
      <c r="B552" t="s">
        <v>545</v>
      </c>
      <c r="C552" t="s">
        <v>17</v>
      </c>
      <c r="D552">
        <v>63</v>
      </c>
      <c r="E552">
        <v>39</v>
      </c>
      <c r="F552" t="s">
        <v>9</v>
      </c>
      <c r="G552" t="s">
        <v>252</v>
      </c>
    </row>
    <row r="553" spans="1:7" x14ac:dyDescent="0.3">
      <c r="A553">
        <v>551</v>
      </c>
      <c r="B553" t="s">
        <v>546</v>
      </c>
      <c r="C553" t="s">
        <v>547</v>
      </c>
      <c r="D553">
        <v>118</v>
      </c>
      <c r="E553">
        <v>87</v>
      </c>
      <c r="F553" t="s">
        <v>15</v>
      </c>
      <c r="G553" t="s">
        <v>249</v>
      </c>
    </row>
    <row r="554" spans="1:7" x14ac:dyDescent="0.3">
      <c r="A554">
        <v>552</v>
      </c>
      <c r="B554" t="s">
        <v>546</v>
      </c>
      <c r="C554" t="s">
        <v>547</v>
      </c>
      <c r="D554">
        <v>585</v>
      </c>
      <c r="E554">
        <v>399</v>
      </c>
      <c r="F554" t="s">
        <v>96</v>
      </c>
      <c r="G554" t="s">
        <v>249</v>
      </c>
    </row>
    <row r="555" spans="1:7" x14ac:dyDescent="0.3">
      <c r="A555">
        <v>553</v>
      </c>
      <c r="B555" t="s">
        <v>548</v>
      </c>
      <c r="C555" t="s">
        <v>549</v>
      </c>
      <c r="D555">
        <v>500</v>
      </c>
      <c r="E555">
        <v>269</v>
      </c>
      <c r="F555" t="s">
        <v>96</v>
      </c>
      <c r="G555" t="s">
        <v>249</v>
      </c>
    </row>
    <row r="556" spans="1:7" x14ac:dyDescent="0.3">
      <c r="A556">
        <v>554</v>
      </c>
      <c r="B556" t="s">
        <v>550</v>
      </c>
      <c r="C556" t="s">
        <v>549</v>
      </c>
      <c r="D556">
        <v>125</v>
      </c>
      <c r="E556">
        <v>93</v>
      </c>
      <c r="F556" t="s">
        <v>15</v>
      </c>
      <c r="G556" t="s">
        <v>249</v>
      </c>
    </row>
    <row r="557" spans="1:7" x14ac:dyDescent="0.3">
      <c r="A557">
        <v>555</v>
      </c>
      <c r="B557" t="s">
        <v>550</v>
      </c>
      <c r="C557" t="s">
        <v>549</v>
      </c>
      <c r="D557">
        <v>620</v>
      </c>
      <c r="E557">
        <v>455</v>
      </c>
      <c r="F557" t="s">
        <v>96</v>
      </c>
      <c r="G557" t="s">
        <v>249</v>
      </c>
    </row>
    <row r="558" spans="1:7" x14ac:dyDescent="0.3">
      <c r="A558">
        <v>556</v>
      </c>
      <c r="B558" t="s">
        <v>551</v>
      </c>
      <c r="C558" t="s">
        <v>549</v>
      </c>
      <c r="D558">
        <v>486</v>
      </c>
      <c r="E558">
        <v>349</v>
      </c>
      <c r="F558" t="s">
        <v>96</v>
      </c>
      <c r="G558" t="s">
        <v>249</v>
      </c>
    </row>
    <row r="559" spans="1:7" x14ac:dyDescent="0.3">
      <c r="A559">
        <v>557</v>
      </c>
      <c r="B559" t="s">
        <v>552</v>
      </c>
      <c r="C559" t="s">
        <v>547</v>
      </c>
      <c r="D559">
        <v>660</v>
      </c>
      <c r="E559">
        <v>539</v>
      </c>
      <c r="F559" t="s">
        <v>478</v>
      </c>
      <c r="G559" t="s">
        <v>249</v>
      </c>
    </row>
    <row r="560" spans="1:7" x14ac:dyDescent="0.3">
      <c r="A560">
        <v>558</v>
      </c>
      <c r="B560" t="s">
        <v>553</v>
      </c>
      <c r="C560" t="s">
        <v>547</v>
      </c>
      <c r="D560">
        <v>210</v>
      </c>
      <c r="E560">
        <v>179</v>
      </c>
      <c r="F560" t="s">
        <v>15</v>
      </c>
      <c r="G560" t="s">
        <v>249</v>
      </c>
    </row>
    <row r="561" spans="1:7" x14ac:dyDescent="0.3">
      <c r="A561">
        <v>559</v>
      </c>
      <c r="B561" t="s">
        <v>553</v>
      </c>
      <c r="C561" t="s">
        <v>547</v>
      </c>
      <c r="D561">
        <v>960</v>
      </c>
      <c r="E561">
        <v>565</v>
      </c>
      <c r="F561" t="s">
        <v>96</v>
      </c>
      <c r="G561" t="s">
        <v>249</v>
      </c>
    </row>
    <row r="562" spans="1:7" x14ac:dyDescent="0.3">
      <c r="A562">
        <v>560</v>
      </c>
      <c r="B562" t="s">
        <v>554</v>
      </c>
      <c r="C562" t="s">
        <v>17</v>
      </c>
      <c r="D562">
        <v>375</v>
      </c>
      <c r="E562">
        <v>289</v>
      </c>
      <c r="F562" t="s">
        <v>96</v>
      </c>
      <c r="G562" t="s">
        <v>555</v>
      </c>
    </row>
    <row r="563" spans="1:7" x14ac:dyDescent="0.3">
      <c r="A563">
        <v>561</v>
      </c>
      <c r="B563" t="s">
        <v>554</v>
      </c>
      <c r="C563" t="s">
        <v>17</v>
      </c>
      <c r="D563">
        <v>750</v>
      </c>
      <c r="E563">
        <v>549</v>
      </c>
      <c r="F563" t="s">
        <v>478</v>
      </c>
      <c r="G563" t="s">
        <v>555</v>
      </c>
    </row>
    <row r="564" spans="1:7" x14ac:dyDescent="0.3">
      <c r="A564">
        <v>562</v>
      </c>
      <c r="B564" t="s">
        <v>556</v>
      </c>
      <c r="C564" t="s">
        <v>329</v>
      </c>
      <c r="D564">
        <v>425</v>
      </c>
      <c r="E564">
        <v>325</v>
      </c>
      <c r="F564" t="s">
        <v>96</v>
      </c>
      <c r="G564" t="s">
        <v>249</v>
      </c>
    </row>
    <row r="565" spans="1:7" x14ac:dyDescent="0.3">
      <c r="A565">
        <v>563</v>
      </c>
      <c r="B565" t="s">
        <v>557</v>
      </c>
      <c r="C565" t="s">
        <v>549</v>
      </c>
      <c r="D565">
        <v>190</v>
      </c>
      <c r="E565">
        <v>120</v>
      </c>
      <c r="F565" t="s">
        <v>15</v>
      </c>
      <c r="G565" t="s">
        <v>249</v>
      </c>
    </row>
    <row r="566" spans="1:7" x14ac:dyDescent="0.3">
      <c r="A566">
        <v>564</v>
      </c>
      <c r="B566" t="s">
        <v>557</v>
      </c>
      <c r="C566" t="s">
        <v>549</v>
      </c>
      <c r="D566">
        <v>945</v>
      </c>
      <c r="E566">
        <v>599</v>
      </c>
      <c r="F566" t="s">
        <v>96</v>
      </c>
      <c r="G566" t="s">
        <v>249</v>
      </c>
    </row>
    <row r="567" spans="1:7" x14ac:dyDescent="0.3">
      <c r="A567">
        <v>565</v>
      </c>
      <c r="B567" t="s">
        <v>558</v>
      </c>
      <c r="C567" t="s">
        <v>547</v>
      </c>
      <c r="D567">
        <v>450</v>
      </c>
      <c r="E567">
        <v>359</v>
      </c>
      <c r="F567" t="s">
        <v>478</v>
      </c>
      <c r="G567" t="s">
        <v>249</v>
      </c>
    </row>
    <row r="568" spans="1:7" x14ac:dyDescent="0.3">
      <c r="A568">
        <v>566</v>
      </c>
      <c r="B568" t="s">
        <v>559</v>
      </c>
      <c r="C568" t="s">
        <v>549</v>
      </c>
      <c r="D568">
        <v>560</v>
      </c>
      <c r="E568">
        <v>399</v>
      </c>
      <c r="F568" t="s">
        <v>96</v>
      </c>
      <c r="G568" t="s">
        <v>249</v>
      </c>
    </row>
    <row r="569" spans="1:7" x14ac:dyDescent="0.3">
      <c r="A569">
        <v>567</v>
      </c>
      <c r="B569" t="s">
        <v>560</v>
      </c>
      <c r="C569" t="s">
        <v>17</v>
      </c>
      <c r="D569">
        <v>500</v>
      </c>
      <c r="E569">
        <v>398</v>
      </c>
      <c r="F569" t="s">
        <v>96</v>
      </c>
      <c r="G569" t="s">
        <v>555</v>
      </c>
    </row>
    <row r="570" spans="1:7" x14ac:dyDescent="0.3">
      <c r="A570">
        <v>568</v>
      </c>
      <c r="B570" t="s">
        <v>561</v>
      </c>
      <c r="C570" t="s">
        <v>547</v>
      </c>
      <c r="D570">
        <v>425</v>
      </c>
      <c r="E570">
        <v>359</v>
      </c>
      <c r="F570" t="s">
        <v>96</v>
      </c>
      <c r="G570" t="s">
        <v>249</v>
      </c>
    </row>
    <row r="571" spans="1:7" x14ac:dyDescent="0.3">
      <c r="A571">
        <v>569</v>
      </c>
      <c r="B571" t="s">
        <v>561</v>
      </c>
      <c r="C571" t="s">
        <v>547</v>
      </c>
      <c r="D571">
        <v>830</v>
      </c>
      <c r="E571">
        <v>699</v>
      </c>
      <c r="F571" t="s">
        <v>478</v>
      </c>
      <c r="G571" t="s">
        <v>249</v>
      </c>
    </row>
    <row r="572" spans="1:7" x14ac:dyDescent="0.3">
      <c r="A572">
        <v>570</v>
      </c>
      <c r="B572" t="s">
        <v>562</v>
      </c>
      <c r="C572" t="s">
        <v>17</v>
      </c>
      <c r="D572">
        <v>650</v>
      </c>
      <c r="E572">
        <v>440</v>
      </c>
      <c r="F572" t="s">
        <v>478</v>
      </c>
      <c r="G572" t="s">
        <v>555</v>
      </c>
    </row>
    <row r="573" spans="1:7" x14ac:dyDescent="0.3">
      <c r="A573">
        <v>571</v>
      </c>
      <c r="B573" t="s">
        <v>563</v>
      </c>
      <c r="C573" t="s">
        <v>547</v>
      </c>
      <c r="D573">
        <v>218</v>
      </c>
      <c r="E573">
        <v>175</v>
      </c>
      <c r="F573" t="s">
        <v>15</v>
      </c>
      <c r="G573" t="s">
        <v>249</v>
      </c>
    </row>
    <row r="574" spans="1:7" x14ac:dyDescent="0.3">
      <c r="A574">
        <v>572</v>
      </c>
      <c r="B574" t="s">
        <v>563</v>
      </c>
      <c r="C574" t="s">
        <v>547</v>
      </c>
      <c r="D574">
        <v>1085</v>
      </c>
      <c r="E574">
        <v>830</v>
      </c>
      <c r="F574" t="s">
        <v>96</v>
      </c>
      <c r="G574" t="s">
        <v>249</v>
      </c>
    </row>
    <row r="575" spans="1:7" x14ac:dyDescent="0.3">
      <c r="A575">
        <v>573</v>
      </c>
      <c r="B575" t="s">
        <v>564</v>
      </c>
      <c r="C575" t="s">
        <v>549</v>
      </c>
      <c r="D575">
        <v>220</v>
      </c>
      <c r="E575">
        <v>179</v>
      </c>
      <c r="F575" t="s">
        <v>15</v>
      </c>
      <c r="G575" t="s">
        <v>249</v>
      </c>
    </row>
    <row r="576" spans="1:7" x14ac:dyDescent="0.3">
      <c r="A576">
        <v>574</v>
      </c>
      <c r="B576" t="s">
        <v>564</v>
      </c>
      <c r="C576" t="s">
        <v>549</v>
      </c>
      <c r="D576">
        <v>1097</v>
      </c>
      <c r="E576">
        <v>870</v>
      </c>
      <c r="F576" t="s">
        <v>96</v>
      </c>
      <c r="G576" t="s">
        <v>249</v>
      </c>
    </row>
    <row r="577" spans="1:7" x14ac:dyDescent="0.3">
      <c r="A577">
        <v>575</v>
      </c>
      <c r="B577" t="s">
        <v>565</v>
      </c>
      <c r="C577" t="s">
        <v>17</v>
      </c>
      <c r="D577">
        <v>500</v>
      </c>
      <c r="E577">
        <v>385</v>
      </c>
      <c r="F577" t="s">
        <v>478</v>
      </c>
      <c r="G577" t="s">
        <v>249</v>
      </c>
    </row>
    <row r="578" spans="1:7" x14ac:dyDescent="0.3">
      <c r="A578">
        <v>576</v>
      </c>
      <c r="B578" t="s">
        <v>566</v>
      </c>
      <c r="C578" t="s">
        <v>17</v>
      </c>
      <c r="D578">
        <v>140</v>
      </c>
      <c r="E578">
        <v>115</v>
      </c>
      <c r="F578" t="s">
        <v>15</v>
      </c>
      <c r="G578" t="s">
        <v>555</v>
      </c>
    </row>
    <row r="579" spans="1:7" x14ac:dyDescent="0.3">
      <c r="A579">
        <v>577</v>
      </c>
      <c r="B579" t="s">
        <v>567</v>
      </c>
      <c r="C579" t="s">
        <v>329</v>
      </c>
      <c r="D579">
        <v>875</v>
      </c>
      <c r="E579">
        <v>625</v>
      </c>
      <c r="F579" t="s">
        <v>490</v>
      </c>
      <c r="G579" t="s">
        <v>249</v>
      </c>
    </row>
    <row r="580" spans="1:7" x14ac:dyDescent="0.3">
      <c r="A580">
        <v>578</v>
      </c>
      <c r="B580" t="s">
        <v>568</v>
      </c>
      <c r="C580" t="s">
        <v>547</v>
      </c>
      <c r="D580">
        <v>149</v>
      </c>
      <c r="E580">
        <v>118</v>
      </c>
      <c r="F580" t="s">
        <v>15</v>
      </c>
      <c r="G580" t="s">
        <v>249</v>
      </c>
    </row>
    <row r="581" spans="1:7" x14ac:dyDescent="0.3">
      <c r="A581">
        <v>579</v>
      </c>
      <c r="B581" t="s">
        <v>568</v>
      </c>
      <c r="C581" t="s">
        <v>547</v>
      </c>
      <c r="D581">
        <v>725</v>
      </c>
      <c r="E581">
        <v>549</v>
      </c>
      <c r="F581" t="s">
        <v>96</v>
      </c>
      <c r="G581" t="s">
        <v>249</v>
      </c>
    </row>
    <row r="582" spans="1:7" x14ac:dyDescent="0.3">
      <c r="A582">
        <v>580</v>
      </c>
      <c r="B582" t="s">
        <v>569</v>
      </c>
      <c r="C582" t="s">
        <v>549</v>
      </c>
      <c r="D582">
        <v>675</v>
      </c>
      <c r="E582">
        <v>559</v>
      </c>
      <c r="F582" t="s">
        <v>96</v>
      </c>
      <c r="G582" t="s">
        <v>249</v>
      </c>
    </row>
    <row r="583" spans="1:7" x14ac:dyDescent="0.3">
      <c r="A583">
        <v>581</v>
      </c>
      <c r="B583" t="s">
        <v>569</v>
      </c>
      <c r="C583" t="s">
        <v>549</v>
      </c>
      <c r="D583">
        <v>135</v>
      </c>
      <c r="E583">
        <v>111</v>
      </c>
      <c r="F583" t="s">
        <v>15</v>
      </c>
      <c r="G583" t="s">
        <v>249</v>
      </c>
    </row>
    <row r="584" spans="1:7" x14ac:dyDescent="0.3">
      <c r="A584">
        <v>582</v>
      </c>
      <c r="B584" t="s">
        <v>569</v>
      </c>
      <c r="C584" t="s">
        <v>549</v>
      </c>
      <c r="D584">
        <v>75</v>
      </c>
      <c r="E584">
        <v>47</v>
      </c>
      <c r="F584" t="s">
        <v>9</v>
      </c>
      <c r="G584" t="s">
        <v>249</v>
      </c>
    </row>
    <row r="585" spans="1:7" x14ac:dyDescent="0.3">
      <c r="A585">
        <v>583</v>
      </c>
      <c r="B585" t="s">
        <v>570</v>
      </c>
      <c r="C585" t="s">
        <v>549</v>
      </c>
      <c r="D585">
        <v>325</v>
      </c>
      <c r="E585">
        <v>279</v>
      </c>
      <c r="F585" t="s">
        <v>96</v>
      </c>
      <c r="G585" t="s">
        <v>249</v>
      </c>
    </row>
    <row r="586" spans="1:7" x14ac:dyDescent="0.3">
      <c r="A586">
        <v>584</v>
      </c>
      <c r="B586" t="s">
        <v>570</v>
      </c>
      <c r="C586" t="s">
        <v>549</v>
      </c>
      <c r="D586">
        <v>615</v>
      </c>
      <c r="E586">
        <v>545</v>
      </c>
      <c r="F586" t="s">
        <v>478</v>
      </c>
      <c r="G586" t="s">
        <v>249</v>
      </c>
    </row>
    <row r="587" spans="1:7" x14ac:dyDescent="0.3">
      <c r="A587">
        <v>585</v>
      </c>
      <c r="B587" t="s">
        <v>571</v>
      </c>
      <c r="C587" t="s">
        <v>17</v>
      </c>
      <c r="D587">
        <v>450</v>
      </c>
      <c r="E587">
        <v>314</v>
      </c>
      <c r="F587" t="s">
        <v>96</v>
      </c>
      <c r="G587" t="s">
        <v>249</v>
      </c>
    </row>
    <row r="588" spans="1:7" x14ac:dyDescent="0.3">
      <c r="A588">
        <v>586</v>
      </c>
      <c r="B588" t="s">
        <v>572</v>
      </c>
      <c r="C588" t="s">
        <v>573</v>
      </c>
      <c r="D588">
        <v>700</v>
      </c>
      <c r="E588">
        <v>505</v>
      </c>
      <c r="F588" t="s">
        <v>96</v>
      </c>
      <c r="G588" t="s">
        <v>555</v>
      </c>
    </row>
    <row r="589" spans="1:7" x14ac:dyDescent="0.3">
      <c r="A589">
        <v>587</v>
      </c>
      <c r="B589" t="s">
        <v>574</v>
      </c>
      <c r="C589" t="s">
        <v>575</v>
      </c>
      <c r="D589">
        <v>1070</v>
      </c>
      <c r="E589">
        <v>535</v>
      </c>
      <c r="F589" t="s">
        <v>96</v>
      </c>
      <c r="G589" t="s">
        <v>249</v>
      </c>
    </row>
    <row r="590" spans="1:7" x14ac:dyDescent="0.3">
      <c r="A590">
        <v>588</v>
      </c>
      <c r="B590" t="s">
        <v>576</v>
      </c>
      <c r="C590" t="s">
        <v>549</v>
      </c>
      <c r="D590">
        <v>175</v>
      </c>
      <c r="E590">
        <v>145</v>
      </c>
      <c r="F590" t="s">
        <v>15</v>
      </c>
      <c r="G590" t="s">
        <v>249</v>
      </c>
    </row>
    <row r="591" spans="1:7" x14ac:dyDescent="0.3">
      <c r="A591">
        <v>589</v>
      </c>
      <c r="B591" t="s">
        <v>577</v>
      </c>
      <c r="C591" t="s">
        <v>17</v>
      </c>
      <c r="D591">
        <v>650</v>
      </c>
      <c r="E591">
        <v>452</v>
      </c>
      <c r="F591" t="s">
        <v>96</v>
      </c>
      <c r="G591" t="s">
        <v>555</v>
      </c>
    </row>
    <row r="592" spans="1:7" x14ac:dyDescent="0.3">
      <c r="A592">
        <v>590</v>
      </c>
      <c r="B592" t="s">
        <v>578</v>
      </c>
      <c r="C592" t="s">
        <v>547</v>
      </c>
      <c r="D592">
        <v>138</v>
      </c>
      <c r="E592">
        <v>109</v>
      </c>
      <c r="F592" t="s">
        <v>15</v>
      </c>
      <c r="G592" t="s">
        <v>249</v>
      </c>
    </row>
    <row r="593" spans="1:7" x14ac:dyDescent="0.3">
      <c r="A593">
        <v>591</v>
      </c>
      <c r="B593" t="s">
        <v>578</v>
      </c>
      <c r="C593" t="s">
        <v>547</v>
      </c>
      <c r="D593">
        <v>685</v>
      </c>
      <c r="E593">
        <v>629</v>
      </c>
      <c r="F593" t="s">
        <v>96</v>
      </c>
      <c r="G593" t="s">
        <v>249</v>
      </c>
    </row>
    <row r="594" spans="1:7" x14ac:dyDescent="0.3">
      <c r="A594">
        <v>592</v>
      </c>
      <c r="B594" t="s">
        <v>579</v>
      </c>
      <c r="C594" t="s">
        <v>549</v>
      </c>
      <c r="D594">
        <v>210</v>
      </c>
      <c r="E594">
        <v>175</v>
      </c>
      <c r="F594" t="s">
        <v>15</v>
      </c>
      <c r="G594" t="s">
        <v>249</v>
      </c>
    </row>
    <row r="595" spans="1:7" x14ac:dyDescent="0.3">
      <c r="A595">
        <v>593</v>
      </c>
      <c r="B595" t="s">
        <v>580</v>
      </c>
      <c r="C595" t="s">
        <v>549</v>
      </c>
      <c r="D595">
        <v>400</v>
      </c>
      <c r="E595">
        <v>359</v>
      </c>
      <c r="F595" t="s">
        <v>96</v>
      </c>
      <c r="G595" t="s">
        <v>249</v>
      </c>
    </row>
    <row r="596" spans="1:7" x14ac:dyDescent="0.3">
      <c r="A596">
        <v>594</v>
      </c>
      <c r="B596" t="s">
        <v>580</v>
      </c>
      <c r="C596" t="s">
        <v>549</v>
      </c>
      <c r="D596">
        <v>790</v>
      </c>
      <c r="E596">
        <v>665</v>
      </c>
      <c r="F596" t="s">
        <v>478</v>
      </c>
      <c r="G596" t="s">
        <v>249</v>
      </c>
    </row>
    <row r="597" spans="1:7" x14ac:dyDescent="0.3">
      <c r="A597">
        <v>595</v>
      </c>
      <c r="B597" t="s">
        <v>581</v>
      </c>
      <c r="C597" t="s">
        <v>547</v>
      </c>
      <c r="D597">
        <v>560</v>
      </c>
      <c r="E597">
        <v>415</v>
      </c>
      <c r="F597" t="s">
        <v>490</v>
      </c>
      <c r="G597" t="s">
        <v>249</v>
      </c>
    </row>
    <row r="598" spans="1:7" x14ac:dyDescent="0.3">
      <c r="A598">
        <v>596</v>
      </c>
      <c r="B598" t="s">
        <v>582</v>
      </c>
      <c r="C598" t="s">
        <v>17</v>
      </c>
      <c r="D598">
        <v>800</v>
      </c>
      <c r="E598">
        <v>526</v>
      </c>
      <c r="F598" t="s">
        <v>96</v>
      </c>
      <c r="G598" t="s">
        <v>555</v>
      </c>
    </row>
    <row r="599" spans="1:7" x14ac:dyDescent="0.3">
      <c r="A599">
        <v>597</v>
      </c>
      <c r="B599" t="s">
        <v>574</v>
      </c>
      <c r="C599" t="s">
        <v>575</v>
      </c>
      <c r="D599">
        <v>215</v>
      </c>
      <c r="E599">
        <v>107</v>
      </c>
      <c r="F599" t="s">
        <v>15</v>
      </c>
      <c r="G599" t="s">
        <v>249</v>
      </c>
    </row>
    <row r="600" spans="1:7" x14ac:dyDescent="0.3">
      <c r="A600">
        <v>598</v>
      </c>
      <c r="B600" t="s">
        <v>583</v>
      </c>
      <c r="C600" t="s">
        <v>17</v>
      </c>
      <c r="D600">
        <v>72</v>
      </c>
      <c r="E600">
        <v>61</v>
      </c>
      <c r="F600" t="s">
        <v>15</v>
      </c>
      <c r="G600" t="s">
        <v>555</v>
      </c>
    </row>
    <row r="601" spans="1:7" x14ac:dyDescent="0.3">
      <c r="A601">
        <v>599</v>
      </c>
      <c r="B601" t="s">
        <v>584</v>
      </c>
      <c r="C601" t="s">
        <v>585</v>
      </c>
      <c r="D601">
        <v>1080</v>
      </c>
      <c r="E601">
        <v>859</v>
      </c>
      <c r="F601" t="s">
        <v>96</v>
      </c>
      <c r="G601" t="s">
        <v>249</v>
      </c>
    </row>
    <row r="602" spans="1:7" x14ac:dyDescent="0.3">
      <c r="A602">
        <v>600</v>
      </c>
      <c r="B602" t="s">
        <v>584</v>
      </c>
      <c r="C602" t="s">
        <v>585</v>
      </c>
      <c r="D602">
        <v>220</v>
      </c>
      <c r="E602">
        <v>173</v>
      </c>
      <c r="F602" t="s">
        <v>15</v>
      </c>
      <c r="G602" t="s">
        <v>249</v>
      </c>
    </row>
    <row r="603" spans="1:7" x14ac:dyDescent="0.3">
      <c r="A603">
        <v>601</v>
      </c>
      <c r="B603" t="s">
        <v>586</v>
      </c>
      <c r="C603" t="s">
        <v>585</v>
      </c>
      <c r="D603">
        <v>234</v>
      </c>
      <c r="E603">
        <v>199</v>
      </c>
      <c r="F603" t="s">
        <v>15</v>
      </c>
      <c r="G603" t="s">
        <v>249</v>
      </c>
    </row>
    <row r="604" spans="1:7" x14ac:dyDescent="0.3">
      <c r="A604">
        <v>602</v>
      </c>
      <c r="B604" t="s">
        <v>587</v>
      </c>
      <c r="C604" t="s">
        <v>585</v>
      </c>
      <c r="D604">
        <v>135</v>
      </c>
      <c r="E604">
        <v>110</v>
      </c>
      <c r="F604" t="s">
        <v>15</v>
      </c>
      <c r="G604" t="s">
        <v>249</v>
      </c>
    </row>
    <row r="605" spans="1:7" x14ac:dyDescent="0.3">
      <c r="A605">
        <v>603</v>
      </c>
      <c r="B605" t="s">
        <v>588</v>
      </c>
      <c r="C605" t="s">
        <v>585</v>
      </c>
      <c r="D605">
        <v>115</v>
      </c>
      <c r="E605">
        <v>99</v>
      </c>
      <c r="F605" t="s">
        <v>15</v>
      </c>
      <c r="G605" t="s">
        <v>249</v>
      </c>
    </row>
    <row r="606" spans="1:7" x14ac:dyDescent="0.3">
      <c r="A606">
        <v>604</v>
      </c>
      <c r="B606" t="s">
        <v>589</v>
      </c>
      <c r="C606" t="s">
        <v>585</v>
      </c>
      <c r="D606">
        <v>180</v>
      </c>
      <c r="E606">
        <v>162</v>
      </c>
      <c r="F606" t="s">
        <v>15</v>
      </c>
      <c r="G606" t="s">
        <v>249</v>
      </c>
    </row>
    <row r="607" spans="1:7" x14ac:dyDescent="0.3">
      <c r="A607">
        <v>605</v>
      </c>
      <c r="B607" t="s">
        <v>590</v>
      </c>
      <c r="C607" t="s">
        <v>585</v>
      </c>
      <c r="D607">
        <v>195</v>
      </c>
      <c r="E607">
        <v>160</v>
      </c>
      <c r="F607" t="s">
        <v>15</v>
      </c>
      <c r="G607" t="s">
        <v>249</v>
      </c>
    </row>
    <row r="608" spans="1:7" x14ac:dyDescent="0.3">
      <c r="A608">
        <v>606</v>
      </c>
      <c r="B608" t="s">
        <v>591</v>
      </c>
      <c r="C608" t="s">
        <v>17</v>
      </c>
      <c r="D608">
        <v>850</v>
      </c>
      <c r="E608">
        <v>615</v>
      </c>
      <c r="F608" t="s">
        <v>478</v>
      </c>
      <c r="G608" t="s">
        <v>555</v>
      </c>
    </row>
    <row r="609" spans="1:7" x14ac:dyDescent="0.3">
      <c r="A609">
        <v>607</v>
      </c>
      <c r="B609" t="s">
        <v>591</v>
      </c>
      <c r="C609" t="s">
        <v>17</v>
      </c>
      <c r="D609">
        <v>78</v>
      </c>
      <c r="E609">
        <v>67</v>
      </c>
      <c r="F609" t="s">
        <v>15</v>
      </c>
      <c r="G609" t="s">
        <v>555</v>
      </c>
    </row>
    <row r="610" spans="1:7" x14ac:dyDescent="0.3">
      <c r="A610">
        <v>608</v>
      </c>
      <c r="B610" t="s">
        <v>591</v>
      </c>
      <c r="C610" t="s">
        <v>17</v>
      </c>
      <c r="D610">
        <v>500</v>
      </c>
      <c r="E610">
        <v>325</v>
      </c>
      <c r="F610" t="s">
        <v>592</v>
      </c>
      <c r="G610" t="s">
        <v>555</v>
      </c>
    </row>
    <row r="611" spans="1:7" x14ac:dyDescent="0.3">
      <c r="A611">
        <v>609</v>
      </c>
      <c r="B611" t="s">
        <v>593</v>
      </c>
      <c r="C611" t="s">
        <v>17</v>
      </c>
      <c r="D611">
        <v>460</v>
      </c>
      <c r="E611">
        <v>279</v>
      </c>
      <c r="F611" t="s">
        <v>592</v>
      </c>
      <c r="G611" t="s">
        <v>555</v>
      </c>
    </row>
    <row r="612" spans="1:7" x14ac:dyDescent="0.3">
      <c r="A612">
        <v>610</v>
      </c>
      <c r="B612" t="s">
        <v>593</v>
      </c>
      <c r="C612" t="s">
        <v>17</v>
      </c>
      <c r="D612">
        <v>69</v>
      </c>
      <c r="E612">
        <v>60</v>
      </c>
      <c r="F612" t="s">
        <v>15</v>
      </c>
      <c r="G612" t="s">
        <v>555</v>
      </c>
    </row>
    <row r="613" spans="1:7" x14ac:dyDescent="0.3">
      <c r="A613">
        <v>611</v>
      </c>
      <c r="B613" t="s">
        <v>594</v>
      </c>
      <c r="C613" t="s">
        <v>17</v>
      </c>
      <c r="D613">
        <v>67</v>
      </c>
      <c r="E613">
        <v>58</v>
      </c>
      <c r="F613" t="s">
        <v>15</v>
      </c>
      <c r="G613" t="s">
        <v>555</v>
      </c>
    </row>
    <row r="614" spans="1:7" x14ac:dyDescent="0.3">
      <c r="A614">
        <v>612</v>
      </c>
      <c r="B614" t="s">
        <v>594</v>
      </c>
      <c r="C614" t="s">
        <v>17</v>
      </c>
      <c r="D614">
        <v>410</v>
      </c>
      <c r="E614">
        <v>263</v>
      </c>
      <c r="F614" t="s">
        <v>96</v>
      </c>
      <c r="G614" t="s">
        <v>555</v>
      </c>
    </row>
    <row r="615" spans="1:7" x14ac:dyDescent="0.3">
      <c r="A615">
        <v>613</v>
      </c>
      <c r="B615" t="s">
        <v>594</v>
      </c>
      <c r="C615" t="s">
        <v>17</v>
      </c>
      <c r="D615">
        <v>700</v>
      </c>
      <c r="E615">
        <v>495</v>
      </c>
      <c r="F615" t="s">
        <v>478</v>
      </c>
      <c r="G615" t="s">
        <v>555</v>
      </c>
    </row>
    <row r="616" spans="1:7" x14ac:dyDescent="0.3">
      <c r="A616">
        <v>614</v>
      </c>
      <c r="B616" t="s">
        <v>595</v>
      </c>
      <c r="C616" t="s">
        <v>17</v>
      </c>
      <c r="D616">
        <v>260</v>
      </c>
      <c r="E616">
        <v>240</v>
      </c>
      <c r="F616" t="s">
        <v>592</v>
      </c>
      <c r="G616" t="s">
        <v>555</v>
      </c>
    </row>
    <row r="617" spans="1:7" x14ac:dyDescent="0.3">
      <c r="A617">
        <v>615</v>
      </c>
      <c r="B617" t="s">
        <v>595</v>
      </c>
      <c r="C617" t="s">
        <v>17</v>
      </c>
      <c r="D617">
        <v>550</v>
      </c>
      <c r="E617">
        <v>425</v>
      </c>
      <c r="F617" t="s">
        <v>478</v>
      </c>
      <c r="G617" t="s">
        <v>555</v>
      </c>
    </row>
    <row r="618" spans="1:7" x14ac:dyDescent="0.3">
      <c r="A618">
        <v>616</v>
      </c>
      <c r="B618" t="s">
        <v>596</v>
      </c>
      <c r="C618" t="s">
        <v>70</v>
      </c>
      <c r="D618">
        <v>95</v>
      </c>
      <c r="E618">
        <v>76</v>
      </c>
      <c r="F618" t="s">
        <v>15</v>
      </c>
      <c r="G618" t="s">
        <v>249</v>
      </c>
    </row>
    <row r="619" spans="1:7" x14ac:dyDescent="0.3">
      <c r="A619">
        <v>617</v>
      </c>
      <c r="B619" t="s">
        <v>597</v>
      </c>
      <c r="C619" t="s">
        <v>547</v>
      </c>
      <c r="D619">
        <v>152</v>
      </c>
      <c r="E619">
        <v>114</v>
      </c>
      <c r="F619" t="s">
        <v>15</v>
      </c>
      <c r="G619" t="s">
        <v>249</v>
      </c>
    </row>
    <row r="620" spans="1:7" x14ac:dyDescent="0.3">
      <c r="A620">
        <v>618</v>
      </c>
      <c r="B620" t="s">
        <v>598</v>
      </c>
      <c r="C620" t="s">
        <v>36</v>
      </c>
      <c r="D620">
        <v>46</v>
      </c>
      <c r="E620">
        <v>31</v>
      </c>
      <c r="F620" t="s">
        <v>9</v>
      </c>
      <c r="G620" t="s">
        <v>249</v>
      </c>
    </row>
    <row r="621" spans="1:7" x14ac:dyDescent="0.3">
      <c r="A621">
        <v>619</v>
      </c>
      <c r="B621" t="s">
        <v>599</v>
      </c>
      <c r="C621" t="s">
        <v>28</v>
      </c>
      <c r="D621">
        <v>40</v>
      </c>
      <c r="E621">
        <v>37</v>
      </c>
      <c r="F621" t="s">
        <v>9</v>
      </c>
      <c r="G621" t="s">
        <v>249</v>
      </c>
    </row>
    <row r="622" spans="1:7" x14ac:dyDescent="0.3">
      <c r="A622">
        <v>620</v>
      </c>
      <c r="B622" t="s">
        <v>600</v>
      </c>
      <c r="C622" t="s">
        <v>70</v>
      </c>
      <c r="D622">
        <v>85</v>
      </c>
      <c r="E622">
        <v>68</v>
      </c>
      <c r="F622" t="s">
        <v>9</v>
      </c>
      <c r="G622" t="s">
        <v>249</v>
      </c>
    </row>
    <row r="623" spans="1:7" x14ac:dyDescent="0.3">
      <c r="A623">
        <v>621</v>
      </c>
      <c r="B623" t="s">
        <v>601</v>
      </c>
      <c r="C623" t="s">
        <v>70</v>
      </c>
      <c r="D623">
        <v>75</v>
      </c>
      <c r="E623">
        <v>62</v>
      </c>
      <c r="F623" t="s">
        <v>9</v>
      </c>
      <c r="G623" t="s">
        <v>249</v>
      </c>
    </row>
    <row r="624" spans="1:7" x14ac:dyDescent="0.3">
      <c r="A624">
        <v>622</v>
      </c>
      <c r="B624" t="s">
        <v>602</v>
      </c>
      <c r="C624" t="s">
        <v>28</v>
      </c>
      <c r="D624">
        <v>42</v>
      </c>
      <c r="E624">
        <v>39</v>
      </c>
      <c r="F624" t="s">
        <v>9</v>
      </c>
      <c r="G624" t="s">
        <v>249</v>
      </c>
    </row>
    <row r="625" spans="1:7" x14ac:dyDescent="0.3">
      <c r="A625">
        <v>623</v>
      </c>
      <c r="B625" t="s">
        <v>603</v>
      </c>
      <c r="C625" t="s">
        <v>78</v>
      </c>
      <c r="D625">
        <v>80</v>
      </c>
      <c r="E625">
        <v>56</v>
      </c>
      <c r="F625" t="s">
        <v>9</v>
      </c>
      <c r="G625" t="s">
        <v>249</v>
      </c>
    </row>
    <row r="626" spans="1:7" x14ac:dyDescent="0.3">
      <c r="A626">
        <v>624</v>
      </c>
      <c r="B626" t="s">
        <v>604</v>
      </c>
      <c r="C626" t="s">
        <v>78</v>
      </c>
      <c r="D626">
        <v>70</v>
      </c>
      <c r="E626">
        <v>56</v>
      </c>
      <c r="F626" t="s">
        <v>9</v>
      </c>
      <c r="G626" t="s">
        <v>249</v>
      </c>
    </row>
    <row r="627" spans="1:7" x14ac:dyDescent="0.3">
      <c r="A627">
        <v>625</v>
      </c>
      <c r="B627" t="s">
        <v>605</v>
      </c>
      <c r="C627" t="s">
        <v>17</v>
      </c>
      <c r="D627">
        <v>650</v>
      </c>
      <c r="E627">
        <v>490</v>
      </c>
      <c r="F627" t="s">
        <v>96</v>
      </c>
      <c r="G627" t="s">
        <v>249</v>
      </c>
    </row>
    <row r="628" spans="1:7" x14ac:dyDescent="0.3">
      <c r="A628">
        <v>626</v>
      </c>
      <c r="B628" t="s">
        <v>606</v>
      </c>
      <c r="C628" t="s">
        <v>17</v>
      </c>
      <c r="D628">
        <v>59</v>
      </c>
      <c r="E628">
        <v>55</v>
      </c>
      <c r="F628" t="s">
        <v>15</v>
      </c>
      <c r="G628" t="s">
        <v>249</v>
      </c>
    </row>
    <row r="629" spans="1:7" x14ac:dyDescent="0.3">
      <c r="A629">
        <v>627</v>
      </c>
      <c r="B629" t="s">
        <v>607</v>
      </c>
      <c r="C629" t="s">
        <v>17</v>
      </c>
      <c r="D629">
        <v>67</v>
      </c>
      <c r="E629">
        <v>51</v>
      </c>
      <c r="F629" t="s">
        <v>15</v>
      </c>
      <c r="G629" t="s">
        <v>249</v>
      </c>
    </row>
    <row r="630" spans="1:7" x14ac:dyDescent="0.3">
      <c r="A630">
        <v>628</v>
      </c>
      <c r="B630" t="s">
        <v>608</v>
      </c>
      <c r="C630" t="s">
        <v>17</v>
      </c>
      <c r="D630">
        <v>650</v>
      </c>
      <c r="E630">
        <v>470</v>
      </c>
      <c r="F630" t="s">
        <v>478</v>
      </c>
      <c r="G630" t="s">
        <v>249</v>
      </c>
    </row>
    <row r="631" spans="1:7" x14ac:dyDescent="0.3">
      <c r="A631">
        <v>629</v>
      </c>
      <c r="B631" t="s">
        <v>609</v>
      </c>
      <c r="C631" t="s">
        <v>17</v>
      </c>
      <c r="D631">
        <v>44</v>
      </c>
      <c r="E631">
        <v>41</v>
      </c>
      <c r="F631" t="s">
        <v>15</v>
      </c>
      <c r="G631" t="s">
        <v>249</v>
      </c>
    </row>
    <row r="632" spans="1:7" x14ac:dyDescent="0.3">
      <c r="A632">
        <v>630</v>
      </c>
      <c r="B632" t="s">
        <v>610</v>
      </c>
      <c r="C632" t="s">
        <v>17</v>
      </c>
      <c r="D632">
        <v>51</v>
      </c>
      <c r="E632">
        <v>42</v>
      </c>
      <c r="F632" t="s">
        <v>15</v>
      </c>
      <c r="G632" t="s">
        <v>249</v>
      </c>
    </row>
    <row r="633" spans="1:7" x14ac:dyDescent="0.3">
      <c r="A633">
        <v>631</v>
      </c>
      <c r="B633" t="s">
        <v>611</v>
      </c>
      <c r="C633" t="s">
        <v>28</v>
      </c>
      <c r="D633">
        <v>100</v>
      </c>
      <c r="E633">
        <v>93</v>
      </c>
      <c r="F633" t="s">
        <v>9</v>
      </c>
      <c r="G633" t="s">
        <v>249</v>
      </c>
    </row>
    <row r="634" spans="1:7" x14ac:dyDescent="0.3">
      <c r="A634">
        <v>632</v>
      </c>
      <c r="B634" t="s">
        <v>612</v>
      </c>
      <c r="C634" t="s">
        <v>28</v>
      </c>
      <c r="D634">
        <v>72</v>
      </c>
      <c r="E634">
        <v>66</v>
      </c>
      <c r="F634" t="s">
        <v>11</v>
      </c>
      <c r="G634" t="s">
        <v>240</v>
      </c>
    </row>
    <row r="635" spans="1:7" x14ac:dyDescent="0.3">
      <c r="A635">
        <v>633</v>
      </c>
      <c r="B635" t="s">
        <v>612</v>
      </c>
      <c r="C635" t="s">
        <v>28</v>
      </c>
      <c r="D635">
        <v>142</v>
      </c>
      <c r="E635">
        <v>132</v>
      </c>
      <c r="F635" t="s">
        <v>12</v>
      </c>
      <c r="G635" t="s">
        <v>240</v>
      </c>
    </row>
    <row r="636" spans="1:7" x14ac:dyDescent="0.3">
      <c r="A636">
        <v>634</v>
      </c>
      <c r="B636" t="s">
        <v>255</v>
      </c>
      <c r="C636" t="s">
        <v>8</v>
      </c>
      <c r="D636">
        <v>42</v>
      </c>
      <c r="E636">
        <v>32</v>
      </c>
      <c r="F636" t="s">
        <v>613</v>
      </c>
      <c r="G636" t="s">
        <v>240</v>
      </c>
    </row>
    <row r="637" spans="1:7" x14ac:dyDescent="0.3">
      <c r="A637">
        <v>635</v>
      </c>
      <c r="B637" t="s">
        <v>614</v>
      </c>
      <c r="C637" t="s">
        <v>615</v>
      </c>
      <c r="D637">
        <v>100</v>
      </c>
      <c r="E637">
        <v>62</v>
      </c>
      <c r="F637" t="s">
        <v>12</v>
      </c>
      <c r="G637" t="s">
        <v>240</v>
      </c>
    </row>
    <row r="638" spans="1:7" x14ac:dyDescent="0.3">
      <c r="A638">
        <v>636</v>
      </c>
      <c r="B638" t="s">
        <v>616</v>
      </c>
      <c r="C638" t="s">
        <v>28</v>
      </c>
      <c r="D638">
        <v>135</v>
      </c>
      <c r="E638">
        <v>125</v>
      </c>
      <c r="F638" t="s">
        <v>11</v>
      </c>
      <c r="G638" t="s">
        <v>240</v>
      </c>
    </row>
    <row r="639" spans="1:7" x14ac:dyDescent="0.3">
      <c r="A639">
        <v>637</v>
      </c>
      <c r="B639" t="s">
        <v>617</v>
      </c>
      <c r="C639" t="s">
        <v>28</v>
      </c>
      <c r="D639">
        <v>160</v>
      </c>
      <c r="E639">
        <v>148</v>
      </c>
      <c r="F639" t="s">
        <v>11</v>
      </c>
      <c r="G639" t="s">
        <v>240</v>
      </c>
    </row>
    <row r="640" spans="1:7" x14ac:dyDescent="0.3">
      <c r="A640">
        <v>638</v>
      </c>
      <c r="B640" t="s">
        <v>618</v>
      </c>
      <c r="C640" t="s">
        <v>28</v>
      </c>
      <c r="D640">
        <v>121</v>
      </c>
      <c r="E640">
        <v>99</v>
      </c>
      <c r="F640" t="s">
        <v>11</v>
      </c>
      <c r="G640" t="s">
        <v>240</v>
      </c>
    </row>
    <row r="641" spans="1:7" x14ac:dyDescent="0.3">
      <c r="A641">
        <v>639</v>
      </c>
      <c r="B641" t="s">
        <v>271</v>
      </c>
      <c r="C641" t="s">
        <v>17</v>
      </c>
      <c r="D641">
        <v>118</v>
      </c>
      <c r="E641">
        <v>93</v>
      </c>
      <c r="F641" t="s">
        <v>12</v>
      </c>
      <c r="G641" t="s">
        <v>240</v>
      </c>
    </row>
    <row r="642" spans="1:7" x14ac:dyDescent="0.3">
      <c r="A642">
        <v>640</v>
      </c>
      <c r="B642" t="s">
        <v>619</v>
      </c>
      <c r="C642" t="s">
        <v>17</v>
      </c>
      <c r="D642">
        <v>94</v>
      </c>
      <c r="E642">
        <v>78</v>
      </c>
      <c r="F642" t="s">
        <v>216</v>
      </c>
      <c r="G642" t="s">
        <v>240</v>
      </c>
    </row>
    <row r="643" spans="1:7" x14ac:dyDescent="0.3">
      <c r="A643">
        <v>641</v>
      </c>
      <c r="B643" t="s">
        <v>620</v>
      </c>
      <c r="C643" t="s">
        <v>28</v>
      </c>
      <c r="D643">
        <v>104</v>
      </c>
      <c r="E643">
        <v>96</v>
      </c>
      <c r="F643" t="s">
        <v>11</v>
      </c>
      <c r="G643" t="s">
        <v>240</v>
      </c>
    </row>
    <row r="644" spans="1:7" x14ac:dyDescent="0.3">
      <c r="A644">
        <v>642</v>
      </c>
      <c r="B644" t="s">
        <v>621</v>
      </c>
      <c r="C644" t="s">
        <v>17</v>
      </c>
      <c r="D644">
        <v>65</v>
      </c>
      <c r="E644">
        <v>50</v>
      </c>
      <c r="F644" t="s">
        <v>12</v>
      </c>
      <c r="G644" t="s">
        <v>240</v>
      </c>
    </row>
    <row r="645" spans="1:7" x14ac:dyDescent="0.3">
      <c r="A645">
        <v>643</v>
      </c>
      <c r="B645" t="s">
        <v>622</v>
      </c>
      <c r="C645" t="s">
        <v>28</v>
      </c>
      <c r="D645">
        <v>97</v>
      </c>
      <c r="E645">
        <v>82</v>
      </c>
      <c r="F645" t="s">
        <v>11</v>
      </c>
      <c r="G645" t="s">
        <v>240</v>
      </c>
    </row>
    <row r="646" spans="1:7" x14ac:dyDescent="0.3">
      <c r="A646">
        <v>644</v>
      </c>
      <c r="B646" t="s">
        <v>623</v>
      </c>
      <c r="C646" t="s">
        <v>28</v>
      </c>
      <c r="D646">
        <v>184</v>
      </c>
      <c r="E646">
        <v>171</v>
      </c>
      <c r="F646" t="s">
        <v>216</v>
      </c>
      <c r="G646" t="s">
        <v>240</v>
      </c>
    </row>
    <row r="647" spans="1:7" x14ac:dyDescent="0.3">
      <c r="A647">
        <v>645</v>
      </c>
      <c r="B647" t="s">
        <v>624</v>
      </c>
      <c r="C647" t="s">
        <v>28</v>
      </c>
      <c r="D647">
        <v>108</v>
      </c>
      <c r="E647">
        <v>100</v>
      </c>
      <c r="F647" t="s">
        <v>12</v>
      </c>
      <c r="G647" t="s">
        <v>240</v>
      </c>
    </row>
    <row r="648" spans="1:7" x14ac:dyDescent="0.3">
      <c r="A648">
        <v>646</v>
      </c>
      <c r="B648" t="s">
        <v>625</v>
      </c>
      <c r="C648" t="s">
        <v>28</v>
      </c>
      <c r="D648">
        <v>120</v>
      </c>
      <c r="E648">
        <v>111</v>
      </c>
      <c r="F648" t="s">
        <v>12</v>
      </c>
      <c r="G648" t="s">
        <v>240</v>
      </c>
    </row>
    <row r="649" spans="1:7" x14ac:dyDescent="0.3">
      <c r="A649">
        <v>647</v>
      </c>
      <c r="B649" t="s">
        <v>626</v>
      </c>
      <c r="C649" t="s">
        <v>70</v>
      </c>
      <c r="D649">
        <v>75</v>
      </c>
      <c r="E649">
        <v>62</v>
      </c>
      <c r="F649" t="s">
        <v>12</v>
      </c>
      <c r="G649" t="s">
        <v>240</v>
      </c>
    </row>
    <row r="650" spans="1:7" x14ac:dyDescent="0.3">
      <c r="A650">
        <v>648</v>
      </c>
      <c r="B650" t="s">
        <v>627</v>
      </c>
      <c r="C650" t="s">
        <v>17</v>
      </c>
      <c r="D650">
        <v>110</v>
      </c>
      <c r="E650">
        <v>85</v>
      </c>
      <c r="F650" t="s">
        <v>9</v>
      </c>
      <c r="G650" t="s">
        <v>240</v>
      </c>
    </row>
    <row r="651" spans="1:7" x14ac:dyDescent="0.3">
      <c r="A651">
        <v>649</v>
      </c>
      <c r="B651" t="s">
        <v>628</v>
      </c>
      <c r="C651" t="s">
        <v>28</v>
      </c>
      <c r="D651">
        <v>141</v>
      </c>
      <c r="E651">
        <v>131</v>
      </c>
      <c r="F651" t="s">
        <v>216</v>
      </c>
      <c r="G651" t="s">
        <v>240</v>
      </c>
    </row>
    <row r="652" spans="1:7" x14ac:dyDescent="0.3">
      <c r="A652">
        <v>650</v>
      </c>
      <c r="B652" t="s">
        <v>629</v>
      </c>
      <c r="C652" t="s">
        <v>28</v>
      </c>
      <c r="D652">
        <v>149</v>
      </c>
      <c r="E652">
        <v>138</v>
      </c>
      <c r="F652" t="s">
        <v>12</v>
      </c>
      <c r="G652" t="s">
        <v>240</v>
      </c>
    </row>
    <row r="653" spans="1:7" x14ac:dyDescent="0.3">
      <c r="A653">
        <v>651</v>
      </c>
      <c r="B653" t="s">
        <v>630</v>
      </c>
      <c r="C653" t="s">
        <v>28</v>
      </c>
      <c r="D653">
        <v>62</v>
      </c>
      <c r="E653">
        <v>57</v>
      </c>
      <c r="F653" t="s">
        <v>11</v>
      </c>
      <c r="G653" t="s">
        <v>240</v>
      </c>
    </row>
    <row r="654" spans="1:7" x14ac:dyDescent="0.3">
      <c r="A654">
        <v>652</v>
      </c>
      <c r="B654" t="s">
        <v>631</v>
      </c>
      <c r="C654" t="s">
        <v>28</v>
      </c>
      <c r="D654">
        <v>38</v>
      </c>
      <c r="E654">
        <v>35</v>
      </c>
      <c r="F654" t="s">
        <v>216</v>
      </c>
      <c r="G654" t="s">
        <v>240</v>
      </c>
    </row>
    <row r="655" spans="1:7" x14ac:dyDescent="0.3">
      <c r="A655">
        <v>653</v>
      </c>
      <c r="B655" t="s">
        <v>632</v>
      </c>
      <c r="C655" t="s">
        <v>17</v>
      </c>
      <c r="D655">
        <v>75</v>
      </c>
      <c r="E655">
        <v>56</v>
      </c>
      <c r="F655" t="s">
        <v>11</v>
      </c>
      <c r="G655" t="s">
        <v>240</v>
      </c>
    </row>
    <row r="656" spans="1:7" x14ac:dyDescent="0.3">
      <c r="A656">
        <v>654</v>
      </c>
      <c r="B656" t="s">
        <v>633</v>
      </c>
      <c r="C656" t="s">
        <v>28</v>
      </c>
      <c r="D656">
        <v>66</v>
      </c>
      <c r="E656">
        <v>61</v>
      </c>
      <c r="F656" t="s">
        <v>11</v>
      </c>
      <c r="G656" t="s">
        <v>240</v>
      </c>
    </row>
    <row r="657" spans="1:7" x14ac:dyDescent="0.3">
      <c r="A657">
        <v>655</v>
      </c>
      <c r="B657" t="s">
        <v>634</v>
      </c>
      <c r="C657" t="s">
        <v>28</v>
      </c>
      <c r="D657">
        <v>62</v>
      </c>
      <c r="E657">
        <v>57</v>
      </c>
      <c r="F657" t="s">
        <v>11</v>
      </c>
      <c r="G657" t="s">
        <v>240</v>
      </c>
    </row>
    <row r="658" spans="1:7" x14ac:dyDescent="0.3">
      <c r="A658">
        <v>656</v>
      </c>
      <c r="B658" t="s">
        <v>635</v>
      </c>
      <c r="C658" t="s">
        <v>28</v>
      </c>
      <c r="D658">
        <v>170</v>
      </c>
      <c r="E658">
        <v>158</v>
      </c>
      <c r="F658" t="s">
        <v>9</v>
      </c>
      <c r="G658" t="s">
        <v>240</v>
      </c>
    </row>
    <row r="659" spans="1:7" x14ac:dyDescent="0.3">
      <c r="A659">
        <v>657</v>
      </c>
      <c r="B659" t="s">
        <v>635</v>
      </c>
      <c r="C659" t="s">
        <v>28</v>
      </c>
      <c r="D659">
        <v>69</v>
      </c>
      <c r="E659">
        <v>64</v>
      </c>
      <c r="F659" t="s">
        <v>12</v>
      </c>
      <c r="G659" t="s">
        <v>240</v>
      </c>
    </row>
    <row r="660" spans="1:7" x14ac:dyDescent="0.3">
      <c r="A660">
        <v>658</v>
      </c>
      <c r="B660" t="s">
        <v>636</v>
      </c>
      <c r="C660" t="s">
        <v>28</v>
      </c>
      <c r="D660">
        <v>54</v>
      </c>
      <c r="E660">
        <v>50</v>
      </c>
      <c r="F660" t="s">
        <v>12</v>
      </c>
      <c r="G660" t="s">
        <v>240</v>
      </c>
    </row>
    <row r="661" spans="1:7" x14ac:dyDescent="0.3">
      <c r="A661">
        <v>659</v>
      </c>
      <c r="B661" t="s">
        <v>637</v>
      </c>
      <c r="C661" t="s">
        <v>28</v>
      </c>
      <c r="D661">
        <v>82</v>
      </c>
      <c r="E661">
        <v>66</v>
      </c>
      <c r="F661" t="s">
        <v>11</v>
      </c>
      <c r="G661" t="s">
        <v>240</v>
      </c>
    </row>
    <row r="662" spans="1:7" x14ac:dyDescent="0.3">
      <c r="A662">
        <v>660</v>
      </c>
      <c r="B662" t="s">
        <v>638</v>
      </c>
      <c r="C662" t="s">
        <v>28</v>
      </c>
      <c r="D662">
        <v>145</v>
      </c>
      <c r="E662">
        <v>134</v>
      </c>
      <c r="F662" t="s">
        <v>11</v>
      </c>
      <c r="G662" t="s">
        <v>240</v>
      </c>
    </row>
    <row r="663" spans="1:7" x14ac:dyDescent="0.3">
      <c r="A663">
        <v>661</v>
      </c>
      <c r="B663" t="s">
        <v>639</v>
      </c>
      <c r="C663" t="s">
        <v>28</v>
      </c>
      <c r="D663">
        <v>117</v>
      </c>
      <c r="E663">
        <v>108</v>
      </c>
      <c r="F663" t="s">
        <v>216</v>
      </c>
      <c r="G663" t="s">
        <v>240</v>
      </c>
    </row>
    <row r="664" spans="1:7" x14ac:dyDescent="0.3">
      <c r="A664">
        <v>662</v>
      </c>
      <c r="B664" t="s">
        <v>640</v>
      </c>
      <c r="C664" t="s">
        <v>28</v>
      </c>
      <c r="D664">
        <v>160</v>
      </c>
      <c r="E664">
        <v>148</v>
      </c>
      <c r="F664" t="s">
        <v>11</v>
      </c>
      <c r="G664" t="s">
        <v>240</v>
      </c>
    </row>
    <row r="665" spans="1:7" x14ac:dyDescent="0.3">
      <c r="A665">
        <v>663</v>
      </c>
      <c r="B665" t="s">
        <v>641</v>
      </c>
      <c r="C665" t="s">
        <v>28</v>
      </c>
      <c r="D665">
        <v>107</v>
      </c>
      <c r="E665">
        <v>99</v>
      </c>
      <c r="F665" t="s">
        <v>11</v>
      </c>
      <c r="G665" t="s">
        <v>240</v>
      </c>
    </row>
    <row r="666" spans="1:7" x14ac:dyDescent="0.3">
      <c r="A666">
        <v>664</v>
      </c>
      <c r="B666" t="s">
        <v>642</v>
      </c>
      <c r="C666" t="s">
        <v>28</v>
      </c>
      <c r="D666">
        <v>121</v>
      </c>
      <c r="E666">
        <v>112</v>
      </c>
      <c r="F666" t="s">
        <v>11</v>
      </c>
      <c r="G666" t="s">
        <v>240</v>
      </c>
    </row>
    <row r="667" spans="1:7" x14ac:dyDescent="0.3">
      <c r="A667">
        <v>665</v>
      </c>
      <c r="B667" t="s">
        <v>643</v>
      </c>
      <c r="C667" t="s">
        <v>28</v>
      </c>
      <c r="D667">
        <v>25</v>
      </c>
      <c r="E667">
        <v>23</v>
      </c>
      <c r="F667" t="s">
        <v>11</v>
      </c>
      <c r="G667" t="s">
        <v>240</v>
      </c>
    </row>
    <row r="668" spans="1:7" x14ac:dyDescent="0.3">
      <c r="A668">
        <v>666</v>
      </c>
      <c r="B668" t="s">
        <v>644</v>
      </c>
      <c r="C668" t="s">
        <v>28</v>
      </c>
      <c r="D668">
        <v>74</v>
      </c>
      <c r="E668">
        <v>68</v>
      </c>
      <c r="F668" t="s">
        <v>11</v>
      </c>
      <c r="G668" t="s">
        <v>240</v>
      </c>
    </row>
    <row r="669" spans="1:7" x14ac:dyDescent="0.3">
      <c r="A669">
        <v>667</v>
      </c>
      <c r="B669" t="s">
        <v>645</v>
      </c>
      <c r="C669" t="s">
        <v>17</v>
      </c>
      <c r="D669">
        <v>33</v>
      </c>
      <c r="E669">
        <v>25</v>
      </c>
      <c r="F669" t="s">
        <v>12</v>
      </c>
      <c r="G669" t="s">
        <v>240</v>
      </c>
    </row>
    <row r="670" spans="1:7" x14ac:dyDescent="0.3">
      <c r="A670">
        <v>668</v>
      </c>
      <c r="B670" t="s">
        <v>646</v>
      </c>
      <c r="C670" t="s">
        <v>647</v>
      </c>
      <c r="D670">
        <v>95</v>
      </c>
      <c r="E670">
        <v>65</v>
      </c>
      <c r="F670" t="s">
        <v>12</v>
      </c>
      <c r="G670" t="s">
        <v>240</v>
      </c>
    </row>
    <row r="671" spans="1:7" x14ac:dyDescent="0.3">
      <c r="A671">
        <v>669</v>
      </c>
      <c r="B671" t="s">
        <v>648</v>
      </c>
      <c r="C671" t="s">
        <v>106</v>
      </c>
      <c r="D671">
        <v>150</v>
      </c>
      <c r="E671">
        <v>102</v>
      </c>
      <c r="F671" t="s">
        <v>11</v>
      </c>
      <c r="G671" t="s">
        <v>240</v>
      </c>
    </row>
    <row r="672" spans="1:7" x14ac:dyDescent="0.3">
      <c r="A672">
        <v>670</v>
      </c>
      <c r="B672" t="s">
        <v>649</v>
      </c>
      <c r="C672" t="s">
        <v>106</v>
      </c>
      <c r="D672">
        <v>100</v>
      </c>
      <c r="E672">
        <v>63</v>
      </c>
      <c r="F672" t="s">
        <v>11</v>
      </c>
      <c r="G672" t="s">
        <v>240</v>
      </c>
    </row>
    <row r="673" spans="1:7" x14ac:dyDescent="0.3">
      <c r="A673">
        <v>671</v>
      </c>
      <c r="B673" t="s">
        <v>650</v>
      </c>
      <c r="C673" t="s">
        <v>106</v>
      </c>
      <c r="D673">
        <v>80</v>
      </c>
      <c r="E673">
        <v>66</v>
      </c>
      <c r="F673" t="s">
        <v>11</v>
      </c>
      <c r="G673" t="s">
        <v>240</v>
      </c>
    </row>
    <row r="674" spans="1:7" x14ac:dyDescent="0.3">
      <c r="A674">
        <v>672</v>
      </c>
      <c r="B674" t="s">
        <v>651</v>
      </c>
      <c r="C674" t="s">
        <v>505</v>
      </c>
      <c r="D674">
        <v>399</v>
      </c>
      <c r="E674">
        <v>199</v>
      </c>
      <c r="F674" t="s">
        <v>652</v>
      </c>
      <c r="G674" t="s">
        <v>240</v>
      </c>
    </row>
    <row r="675" spans="1:7" x14ac:dyDescent="0.3">
      <c r="A675">
        <v>673</v>
      </c>
      <c r="B675" t="s">
        <v>653</v>
      </c>
      <c r="C675" t="s">
        <v>654</v>
      </c>
      <c r="D675">
        <v>399</v>
      </c>
      <c r="E675">
        <v>199</v>
      </c>
      <c r="F675" t="s">
        <v>652</v>
      </c>
      <c r="G675" t="s">
        <v>240</v>
      </c>
    </row>
    <row r="676" spans="1:7" x14ac:dyDescent="0.3">
      <c r="A676">
        <v>674</v>
      </c>
      <c r="B676" t="s">
        <v>655</v>
      </c>
      <c r="C676" t="s">
        <v>656</v>
      </c>
      <c r="D676">
        <v>96</v>
      </c>
      <c r="E676">
        <v>85</v>
      </c>
      <c r="F676" t="s">
        <v>11</v>
      </c>
      <c r="G676" t="s">
        <v>240</v>
      </c>
    </row>
    <row r="677" spans="1:7" x14ac:dyDescent="0.3">
      <c r="A677">
        <v>675</v>
      </c>
      <c r="B677" t="s">
        <v>657</v>
      </c>
      <c r="C677" t="s">
        <v>656</v>
      </c>
      <c r="D677">
        <v>54</v>
      </c>
      <c r="E677">
        <v>50</v>
      </c>
      <c r="F677" t="s">
        <v>11</v>
      </c>
      <c r="G677" t="s">
        <v>240</v>
      </c>
    </row>
    <row r="678" spans="1:7" x14ac:dyDescent="0.3">
      <c r="A678">
        <v>676</v>
      </c>
      <c r="B678" t="s">
        <v>657</v>
      </c>
      <c r="C678" t="s">
        <v>656</v>
      </c>
      <c r="D678">
        <v>116</v>
      </c>
      <c r="E678">
        <v>90</v>
      </c>
      <c r="F678" t="s">
        <v>12</v>
      </c>
      <c r="G678" t="s">
        <v>240</v>
      </c>
    </row>
    <row r="679" spans="1:7" x14ac:dyDescent="0.3">
      <c r="A679">
        <v>677</v>
      </c>
      <c r="B679" t="s">
        <v>657</v>
      </c>
      <c r="C679" t="s">
        <v>656</v>
      </c>
      <c r="D679">
        <v>280</v>
      </c>
      <c r="E679">
        <v>245</v>
      </c>
      <c r="F679" t="s">
        <v>9</v>
      </c>
      <c r="G679" t="s">
        <v>240</v>
      </c>
    </row>
    <row r="680" spans="1:7" x14ac:dyDescent="0.3">
      <c r="A680">
        <v>678</v>
      </c>
      <c r="B680" t="s">
        <v>658</v>
      </c>
      <c r="C680" t="s">
        <v>656</v>
      </c>
      <c r="D680">
        <v>46</v>
      </c>
      <c r="E680">
        <v>38</v>
      </c>
      <c r="F680" t="s">
        <v>216</v>
      </c>
      <c r="G680" t="s">
        <v>240</v>
      </c>
    </row>
    <row r="681" spans="1:7" x14ac:dyDescent="0.3">
      <c r="A681">
        <v>679</v>
      </c>
      <c r="B681" t="s">
        <v>658</v>
      </c>
      <c r="C681" t="s">
        <v>656</v>
      </c>
      <c r="D681">
        <v>88</v>
      </c>
      <c r="E681">
        <v>71</v>
      </c>
      <c r="F681" t="s">
        <v>11</v>
      </c>
      <c r="G681" t="s">
        <v>240</v>
      </c>
    </row>
    <row r="682" spans="1:7" x14ac:dyDescent="0.3">
      <c r="A682">
        <v>680</v>
      </c>
      <c r="B682" t="s">
        <v>659</v>
      </c>
      <c r="C682" t="s">
        <v>660</v>
      </c>
      <c r="D682">
        <v>160</v>
      </c>
      <c r="E682">
        <v>130</v>
      </c>
      <c r="F682" t="s">
        <v>216</v>
      </c>
      <c r="G682" t="s">
        <v>240</v>
      </c>
    </row>
    <row r="683" spans="1:7" x14ac:dyDescent="0.3">
      <c r="A683">
        <v>681</v>
      </c>
      <c r="B683" t="s">
        <v>659</v>
      </c>
      <c r="C683" t="s">
        <v>660</v>
      </c>
      <c r="D683">
        <v>290</v>
      </c>
      <c r="E683">
        <v>225</v>
      </c>
      <c r="F683" t="s">
        <v>11</v>
      </c>
      <c r="G683" t="s">
        <v>240</v>
      </c>
    </row>
    <row r="684" spans="1:7" x14ac:dyDescent="0.3">
      <c r="A684">
        <v>682</v>
      </c>
      <c r="B684" t="s">
        <v>661</v>
      </c>
      <c r="C684" t="s">
        <v>8</v>
      </c>
      <c r="D684">
        <v>90</v>
      </c>
      <c r="E684">
        <v>54</v>
      </c>
      <c r="F684" t="s">
        <v>216</v>
      </c>
      <c r="G684" t="s">
        <v>240</v>
      </c>
    </row>
    <row r="685" spans="1:7" x14ac:dyDescent="0.3">
      <c r="A685">
        <v>683</v>
      </c>
      <c r="B685" t="s">
        <v>661</v>
      </c>
      <c r="C685" t="s">
        <v>8</v>
      </c>
      <c r="D685">
        <v>175</v>
      </c>
      <c r="E685">
        <v>99</v>
      </c>
      <c r="F685" t="s">
        <v>11</v>
      </c>
      <c r="G685" t="s">
        <v>240</v>
      </c>
    </row>
    <row r="686" spans="1:7" x14ac:dyDescent="0.3">
      <c r="A686">
        <v>684</v>
      </c>
      <c r="B686" t="s">
        <v>662</v>
      </c>
      <c r="C686" t="s">
        <v>663</v>
      </c>
      <c r="D686">
        <v>60</v>
      </c>
      <c r="E686">
        <v>54</v>
      </c>
      <c r="F686" t="s">
        <v>664</v>
      </c>
      <c r="G686" t="s">
        <v>240</v>
      </c>
    </row>
    <row r="687" spans="1:7" x14ac:dyDescent="0.3">
      <c r="A687">
        <v>685</v>
      </c>
      <c r="B687" t="s">
        <v>665</v>
      </c>
      <c r="C687" t="s">
        <v>656</v>
      </c>
      <c r="D687">
        <v>39</v>
      </c>
      <c r="E687">
        <v>32</v>
      </c>
      <c r="F687" t="s">
        <v>216</v>
      </c>
      <c r="G687" t="s">
        <v>240</v>
      </c>
    </row>
    <row r="688" spans="1:7" x14ac:dyDescent="0.3">
      <c r="A688">
        <v>686</v>
      </c>
      <c r="B688" t="s">
        <v>665</v>
      </c>
      <c r="C688" t="s">
        <v>656</v>
      </c>
      <c r="D688">
        <v>73</v>
      </c>
      <c r="E688">
        <v>60</v>
      </c>
      <c r="F688" t="s">
        <v>11</v>
      </c>
      <c r="G688" t="s">
        <v>240</v>
      </c>
    </row>
    <row r="689" spans="1:7" x14ac:dyDescent="0.3">
      <c r="A689">
        <v>687</v>
      </c>
      <c r="B689" t="s">
        <v>666</v>
      </c>
      <c r="C689" t="s">
        <v>666</v>
      </c>
      <c r="D689">
        <v>85</v>
      </c>
      <c r="E689">
        <v>73</v>
      </c>
      <c r="F689" t="s">
        <v>216</v>
      </c>
      <c r="G689" t="s">
        <v>240</v>
      </c>
    </row>
    <row r="690" spans="1:7" x14ac:dyDescent="0.3">
      <c r="A690">
        <v>688</v>
      </c>
      <c r="B690" t="s">
        <v>666</v>
      </c>
      <c r="C690" t="s">
        <v>666</v>
      </c>
      <c r="D690">
        <v>165</v>
      </c>
      <c r="E690">
        <v>142</v>
      </c>
      <c r="F690" t="s">
        <v>11</v>
      </c>
      <c r="G690" t="s">
        <v>240</v>
      </c>
    </row>
    <row r="691" spans="1:7" x14ac:dyDescent="0.3">
      <c r="A691">
        <v>689</v>
      </c>
      <c r="B691" t="s">
        <v>666</v>
      </c>
      <c r="C691" t="s">
        <v>666</v>
      </c>
      <c r="D691">
        <v>335</v>
      </c>
      <c r="E691">
        <v>273</v>
      </c>
      <c r="F691" t="s">
        <v>12</v>
      </c>
      <c r="G691" t="s">
        <v>240</v>
      </c>
    </row>
    <row r="692" spans="1:7" x14ac:dyDescent="0.3">
      <c r="A692">
        <v>690</v>
      </c>
      <c r="B692" t="s">
        <v>667</v>
      </c>
      <c r="C692" t="s">
        <v>668</v>
      </c>
      <c r="D692">
        <v>76</v>
      </c>
      <c r="E692">
        <v>38</v>
      </c>
      <c r="F692" t="s">
        <v>216</v>
      </c>
      <c r="G692" t="s">
        <v>240</v>
      </c>
    </row>
    <row r="693" spans="1:7" x14ac:dyDescent="0.3">
      <c r="A693">
        <v>691</v>
      </c>
      <c r="B693" t="s">
        <v>667</v>
      </c>
      <c r="C693" t="s">
        <v>668</v>
      </c>
      <c r="D693">
        <v>152</v>
      </c>
      <c r="E693">
        <v>76</v>
      </c>
      <c r="F693" t="s">
        <v>11</v>
      </c>
      <c r="G693" t="s">
        <v>240</v>
      </c>
    </row>
    <row r="694" spans="1:7" x14ac:dyDescent="0.3">
      <c r="A694">
        <v>692</v>
      </c>
      <c r="B694" t="s">
        <v>669</v>
      </c>
      <c r="C694" t="s">
        <v>17</v>
      </c>
      <c r="D694">
        <v>60</v>
      </c>
      <c r="E694">
        <v>32</v>
      </c>
      <c r="F694" t="s">
        <v>216</v>
      </c>
      <c r="G694" t="s">
        <v>240</v>
      </c>
    </row>
    <row r="695" spans="1:7" x14ac:dyDescent="0.3">
      <c r="A695">
        <v>693</v>
      </c>
      <c r="B695" t="s">
        <v>669</v>
      </c>
      <c r="C695" t="s">
        <v>17</v>
      </c>
      <c r="D695">
        <v>110</v>
      </c>
      <c r="E695">
        <v>59</v>
      </c>
      <c r="F695" t="s">
        <v>11</v>
      </c>
      <c r="G695" t="s">
        <v>240</v>
      </c>
    </row>
    <row r="696" spans="1:7" x14ac:dyDescent="0.3">
      <c r="A696">
        <v>694</v>
      </c>
      <c r="B696" t="s">
        <v>670</v>
      </c>
      <c r="C696" t="s">
        <v>656</v>
      </c>
      <c r="D696">
        <v>41</v>
      </c>
      <c r="E696">
        <v>33</v>
      </c>
      <c r="F696" t="s">
        <v>216</v>
      </c>
      <c r="G696" t="s">
        <v>240</v>
      </c>
    </row>
    <row r="697" spans="1:7" x14ac:dyDescent="0.3">
      <c r="A697">
        <v>695</v>
      </c>
      <c r="B697" t="s">
        <v>670</v>
      </c>
      <c r="C697" t="s">
        <v>656</v>
      </c>
      <c r="D697">
        <v>78</v>
      </c>
      <c r="E697">
        <v>62</v>
      </c>
      <c r="F697" t="s">
        <v>11</v>
      </c>
      <c r="G697" t="s">
        <v>240</v>
      </c>
    </row>
    <row r="698" spans="1:7" x14ac:dyDescent="0.3">
      <c r="A698">
        <v>696</v>
      </c>
      <c r="B698" t="s">
        <v>671</v>
      </c>
      <c r="C698" t="s">
        <v>656</v>
      </c>
      <c r="D698">
        <v>80</v>
      </c>
      <c r="E698">
        <v>62</v>
      </c>
      <c r="F698" t="s">
        <v>11</v>
      </c>
      <c r="G698" t="s">
        <v>240</v>
      </c>
    </row>
    <row r="699" spans="1:7" x14ac:dyDescent="0.3">
      <c r="A699">
        <v>697</v>
      </c>
      <c r="B699" t="s">
        <v>672</v>
      </c>
      <c r="C699" t="s">
        <v>656</v>
      </c>
      <c r="D699">
        <v>70</v>
      </c>
      <c r="E699">
        <v>55</v>
      </c>
      <c r="F699" t="s">
        <v>12</v>
      </c>
      <c r="G699" t="s">
        <v>240</v>
      </c>
    </row>
    <row r="700" spans="1:7" x14ac:dyDescent="0.3">
      <c r="A700">
        <v>698</v>
      </c>
      <c r="B700" t="s">
        <v>672</v>
      </c>
      <c r="C700" t="s">
        <v>656</v>
      </c>
      <c r="D700">
        <v>165</v>
      </c>
      <c r="E700">
        <v>129</v>
      </c>
      <c r="F700" t="s">
        <v>9</v>
      </c>
      <c r="G700" t="s">
        <v>240</v>
      </c>
    </row>
    <row r="701" spans="1:7" x14ac:dyDescent="0.3">
      <c r="A701">
        <v>699</v>
      </c>
      <c r="B701" t="s">
        <v>673</v>
      </c>
      <c r="C701" t="s">
        <v>668</v>
      </c>
      <c r="D701">
        <v>180</v>
      </c>
      <c r="E701">
        <v>110</v>
      </c>
      <c r="F701" t="s">
        <v>11</v>
      </c>
      <c r="G701" t="s">
        <v>240</v>
      </c>
    </row>
    <row r="702" spans="1:7" x14ac:dyDescent="0.3">
      <c r="A702">
        <v>700</v>
      </c>
      <c r="B702" t="s">
        <v>674</v>
      </c>
      <c r="C702" t="s">
        <v>656</v>
      </c>
      <c r="D702">
        <v>74</v>
      </c>
      <c r="E702">
        <v>59</v>
      </c>
      <c r="F702" t="s">
        <v>216</v>
      </c>
      <c r="G702" t="s">
        <v>240</v>
      </c>
    </row>
    <row r="703" spans="1:7" x14ac:dyDescent="0.3">
      <c r="A703">
        <v>701</v>
      </c>
      <c r="B703" t="s">
        <v>675</v>
      </c>
      <c r="C703" t="s">
        <v>656</v>
      </c>
      <c r="D703">
        <v>84</v>
      </c>
      <c r="E703">
        <v>68</v>
      </c>
      <c r="F703" t="s">
        <v>12</v>
      </c>
      <c r="G703" t="s">
        <v>240</v>
      </c>
    </row>
    <row r="704" spans="1:7" x14ac:dyDescent="0.3">
      <c r="A704">
        <v>702</v>
      </c>
      <c r="B704" t="s">
        <v>675</v>
      </c>
      <c r="C704" t="s">
        <v>656</v>
      </c>
      <c r="D704">
        <v>200</v>
      </c>
      <c r="E704">
        <v>175</v>
      </c>
      <c r="F704" t="s">
        <v>9</v>
      </c>
      <c r="G704" t="s">
        <v>240</v>
      </c>
    </row>
    <row r="705" spans="1:7" x14ac:dyDescent="0.3">
      <c r="A705">
        <v>703</v>
      </c>
      <c r="B705" t="s">
        <v>676</v>
      </c>
      <c r="C705" t="s">
        <v>656</v>
      </c>
      <c r="D705">
        <v>200</v>
      </c>
      <c r="E705">
        <v>160</v>
      </c>
      <c r="F705" t="s">
        <v>11</v>
      </c>
      <c r="G705" t="s">
        <v>240</v>
      </c>
    </row>
    <row r="706" spans="1:7" x14ac:dyDescent="0.3">
      <c r="A706">
        <v>704</v>
      </c>
      <c r="B706" t="s">
        <v>677</v>
      </c>
      <c r="C706" t="s">
        <v>678</v>
      </c>
      <c r="D706">
        <v>140</v>
      </c>
      <c r="E706">
        <v>119</v>
      </c>
      <c r="F706" t="s">
        <v>12</v>
      </c>
      <c r="G706" t="s">
        <v>240</v>
      </c>
    </row>
    <row r="707" spans="1:7" x14ac:dyDescent="0.3">
      <c r="A707">
        <v>705</v>
      </c>
      <c r="B707" t="s">
        <v>679</v>
      </c>
      <c r="C707" t="s">
        <v>656</v>
      </c>
      <c r="D707">
        <v>40</v>
      </c>
      <c r="E707">
        <v>31</v>
      </c>
      <c r="F707" t="s">
        <v>216</v>
      </c>
      <c r="G707" t="s">
        <v>240</v>
      </c>
    </row>
    <row r="708" spans="1:7" x14ac:dyDescent="0.3">
      <c r="A708">
        <v>706</v>
      </c>
      <c r="B708" t="s">
        <v>679</v>
      </c>
      <c r="C708" t="s">
        <v>656</v>
      </c>
      <c r="D708">
        <v>78</v>
      </c>
      <c r="E708">
        <v>62</v>
      </c>
      <c r="F708" t="s">
        <v>11</v>
      </c>
      <c r="G708" t="s">
        <v>240</v>
      </c>
    </row>
    <row r="709" spans="1:7" x14ac:dyDescent="0.3">
      <c r="A709">
        <v>707</v>
      </c>
      <c r="B709" t="s">
        <v>680</v>
      </c>
      <c r="C709" t="s">
        <v>8</v>
      </c>
      <c r="D709">
        <v>27</v>
      </c>
      <c r="E709">
        <v>21</v>
      </c>
      <c r="F709" t="s">
        <v>11</v>
      </c>
      <c r="G709" t="s">
        <v>240</v>
      </c>
    </row>
    <row r="710" spans="1:7" x14ac:dyDescent="0.3">
      <c r="A710">
        <v>708</v>
      </c>
      <c r="B710" t="s">
        <v>680</v>
      </c>
      <c r="C710" t="s">
        <v>8</v>
      </c>
      <c r="D710">
        <v>50</v>
      </c>
      <c r="E710">
        <v>38</v>
      </c>
      <c r="F710" t="s">
        <v>12</v>
      </c>
      <c r="G710" t="s">
        <v>240</v>
      </c>
    </row>
    <row r="711" spans="1:7" x14ac:dyDescent="0.3">
      <c r="A711">
        <v>709</v>
      </c>
      <c r="B711" t="s">
        <v>680</v>
      </c>
      <c r="C711" t="s">
        <v>8</v>
      </c>
      <c r="D711">
        <v>118</v>
      </c>
      <c r="E711">
        <v>94</v>
      </c>
      <c r="F711" t="s">
        <v>9</v>
      </c>
      <c r="G711" t="s">
        <v>240</v>
      </c>
    </row>
    <row r="712" spans="1:7" x14ac:dyDescent="0.3">
      <c r="A712">
        <v>710</v>
      </c>
      <c r="B712" t="s">
        <v>680</v>
      </c>
      <c r="C712" t="s">
        <v>8</v>
      </c>
      <c r="D712">
        <v>213</v>
      </c>
      <c r="E712">
        <v>159</v>
      </c>
      <c r="F712" t="s">
        <v>15</v>
      </c>
      <c r="G712" t="s">
        <v>240</v>
      </c>
    </row>
    <row r="713" spans="1:7" x14ac:dyDescent="0.3">
      <c r="A713">
        <v>711</v>
      </c>
      <c r="B713" t="s">
        <v>681</v>
      </c>
      <c r="C713" t="s">
        <v>656</v>
      </c>
      <c r="D713">
        <v>120</v>
      </c>
      <c r="E713">
        <v>96</v>
      </c>
      <c r="F713" t="s">
        <v>11</v>
      </c>
      <c r="G713" t="s">
        <v>240</v>
      </c>
    </row>
    <row r="714" spans="1:7" x14ac:dyDescent="0.3">
      <c r="A714">
        <v>712</v>
      </c>
      <c r="B714" t="s">
        <v>682</v>
      </c>
      <c r="C714" t="s">
        <v>656</v>
      </c>
      <c r="D714">
        <v>43</v>
      </c>
      <c r="E714">
        <v>38</v>
      </c>
      <c r="F714" t="s">
        <v>683</v>
      </c>
      <c r="G714" t="s">
        <v>240</v>
      </c>
    </row>
    <row r="715" spans="1:7" x14ac:dyDescent="0.3">
      <c r="A715">
        <v>713</v>
      </c>
      <c r="B715" t="s">
        <v>682</v>
      </c>
      <c r="C715" t="s">
        <v>656</v>
      </c>
      <c r="D715">
        <v>82</v>
      </c>
      <c r="E715">
        <v>67</v>
      </c>
      <c r="F715" t="s">
        <v>11</v>
      </c>
      <c r="G715" t="s">
        <v>240</v>
      </c>
    </row>
    <row r="716" spans="1:7" x14ac:dyDescent="0.3">
      <c r="A716">
        <v>714</v>
      </c>
      <c r="B716" t="s">
        <v>684</v>
      </c>
      <c r="C716" t="s">
        <v>36</v>
      </c>
      <c r="D716">
        <v>72</v>
      </c>
      <c r="E716">
        <v>61</v>
      </c>
      <c r="F716" t="s">
        <v>12</v>
      </c>
      <c r="G716" t="s">
        <v>240</v>
      </c>
    </row>
    <row r="717" spans="1:7" x14ac:dyDescent="0.3">
      <c r="A717">
        <v>715</v>
      </c>
      <c r="B717" t="s">
        <v>685</v>
      </c>
      <c r="C717" t="s">
        <v>656</v>
      </c>
      <c r="D717">
        <v>37</v>
      </c>
      <c r="E717">
        <v>32</v>
      </c>
      <c r="F717" t="s">
        <v>216</v>
      </c>
      <c r="G717" t="s">
        <v>240</v>
      </c>
    </row>
    <row r="718" spans="1:7" x14ac:dyDescent="0.3">
      <c r="A718">
        <v>716</v>
      </c>
      <c r="B718" t="s">
        <v>685</v>
      </c>
      <c r="C718" t="s">
        <v>656</v>
      </c>
      <c r="D718">
        <v>70</v>
      </c>
      <c r="E718">
        <v>59</v>
      </c>
      <c r="F718" t="s">
        <v>11</v>
      </c>
      <c r="G718" t="s">
        <v>240</v>
      </c>
    </row>
    <row r="719" spans="1:7" x14ac:dyDescent="0.3">
      <c r="A719">
        <v>717</v>
      </c>
      <c r="B719" t="s">
        <v>686</v>
      </c>
      <c r="C719" t="s">
        <v>656</v>
      </c>
      <c r="D719">
        <v>82</v>
      </c>
      <c r="E719">
        <v>69</v>
      </c>
      <c r="F719" t="s">
        <v>11</v>
      </c>
      <c r="G719" t="s">
        <v>240</v>
      </c>
    </row>
    <row r="720" spans="1:7" x14ac:dyDescent="0.3">
      <c r="A720">
        <v>718</v>
      </c>
      <c r="B720" t="s">
        <v>687</v>
      </c>
      <c r="C720" t="s">
        <v>688</v>
      </c>
      <c r="D720">
        <v>45</v>
      </c>
      <c r="E720">
        <v>29</v>
      </c>
      <c r="F720" t="s">
        <v>216</v>
      </c>
      <c r="G720" t="s">
        <v>240</v>
      </c>
    </row>
    <row r="721" spans="1:7" x14ac:dyDescent="0.3">
      <c r="A721">
        <v>719</v>
      </c>
      <c r="B721" t="s">
        <v>689</v>
      </c>
      <c r="C721" t="s">
        <v>690</v>
      </c>
      <c r="D721">
        <v>65</v>
      </c>
      <c r="E721">
        <v>52</v>
      </c>
      <c r="F721" t="s">
        <v>691</v>
      </c>
      <c r="G721" t="s">
        <v>240</v>
      </c>
    </row>
    <row r="722" spans="1:7" x14ac:dyDescent="0.3">
      <c r="A722">
        <v>720</v>
      </c>
      <c r="B722" t="s">
        <v>692</v>
      </c>
      <c r="C722" t="s">
        <v>693</v>
      </c>
      <c r="D722">
        <v>74</v>
      </c>
      <c r="E722">
        <v>52</v>
      </c>
      <c r="F722" t="s">
        <v>11</v>
      </c>
      <c r="G722" t="s">
        <v>240</v>
      </c>
    </row>
    <row r="723" spans="1:7" x14ac:dyDescent="0.3">
      <c r="A723">
        <v>721</v>
      </c>
      <c r="B723" t="s">
        <v>694</v>
      </c>
      <c r="C723" t="s">
        <v>688</v>
      </c>
      <c r="D723">
        <v>45</v>
      </c>
      <c r="E723">
        <v>35</v>
      </c>
      <c r="F723" t="s">
        <v>216</v>
      </c>
      <c r="G723" t="s">
        <v>240</v>
      </c>
    </row>
    <row r="724" spans="1:7" x14ac:dyDescent="0.3">
      <c r="A724">
        <v>722</v>
      </c>
      <c r="B724" t="s">
        <v>695</v>
      </c>
      <c r="C724" t="s">
        <v>688</v>
      </c>
      <c r="D724">
        <v>45</v>
      </c>
      <c r="E724">
        <v>35</v>
      </c>
      <c r="F724" t="s">
        <v>216</v>
      </c>
      <c r="G724" t="s">
        <v>240</v>
      </c>
    </row>
    <row r="725" spans="1:7" x14ac:dyDescent="0.3">
      <c r="A725">
        <v>723</v>
      </c>
      <c r="B725" t="s">
        <v>696</v>
      </c>
      <c r="C725" t="s">
        <v>697</v>
      </c>
      <c r="D725">
        <v>85</v>
      </c>
      <c r="E725">
        <v>65</v>
      </c>
      <c r="F725" t="s">
        <v>12</v>
      </c>
      <c r="G725" t="s">
        <v>240</v>
      </c>
    </row>
    <row r="726" spans="1:7" x14ac:dyDescent="0.3">
      <c r="A726">
        <v>724</v>
      </c>
      <c r="B726" t="s">
        <v>698</v>
      </c>
      <c r="C726" t="s">
        <v>660</v>
      </c>
      <c r="D726">
        <v>110</v>
      </c>
      <c r="E726">
        <v>94</v>
      </c>
      <c r="F726" t="s">
        <v>12</v>
      </c>
      <c r="G726" t="s">
        <v>240</v>
      </c>
    </row>
    <row r="727" spans="1:7" x14ac:dyDescent="0.3">
      <c r="A727">
        <v>725</v>
      </c>
      <c r="B727" t="s">
        <v>673</v>
      </c>
      <c r="C727" t="s">
        <v>668</v>
      </c>
      <c r="D727">
        <v>90</v>
      </c>
      <c r="E727">
        <v>60</v>
      </c>
      <c r="F727" t="s">
        <v>216</v>
      </c>
      <c r="G727" t="s">
        <v>240</v>
      </c>
    </row>
    <row r="728" spans="1:7" x14ac:dyDescent="0.3">
      <c r="A728">
        <v>726</v>
      </c>
      <c r="B728" t="s">
        <v>699</v>
      </c>
      <c r="C728" t="s">
        <v>656</v>
      </c>
      <c r="D728">
        <v>82</v>
      </c>
      <c r="E728">
        <v>73</v>
      </c>
      <c r="F728" t="s">
        <v>11</v>
      </c>
      <c r="G728" t="s">
        <v>240</v>
      </c>
    </row>
    <row r="729" spans="1:7" x14ac:dyDescent="0.3">
      <c r="A729">
        <v>727</v>
      </c>
      <c r="B729" t="s">
        <v>700</v>
      </c>
      <c r="C729" t="s">
        <v>701</v>
      </c>
      <c r="D729">
        <v>165</v>
      </c>
      <c r="E729">
        <v>82</v>
      </c>
      <c r="F729" t="s">
        <v>12</v>
      </c>
      <c r="G729" t="s">
        <v>240</v>
      </c>
    </row>
    <row r="730" spans="1:7" x14ac:dyDescent="0.3">
      <c r="A730">
        <v>728</v>
      </c>
      <c r="B730" t="s">
        <v>702</v>
      </c>
      <c r="C730" t="s">
        <v>693</v>
      </c>
      <c r="D730">
        <v>95</v>
      </c>
      <c r="E730">
        <v>47</v>
      </c>
      <c r="F730" t="s">
        <v>216</v>
      </c>
      <c r="G730" t="s">
        <v>240</v>
      </c>
    </row>
    <row r="731" spans="1:7" x14ac:dyDescent="0.3">
      <c r="A731">
        <v>729</v>
      </c>
      <c r="B731" t="s">
        <v>703</v>
      </c>
      <c r="C731" t="s">
        <v>678</v>
      </c>
      <c r="D731">
        <v>135</v>
      </c>
      <c r="E731">
        <v>119</v>
      </c>
      <c r="F731" t="s">
        <v>12</v>
      </c>
      <c r="G731" t="s">
        <v>704</v>
      </c>
    </row>
    <row r="732" spans="1:7" x14ac:dyDescent="0.3">
      <c r="A732">
        <v>730</v>
      </c>
      <c r="B732" t="s">
        <v>705</v>
      </c>
      <c r="C732" t="s">
        <v>706</v>
      </c>
      <c r="D732">
        <v>110</v>
      </c>
      <c r="E732">
        <v>88</v>
      </c>
      <c r="F732" t="s">
        <v>256</v>
      </c>
      <c r="G732" t="s">
        <v>240</v>
      </c>
    </row>
    <row r="733" spans="1:7" x14ac:dyDescent="0.3">
      <c r="A733">
        <v>731</v>
      </c>
      <c r="B733" t="s">
        <v>705</v>
      </c>
      <c r="C733" t="s">
        <v>706</v>
      </c>
      <c r="D733">
        <v>55</v>
      </c>
      <c r="E733">
        <v>44</v>
      </c>
      <c r="F733" t="s">
        <v>280</v>
      </c>
      <c r="G733" t="s">
        <v>240</v>
      </c>
    </row>
    <row r="734" spans="1:7" x14ac:dyDescent="0.3">
      <c r="A734">
        <v>732</v>
      </c>
      <c r="B734" t="s">
        <v>707</v>
      </c>
      <c r="C734" t="s">
        <v>708</v>
      </c>
      <c r="D734">
        <v>75</v>
      </c>
      <c r="E734">
        <v>65</v>
      </c>
      <c r="F734" t="s">
        <v>709</v>
      </c>
      <c r="G734" t="s">
        <v>240</v>
      </c>
    </row>
    <row r="735" spans="1:7" x14ac:dyDescent="0.3">
      <c r="A735">
        <v>733</v>
      </c>
      <c r="B735" t="s">
        <v>710</v>
      </c>
      <c r="C735" t="s">
        <v>693</v>
      </c>
      <c r="D735">
        <v>85</v>
      </c>
      <c r="E735">
        <v>60</v>
      </c>
      <c r="F735" t="s">
        <v>11</v>
      </c>
      <c r="G735" t="s">
        <v>240</v>
      </c>
    </row>
    <row r="736" spans="1:7" x14ac:dyDescent="0.3">
      <c r="A736">
        <v>734</v>
      </c>
      <c r="B736" t="s">
        <v>711</v>
      </c>
      <c r="C736" t="s">
        <v>656</v>
      </c>
      <c r="D736">
        <v>35</v>
      </c>
      <c r="E736">
        <v>29</v>
      </c>
      <c r="F736" t="s">
        <v>216</v>
      </c>
      <c r="G736" t="s">
        <v>240</v>
      </c>
    </row>
    <row r="737" spans="1:7" x14ac:dyDescent="0.3">
      <c r="A737">
        <v>735</v>
      </c>
      <c r="B737" t="s">
        <v>712</v>
      </c>
      <c r="C737" t="s">
        <v>713</v>
      </c>
      <c r="D737">
        <v>90</v>
      </c>
      <c r="E737">
        <v>45</v>
      </c>
      <c r="F737" t="s">
        <v>11</v>
      </c>
      <c r="G737" t="s">
        <v>240</v>
      </c>
    </row>
    <row r="738" spans="1:7" x14ac:dyDescent="0.3">
      <c r="A738">
        <v>736</v>
      </c>
      <c r="B738" t="s">
        <v>714</v>
      </c>
      <c r="C738" t="s">
        <v>663</v>
      </c>
      <c r="D738">
        <v>100</v>
      </c>
      <c r="E738">
        <v>90</v>
      </c>
      <c r="F738" t="s">
        <v>715</v>
      </c>
      <c r="G738" t="s">
        <v>240</v>
      </c>
    </row>
    <row r="739" spans="1:7" x14ac:dyDescent="0.3">
      <c r="A739">
        <v>737</v>
      </c>
      <c r="B739" t="s">
        <v>716</v>
      </c>
      <c r="C739" t="s">
        <v>688</v>
      </c>
      <c r="D739">
        <v>45</v>
      </c>
      <c r="E739">
        <v>33</v>
      </c>
      <c r="F739" t="s">
        <v>216</v>
      </c>
      <c r="G739" t="s">
        <v>240</v>
      </c>
    </row>
    <row r="740" spans="1:7" x14ac:dyDescent="0.3">
      <c r="A740">
        <v>738</v>
      </c>
      <c r="B740" t="s">
        <v>717</v>
      </c>
      <c r="C740" t="s">
        <v>660</v>
      </c>
      <c r="D740">
        <v>70</v>
      </c>
      <c r="E740">
        <v>60</v>
      </c>
      <c r="F740" t="s">
        <v>12</v>
      </c>
      <c r="G740" t="s">
        <v>240</v>
      </c>
    </row>
    <row r="741" spans="1:7" x14ac:dyDescent="0.3">
      <c r="A741">
        <v>739</v>
      </c>
      <c r="B741" t="s">
        <v>718</v>
      </c>
      <c r="C741" t="s">
        <v>693</v>
      </c>
      <c r="D741">
        <v>67</v>
      </c>
      <c r="E741">
        <v>47</v>
      </c>
      <c r="F741" t="s">
        <v>11</v>
      </c>
      <c r="G741" t="s">
        <v>240</v>
      </c>
    </row>
    <row r="742" spans="1:7" x14ac:dyDescent="0.3">
      <c r="A742">
        <v>740</v>
      </c>
      <c r="B742" t="s">
        <v>719</v>
      </c>
      <c r="C742" t="s">
        <v>688</v>
      </c>
      <c r="D742">
        <v>50</v>
      </c>
      <c r="E742">
        <v>32</v>
      </c>
      <c r="F742" t="s">
        <v>720</v>
      </c>
      <c r="G742" t="s">
        <v>240</v>
      </c>
    </row>
    <row r="743" spans="1:7" x14ac:dyDescent="0.3">
      <c r="A743">
        <v>741</v>
      </c>
      <c r="B743" t="s">
        <v>721</v>
      </c>
      <c r="C743" t="s">
        <v>693</v>
      </c>
      <c r="D743">
        <v>130</v>
      </c>
      <c r="E743">
        <v>95</v>
      </c>
      <c r="F743" t="s">
        <v>11</v>
      </c>
      <c r="G743" t="s">
        <v>240</v>
      </c>
    </row>
    <row r="744" spans="1:7" x14ac:dyDescent="0.3">
      <c r="A744">
        <v>742</v>
      </c>
      <c r="B744" t="s">
        <v>722</v>
      </c>
      <c r="C744" t="s">
        <v>542</v>
      </c>
      <c r="D744">
        <v>70</v>
      </c>
      <c r="E744">
        <v>55</v>
      </c>
      <c r="F744" t="s">
        <v>11</v>
      </c>
      <c r="G744" t="s">
        <v>240</v>
      </c>
    </row>
    <row r="745" spans="1:7" x14ac:dyDescent="0.3">
      <c r="A745">
        <v>743</v>
      </c>
      <c r="B745" t="s">
        <v>723</v>
      </c>
      <c r="C745" t="s">
        <v>701</v>
      </c>
      <c r="D745">
        <v>815</v>
      </c>
      <c r="E745">
        <v>407</v>
      </c>
      <c r="F745" t="s">
        <v>15</v>
      </c>
      <c r="G745" t="s">
        <v>240</v>
      </c>
    </row>
    <row r="746" spans="1:7" x14ac:dyDescent="0.3">
      <c r="A746">
        <v>744</v>
      </c>
      <c r="B746" t="s">
        <v>724</v>
      </c>
      <c r="C746" t="s">
        <v>688</v>
      </c>
      <c r="D746">
        <v>40</v>
      </c>
      <c r="E746">
        <v>29</v>
      </c>
      <c r="F746" t="s">
        <v>216</v>
      </c>
      <c r="G746" t="s">
        <v>240</v>
      </c>
    </row>
    <row r="747" spans="1:7" x14ac:dyDescent="0.3">
      <c r="A747">
        <v>745</v>
      </c>
      <c r="B747" t="s">
        <v>725</v>
      </c>
      <c r="C747" t="s">
        <v>726</v>
      </c>
      <c r="D747">
        <v>60</v>
      </c>
      <c r="E747">
        <v>48</v>
      </c>
      <c r="F747" t="s">
        <v>727</v>
      </c>
      <c r="G747" t="s">
        <v>240</v>
      </c>
    </row>
    <row r="748" spans="1:7" x14ac:dyDescent="0.3">
      <c r="A748">
        <v>746</v>
      </c>
      <c r="B748" t="s">
        <v>728</v>
      </c>
      <c r="C748" t="s">
        <v>656</v>
      </c>
      <c r="D748">
        <v>54</v>
      </c>
      <c r="E748">
        <v>45</v>
      </c>
      <c r="F748" t="s">
        <v>11</v>
      </c>
      <c r="G748" t="s">
        <v>240</v>
      </c>
    </row>
    <row r="749" spans="1:7" x14ac:dyDescent="0.3">
      <c r="A749">
        <v>747</v>
      </c>
      <c r="B749" t="s">
        <v>728</v>
      </c>
      <c r="C749" t="s">
        <v>656</v>
      </c>
      <c r="D749">
        <v>108</v>
      </c>
      <c r="E749">
        <v>100</v>
      </c>
      <c r="F749" t="s">
        <v>12</v>
      </c>
      <c r="G749" t="s">
        <v>240</v>
      </c>
    </row>
    <row r="750" spans="1:7" x14ac:dyDescent="0.3">
      <c r="A750">
        <v>748</v>
      </c>
      <c r="B750" t="s">
        <v>729</v>
      </c>
      <c r="C750" t="s">
        <v>701</v>
      </c>
      <c r="D750">
        <v>210</v>
      </c>
      <c r="E750">
        <v>105</v>
      </c>
      <c r="F750" t="s">
        <v>9</v>
      </c>
      <c r="G750" t="s">
        <v>240</v>
      </c>
    </row>
    <row r="751" spans="1:7" x14ac:dyDescent="0.3">
      <c r="A751">
        <v>749</v>
      </c>
      <c r="B751" t="s">
        <v>730</v>
      </c>
      <c r="C751" t="s">
        <v>713</v>
      </c>
      <c r="D751">
        <v>76</v>
      </c>
      <c r="E751">
        <v>38</v>
      </c>
      <c r="F751" t="s">
        <v>11</v>
      </c>
      <c r="G751" t="s">
        <v>240</v>
      </c>
    </row>
    <row r="752" spans="1:7" x14ac:dyDescent="0.3">
      <c r="A752">
        <v>750</v>
      </c>
      <c r="B752" t="s">
        <v>731</v>
      </c>
      <c r="C752" t="s">
        <v>656</v>
      </c>
      <c r="D752">
        <v>34</v>
      </c>
      <c r="E752">
        <v>28</v>
      </c>
      <c r="F752" t="s">
        <v>216</v>
      </c>
      <c r="G752" t="s">
        <v>240</v>
      </c>
    </row>
    <row r="753" spans="1:7" x14ac:dyDescent="0.3">
      <c r="A753">
        <v>751</v>
      </c>
      <c r="B753" t="s">
        <v>731</v>
      </c>
      <c r="C753" t="s">
        <v>656</v>
      </c>
      <c r="D753">
        <v>64</v>
      </c>
      <c r="E753">
        <v>53</v>
      </c>
      <c r="F753" t="s">
        <v>11</v>
      </c>
      <c r="G753" t="s">
        <v>240</v>
      </c>
    </row>
    <row r="754" spans="1:7" x14ac:dyDescent="0.3">
      <c r="A754">
        <v>752</v>
      </c>
      <c r="B754" t="s">
        <v>732</v>
      </c>
      <c r="C754" t="s">
        <v>660</v>
      </c>
      <c r="D754">
        <v>83</v>
      </c>
      <c r="E754">
        <v>72</v>
      </c>
      <c r="F754" t="s">
        <v>12</v>
      </c>
      <c r="G754" t="s">
        <v>240</v>
      </c>
    </row>
    <row r="755" spans="1:7" x14ac:dyDescent="0.3">
      <c r="A755">
        <v>753</v>
      </c>
      <c r="B755" t="s">
        <v>733</v>
      </c>
      <c r="C755" t="s">
        <v>688</v>
      </c>
      <c r="D755">
        <v>45</v>
      </c>
      <c r="E755">
        <v>32</v>
      </c>
      <c r="F755" t="s">
        <v>216</v>
      </c>
      <c r="G755" t="s">
        <v>240</v>
      </c>
    </row>
    <row r="756" spans="1:7" x14ac:dyDescent="0.3">
      <c r="A756">
        <v>754</v>
      </c>
      <c r="B756" t="s">
        <v>734</v>
      </c>
      <c r="C756" t="s">
        <v>693</v>
      </c>
      <c r="D756">
        <v>80</v>
      </c>
      <c r="E756">
        <v>40</v>
      </c>
      <c r="F756" t="s">
        <v>216</v>
      </c>
      <c r="G756" t="s">
        <v>240</v>
      </c>
    </row>
    <row r="757" spans="1:7" x14ac:dyDescent="0.3">
      <c r="A757">
        <v>755</v>
      </c>
      <c r="B757" t="s">
        <v>735</v>
      </c>
      <c r="C757" t="s">
        <v>542</v>
      </c>
      <c r="D757">
        <v>60</v>
      </c>
      <c r="E757">
        <v>45</v>
      </c>
      <c r="F757" t="s">
        <v>11</v>
      </c>
      <c r="G757" t="s">
        <v>240</v>
      </c>
    </row>
    <row r="758" spans="1:7" x14ac:dyDescent="0.3">
      <c r="A758">
        <v>756</v>
      </c>
      <c r="B758" t="s">
        <v>736</v>
      </c>
      <c r="C758" t="s">
        <v>713</v>
      </c>
      <c r="D758">
        <v>64</v>
      </c>
      <c r="E758">
        <v>32</v>
      </c>
      <c r="F758" t="s">
        <v>11</v>
      </c>
      <c r="G758" t="s">
        <v>240</v>
      </c>
    </row>
    <row r="759" spans="1:7" x14ac:dyDescent="0.3">
      <c r="A759">
        <v>757</v>
      </c>
      <c r="B759" t="s">
        <v>737</v>
      </c>
      <c r="C759" t="s">
        <v>738</v>
      </c>
      <c r="D759">
        <v>180</v>
      </c>
      <c r="E759">
        <v>155</v>
      </c>
      <c r="F759" t="s">
        <v>11</v>
      </c>
      <c r="G759" t="s">
        <v>240</v>
      </c>
    </row>
    <row r="760" spans="1:7" x14ac:dyDescent="0.3">
      <c r="A760">
        <v>758</v>
      </c>
      <c r="B760" t="s">
        <v>739</v>
      </c>
      <c r="C760" t="s">
        <v>690</v>
      </c>
      <c r="D760">
        <v>379</v>
      </c>
      <c r="E760">
        <v>275</v>
      </c>
      <c r="F760" t="s">
        <v>740</v>
      </c>
      <c r="G760" t="s">
        <v>240</v>
      </c>
    </row>
    <row r="761" spans="1:7" x14ac:dyDescent="0.3">
      <c r="A761">
        <v>759</v>
      </c>
      <c r="B761" t="s">
        <v>741</v>
      </c>
      <c r="C761" t="s">
        <v>701</v>
      </c>
      <c r="D761">
        <v>150</v>
      </c>
      <c r="E761">
        <v>75</v>
      </c>
      <c r="F761" t="s">
        <v>9</v>
      </c>
      <c r="G761" t="s">
        <v>240</v>
      </c>
    </row>
    <row r="762" spans="1:7" x14ac:dyDescent="0.3">
      <c r="A762">
        <v>760</v>
      </c>
      <c r="B762" t="s">
        <v>742</v>
      </c>
      <c r="C762" t="s">
        <v>693</v>
      </c>
      <c r="D762">
        <v>72</v>
      </c>
      <c r="E762">
        <v>53</v>
      </c>
      <c r="F762" t="s">
        <v>11</v>
      </c>
      <c r="G762" t="s">
        <v>240</v>
      </c>
    </row>
    <row r="763" spans="1:7" x14ac:dyDescent="0.3">
      <c r="A763">
        <v>761</v>
      </c>
      <c r="B763" t="s">
        <v>743</v>
      </c>
      <c r="C763" t="s">
        <v>738</v>
      </c>
      <c r="D763">
        <v>55</v>
      </c>
      <c r="E763">
        <v>45</v>
      </c>
      <c r="F763" t="s">
        <v>216</v>
      </c>
      <c r="G763" t="s">
        <v>240</v>
      </c>
    </row>
    <row r="764" spans="1:7" x14ac:dyDescent="0.3">
      <c r="A764">
        <v>762</v>
      </c>
      <c r="B764" t="s">
        <v>744</v>
      </c>
      <c r="C764" t="s">
        <v>688</v>
      </c>
      <c r="D764">
        <v>55</v>
      </c>
      <c r="E764">
        <v>35</v>
      </c>
      <c r="F764" t="s">
        <v>11</v>
      </c>
      <c r="G764" t="s">
        <v>240</v>
      </c>
    </row>
    <row r="765" spans="1:7" x14ac:dyDescent="0.3">
      <c r="A765">
        <v>763</v>
      </c>
      <c r="B765" t="s">
        <v>745</v>
      </c>
      <c r="C765" t="s">
        <v>713</v>
      </c>
      <c r="D765">
        <v>70</v>
      </c>
      <c r="E765">
        <v>35</v>
      </c>
      <c r="F765" t="s">
        <v>11</v>
      </c>
      <c r="G765" t="s">
        <v>240</v>
      </c>
    </row>
    <row r="766" spans="1:7" x14ac:dyDescent="0.3">
      <c r="A766">
        <v>764</v>
      </c>
      <c r="B766" t="s">
        <v>746</v>
      </c>
      <c r="C766" t="s">
        <v>688</v>
      </c>
      <c r="D766">
        <v>50</v>
      </c>
      <c r="E766">
        <v>35</v>
      </c>
      <c r="F766" t="s">
        <v>720</v>
      </c>
      <c r="G766" t="s">
        <v>240</v>
      </c>
    </row>
    <row r="767" spans="1:7" x14ac:dyDescent="0.3">
      <c r="A767">
        <v>765</v>
      </c>
      <c r="B767" t="s">
        <v>747</v>
      </c>
      <c r="C767" t="s">
        <v>693</v>
      </c>
      <c r="D767">
        <v>78</v>
      </c>
      <c r="E767">
        <v>55</v>
      </c>
      <c r="F767" t="s">
        <v>11</v>
      </c>
      <c r="G767" t="s">
        <v>240</v>
      </c>
    </row>
    <row r="768" spans="1:7" x14ac:dyDescent="0.3">
      <c r="A768">
        <v>766</v>
      </c>
      <c r="B768" t="s">
        <v>748</v>
      </c>
      <c r="C768" t="s">
        <v>693</v>
      </c>
      <c r="D768">
        <v>69</v>
      </c>
      <c r="E768">
        <v>49</v>
      </c>
      <c r="F768" t="s">
        <v>11</v>
      </c>
      <c r="G768" t="s">
        <v>240</v>
      </c>
    </row>
    <row r="769" spans="1:7" x14ac:dyDescent="0.3">
      <c r="A769">
        <v>767</v>
      </c>
      <c r="B769" t="s">
        <v>749</v>
      </c>
      <c r="C769" t="s">
        <v>713</v>
      </c>
      <c r="D769">
        <v>62</v>
      </c>
      <c r="E769">
        <v>31</v>
      </c>
      <c r="F769" t="s">
        <v>11</v>
      </c>
      <c r="G769" t="s">
        <v>240</v>
      </c>
    </row>
    <row r="770" spans="1:7" x14ac:dyDescent="0.3">
      <c r="A770">
        <v>768</v>
      </c>
      <c r="B770" t="s">
        <v>750</v>
      </c>
      <c r="C770" t="s">
        <v>706</v>
      </c>
      <c r="D770">
        <v>75</v>
      </c>
      <c r="E770">
        <v>60</v>
      </c>
      <c r="F770" t="s">
        <v>216</v>
      </c>
      <c r="G770" t="s">
        <v>240</v>
      </c>
    </row>
    <row r="771" spans="1:7" x14ac:dyDescent="0.3">
      <c r="A771">
        <v>769</v>
      </c>
      <c r="B771" t="s">
        <v>751</v>
      </c>
      <c r="C771" t="s">
        <v>708</v>
      </c>
      <c r="D771">
        <v>75</v>
      </c>
      <c r="E771">
        <v>65</v>
      </c>
      <c r="F771" t="s">
        <v>216</v>
      </c>
      <c r="G771" t="s">
        <v>240</v>
      </c>
    </row>
    <row r="772" spans="1:7" x14ac:dyDescent="0.3">
      <c r="A772">
        <v>770</v>
      </c>
      <c r="B772" t="s">
        <v>752</v>
      </c>
      <c r="C772" t="s">
        <v>688</v>
      </c>
      <c r="D772">
        <v>45</v>
      </c>
      <c r="E772">
        <v>33</v>
      </c>
      <c r="F772" t="s">
        <v>720</v>
      </c>
      <c r="G772" t="s">
        <v>240</v>
      </c>
    </row>
    <row r="773" spans="1:7" x14ac:dyDescent="0.3">
      <c r="A773">
        <v>771</v>
      </c>
      <c r="B773" t="s">
        <v>753</v>
      </c>
      <c r="C773" t="s">
        <v>690</v>
      </c>
      <c r="D773">
        <v>99</v>
      </c>
      <c r="E773">
        <v>75</v>
      </c>
      <c r="F773" t="s">
        <v>691</v>
      </c>
      <c r="G773" t="s">
        <v>240</v>
      </c>
    </row>
    <row r="774" spans="1:7" x14ac:dyDescent="0.3">
      <c r="A774">
        <v>772</v>
      </c>
      <c r="B774" t="s">
        <v>754</v>
      </c>
      <c r="C774" t="s">
        <v>693</v>
      </c>
      <c r="D774">
        <v>42</v>
      </c>
      <c r="E774">
        <v>21</v>
      </c>
      <c r="F774" t="s">
        <v>216</v>
      </c>
      <c r="G774" t="s">
        <v>240</v>
      </c>
    </row>
    <row r="775" spans="1:7" x14ac:dyDescent="0.3">
      <c r="A775">
        <v>773</v>
      </c>
      <c r="B775" t="s">
        <v>755</v>
      </c>
      <c r="C775" t="s">
        <v>701</v>
      </c>
      <c r="D775">
        <v>190</v>
      </c>
      <c r="E775">
        <v>95</v>
      </c>
      <c r="F775" t="s">
        <v>9</v>
      </c>
      <c r="G775" t="s">
        <v>240</v>
      </c>
    </row>
    <row r="776" spans="1:7" x14ac:dyDescent="0.3">
      <c r="A776">
        <v>774</v>
      </c>
      <c r="B776" t="s">
        <v>756</v>
      </c>
      <c r="C776" t="s">
        <v>706</v>
      </c>
      <c r="D776">
        <v>35</v>
      </c>
      <c r="E776">
        <v>28</v>
      </c>
      <c r="F776" t="s">
        <v>280</v>
      </c>
      <c r="G776" t="s">
        <v>240</v>
      </c>
    </row>
    <row r="777" spans="1:7" x14ac:dyDescent="0.3">
      <c r="A777">
        <v>775</v>
      </c>
      <c r="B777" t="s">
        <v>757</v>
      </c>
      <c r="C777" t="s">
        <v>738</v>
      </c>
      <c r="D777">
        <v>50</v>
      </c>
      <c r="E777">
        <v>40</v>
      </c>
      <c r="F777" t="s">
        <v>216</v>
      </c>
      <c r="G777" t="s">
        <v>240</v>
      </c>
    </row>
    <row r="778" spans="1:7" x14ac:dyDescent="0.3">
      <c r="A778">
        <v>776</v>
      </c>
      <c r="B778" t="s">
        <v>758</v>
      </c>
      <c r="C778" t="s">
        <v>759</v>
      </c>
      <c r="D778">
        <v>78</v>
      </c>
      <c r="E778">
        <v>65</v>
      </c>
      <c r="F778" t="s">
        <v>11</v>
      </c>
      <c r="G778" t="s">
        <v>240</v>
      </c>
    </row>
    <row r="779" spans="1:7" x14ac:dyDescent="0.3">
      <c r="A779">
        <v>777</v>
      </c>
      <c r="B779" t="s">
        <v>760</v>
      </c>
      <c r="C779" t="s">
        <v>759</v>
      </c>
      <c r="D779">
        <v>79</v>
      </c>
      <c r="E779">
        <v>65</v>
      </c>
      <c r="F779" t="s">
        <v>11</v>
      </c>
      <c r="G779" t="s">
        <v>240</v>
      </c>
    </row>
    <row r="780" spans="1:7" x14ac:dyDescent="0.3">
      <c r="A780">
        <v>778</v>
      </c>
      <c r="B780" t="s">
        <v>761</v>
      </c>
      <c r="C780" t="s">
        <v>708</v>
      </c>
      <c r="D780">
        <v>75</v>
      </c>
      <c r="E780">
        <v>65</v>
      </c>
      <c r="F780" t="s">
        <v>216</v>
      </c>
      <c r="G780" t="s">
        <v>240</v>
      </c>
    </row>
    <row r="781" spans="1:7" x14ac:dyDescent="0.3">
      <c r="A781">
        <v>779</v>
      </c>
      <c r="B781" t="s">
        <v>762</v>
      </c>
      <c r="C781" t="s">
        <v>706</v>
      </c>
      <c r="D781">
        <v>60</v>
      </c>
      <c r="E781">
        <v>48</v>
      </c>
      <c r="F781" t="s">
        <v>256</v>
      </c>
      <c r="G781" t="s">
        <v>240</v>
      </c>
    </row>
    <row r="782" spans="1:7" x14ac:dyDescent="0.3">
      <c r="A782">
        <v>780</v>
      </c>
      <c r="B782" t="s">
        <v>763</v>
      </c>
      <c r="C782" t="s">
        <v>759</v>
      </c>
      <c r="D782">
        <v>92</v>
      </c>
      <c r="E782">
        <v>73</v>
      </c>
      <c r="F782" t="s">
        <v>11</v>
      </c>
      <c r="G782" t="s">
        <v>240</v>
      </c>
    </row>
    <row r="783" spans="1:7" x14ac:dyDescent="0.3">
      <c r="A783">
        <v>781</v>
      </c>
      <c r="B783" t="s">
        <v>764</v>
      </c>
      <c r="C783" t="s">
        <v>713</v>
      </c>
      <c r="D783">
        <v>66</v>
      </c>
      <c r="E783">
        <v>33</v>
      </c>
      <c r="F783" t="s">
        <v>11</v>
      </c>
      <c r="G783" t="s">
        <v>240</v>
      </c>
    </row>
    <row r="784" spans="1:7" x14ac:dyDescent="0.3">
      <c r="A784">
        <v>782</v>
      </c>
      <c r="B784" t="s">
        <v>765</v>
      </c>
      <c r="C784" t="s">
        <v>759</v>
      </c>
      <c r="D784">
        <v>89</v>
      </c>
      <c r="E784">
        <v>70</v>
      </c>
      <c r="F784" t="s">
        <v>11</v>
      </c>
      <c r="G784" t="s">
        <v>240</v>
      </c>
    </row>
    <row r="785" spans="1:7" x14ac:dyDescent="0.3">
      <c r="A785">
        <v>783</v>
      </c>
      <c r="B785" t="s">
        <v>766</v>
      </c>
      <c r="C785" t="s">
        <v>738</v>
      </c>
      <c r="D785">
        <v>60</v>
      </c>
      <c r="E785">
        <v>50</v>
      </c>
      <c r="F785" t="s">
        <v>216</v>
      </c>
      <c r="G785" t="s">
        <v>240</v>
      </c>
    </row>
    <row r="786" spans="1:7" x14ac:dyDescent="0.3">
      <c r="A786">
        <v>784</v>
      </c>
      <c r="B786" t="s">
        <v>767</v>
      </c>
      <c r="C786" t="s">
        <v>708</v>
      </c>
      <c r="D786">
        <v>75</v>
      </c>
      <c r="E786">
        <v>65</v>
      </c>
      <c r="F786" t="s">
        <v>709</v>
      </c>
      <c r="G786" t="s">
        <v>240</v>
      </c>
    </row>
    <row r="787" spans="1:7" x14ac:dyDescent="0.3">
      <c r="A787">
        <v>785</v>
      </c>
      <c r="B787" t="s">
        <v>768</v>
      </c>
      <c r="C787" t="s">
        <v>701</v>
      </c>
      <c r="D787">
        <v>130</v>
      </c>
      <c r="E787">
        <v>65</v>
      </c>
      <c r="F787" t="s">
        <v>12</v>
      </c>
      <c r="G787" t="s">
        <v>240</v>
      </c>
    </row>
    <row r="788" spans="1:7" x14ac:dyDescent="0.3">
      <c r="A788">
        <v>786</v>
      </c>
      <c r="B788" t="s">
        <v>769</v>
      </c>
      <c r="C788" t="s">
        <v>713</v>
      </c>
      <c r="D788">
        <v>56</v>
      </c>
      <c r="E788">
        <v>28</v>
      </c>
      <c r="F788" t="s">
        <v>11</v>
      </c>
      <c r="G788" t="s">
        <v>240</v>
      </c>
    </row>
    <row r="789" spans="1:7" x14ac:dyDescent="0.3">
      <c r="A789">
        <v>787</v>
      </c>
      <c r="B789" t="s">
        <v>770</v>
      </c>
      <c r="C789" t="s">
        <v>690</v>
      </c>
      <c r="D789">
        <v>99</v>
      </c>
      <c r="E789">
        <v>79</v>
      </c>
      <c r="F789" t="s">
        <v>740</v>
      </c>
      <c r="G789" t="s">
        <v>240</v>
      </c>
    </row>
    <row r="790" spans="1:7" x14ac:dyDescent="0.3">
      <c r="A790">
        <v>788</v>
      </c>
      <c r="B790" t="s">
        <v>771</v>
      </c>
      <c r="C790" t="s">
        <v>713</v>
      </c>
      <c r="D790">
        <v>78</v>
      </c>
      <c r="E790">
        <v>39</v>
      </c>
      <c r="F790" t="s">
        <v>11</v>
      </c>
      <c r="G790" t="s">
        <v>240</v>
      </c>
    </row>
    <row r="791" spans="1:7" x14ac:dyDescent="0.3">
      <c r="A791">
        <v>789</v>
      </c>
      <c r="B791" t="s">
        <v>772</v>
      </c>
      <c r="C791" t="s">
        <v>706</v>
      </c>
      <c r="D791">
        <v>85</v>
      </c>
      <c r="E791">
        <v>68</v>
      </c>
      <c r="F791" t="s">
        <v>216</v>
      </c>
      <c r="G791" t="s">
        <v>240</v>
      </c>
    </row>
    <row r="792" spans="1:7" x14ac:dyDescent="0.3">
      <c r="A792">
        <v>790</v>
      </c>
      <c r="B792" t="s">
        <v>773</v>
      </c>
      <c r="C792" t="s">
        <v>713</v>
      </c>
      <c r="D792">
        <v>42</v>
      </c>
      <c r="E792">
        <v>21</v>
      </c>
      <c r="F792" t="s">
        <v>216</v>
      </c>
      <c r="G792" t="s">
        <v>240</v>
      </c>
    </row>
    <row r="793" spans="1:7" x14ac:dyDescent="0.3">
      <c r="A793">
        <v>791</v>
      </c>
      <c r="B793" t="s">
        <v>774</v>
      </c>
      <c r="C793" t="s">
        <v>713</v>
      </c>
      <c r="D793">
        <v>72</v>
      </c>
      <c r="E793">
        <v>36</v>
      </c>
      <c r="F793" t="s">
        <v>11</v>
      </c>
      <c r="G793" t="s">
        <v>240</v>
      </c>
    </row>
    <row r="794" spans="1:7" x14ac:dyDescent="0.3">
      <c r="A794">
        <v>792</v>
      </c>
      <c r="B794" t="s">
        <v>775</v>
      </c>
      <c r="C794" t="s">
        <v>706</v>
      </c>
      <c r="D794">
        <v>94</v>
      </c>
      <c r="E794">
        <v>75</v>
      </c>
      <c r="F794" t="s">
        <v>256</v>
      </c>
      <c r="G794" t="s">
        <v>240</v>
      </c>
    </row>
    <row r="795" spans="1:7" x14ac:dyDescent="0.3">
      <c r="A795">
        <v>793</v>
      </c>
      <c r="B795" t="s">
        <v>776</v>
      </c>
      <c r="C795" t="s">
        <v>759</v>
      </c>
      <c r="D795">
        <v>78</v>
      </c>
      <c r="E795">
        <v>58</v>
      </c>
      <c r="F795" t="s">
        <v>11</v>
      </c>
      <c r="G795" t="s">
        <v>240</v>
      </c>
    </row>
    <row r="796" spans="1:7" x14ac:dyDescent="0.3">
      <c r="A796">
        <v>794</v>
      </c>
      <c r="B796" t="s">
        <v>777</v>
      </c>
      <c r="C796" t="s">
        <v>693</v>
      </c>
      <c r="D796">
        <v>66</v>
      </c>
      <c r="E796">
        <v>53</v>
      </c>
      <c r="F796" t="s">
        <v>11</v>
      </c>
      <c r="G796" t="s">
        <v>240</v>
      </c>
    </row>
    <row r="797" spans="1:7" x14ac:dyDescent="0.3">
      <c r="A797">
        <v>795</v>
      </c>
      <c r="B797" t="s">
        <v>778</v>
      </c>
      <c r="C797" t="s">
        <v>708</v>
      </c>
      <c r="D797">
        <v>75</v>
      </c>
      <c r="E797">
        <v>65</v>
      </c>
      <c r="F797" t="s">
        <v>216</v>
      </c>
      <c r="G797" t="s">
        <v>240</v>
      </c>
    </row>
    <row r="798" spans="1:7" x14ac:dyDescent="0.3">
      <c r="A798">
        <v>796</v>
      </c>
      <c r="B798" t="s">
        <v>779</v>
      </c>
      <c r="C798" t="s">
        <v>726</v>
      </c>
      <c r="D798">
        <v>60</v>
      </c>
      <c r="E798">
        <v>50</v>
      </c>
      <c r="F798" t="s">
        <v>727</v>
      </c>
      <c r="G798" t="s">
        <v>240</v>
      </c>
    </row>
    <row r="799" spans="1:7" x14ac:dyDescent="0.3">
      <c r="A799">
        <v>797</v>
      </c>
      <c r="B799" t="s">
        <v>780</v>
      </c>
      <c r="C799" t="s">
        <v>36</v>
      </c>
      <c r="D799">
        <v>20</v>
      </c>
      <c r="E799">
        <v>18</v>
      </c>
      <c r="F799" t="s">
        <v>11</v>
      </c>
      <c r="G799" t="s">
        <v>240</v>
      </c>
    </row>
    <row r="800" spans="1:7" x14ac:dyDescent="0.3">
      <c r="A800">
        <v>798</v>
      </c>
      <c r="B800" t="s">
        <v>781</v>
      </c>
      <c r="C800" t="s">
        <v>693</v>
      </c>
      <c r="D800">
        <v>102</v>
      </c>
      <c r="E800">
        <v>77</v>
      </c>
      <c r="F800" t="s">
        <v>11</v>
      </c>
      <c r="G800" t="s">
        <v>240</v>
      </c>
    </row>
    <row r="801" spans="1:7" x14ac:dyDescent="0.3">
      <c r="A801">
        <v>799</v>
      </c>
      <c r="B801" t="s">
        <v>782</v>
      </c>
      <c r="C801" t="s">
        <v>759</v>
      </c>
      <c r="D801">
        <v>81</v>
      </c>
      <c r="E801">
        <v>65</v>
      </c>
      <c r="F801" t="s">
        <v>11</v>
      </c>
      <c r="G801" t="s">
        <v>240</v>
      </c>
    </row>
    <row r="802" spans="1:7" x14ac:dyDescent="0.3">
      <c r="A802">
        <v>800</v>
      </c>
      <c r="B802" t="s">
        <v>783</v>
      </c>
      <c r="C802" t="s">
        <v>759</v>
      </c>
      <c r="D802">
        <v>80</v>
      </c>
      <c r="E802">
        <v>64</v>
      </c>
      <c r="F802" t="s">
        <v>11</v>
      </c>
      <c r="G802" t="s">
        <v>240</v>
      </c>
    </row>
    <row r="803" spans="1:7" x14ac:dyDescent="0.3">
      <c r="A803">
        <v>801</v>
      </c>
      <c r="B803" t="s">
        <v>784</v>
      </c>
      <c r="C803" t="s">
        <v>518</v>
      </c>
      <c r="D803">
        <v>30</v>
      </c>
      <c r="E803">
        <v>22</v>
      </c>
      <c r="F803" t="s">
        <v>613</v>
      </c>
      <c r="G803" t="s">
        <v>240</v>
      </c>
    </row>
    <row r="804" spans="1:7" x14ac:dyDescent="0.3">
      <c r="A804">
        <v>802</v>
      </c>
      <c r="B804" t="s">
        <v>785</v>
      </c>
      <c r="C804" t="s">
        <v>786</v>
      </c>
      <c r="D804">
        <v>100</v>
      </c>
      <c r="E804">
        <v>90</v>
      </c>
      <c r="F804" t="s">
        <v>216</v>
      </c>
      <c r="G804" t="s">
        <v>240</v>
      </c>
    </row>
    <row r="805" spans="1:7" x14ac:dyDescent="0.3">
      <c r="A805">
        <v>803</v>
      </c>
      <c r="B805" t="s">
        <v>787</v>
      </c>
      <c r="C805" t="s">
        <v>786</v>
      </c>
      <c r="D805">
        <v>68</v>
      </c>
      <c r="E805">
        <v>61</v>
      </c>
      <c r="F805" t="s">
        <v>11</v>
      </c>
      <c r="G805" t="s">
        <v>240</v>
      </c>
    </row>
    <row r="806" spans="1:7" x14ac:dyDescent="0.3">
      <c r="A806">
        <v>804</v>
      </c>
      <c r="B806" t="s">
        <v>788</v>
      </c>
      <c r="C806" t="s">
        <v>786</v>
      </c>
      <c r="D806">
        <v>30</v>
      </c>
      <c r="E806">
        <v>27</v>
      </c>
      <c r="F806" t="s">
        <v>216</v>
      </c>
      <c r="G806" t="s">
        <v>240</v>
      </c>
    </row>
    <row r="807" spans="1:7" x14ac:dyDescent="0.3">
      <c r="A807">
        <v>805</v>
      </c>
      <c r="B807" t="s">
        <v>789</v>
      </c>
      <c r="C807" t="s">
        <v>790</v>
      </c>
      <c r="D807">
        <v>219</v>
      </c>
      <c r="E807">
        <v>109</v>
      </c>
      <c r="F807" t="s">
        <v>791</v>
      </c>
      <c r="G807" t="s">
        <v>240</v>
      </c>
    </row>
    <row r="808" spans="1:7" x14ac:dyDescent="0.3">
      <c r="A808">
        <v>806</v>
      </c>
      <c r="B808" t="s">
        <v>792</v>
      </c>
      <c r="C808" t="s">
        <v>793</v>
      </c>
      <c r="D808">
        <v>75</v>
      </c>
      <c r="E808">
        <v>69</v>
      </c>
      <c r="F808" t="s">
        <v>399</v>
      </c>
      <c r="G808" t="s">
        <v>240</v>
      </c>
    </row>
    <row r="809" spans="1:7" x14ac:dyDescent="0.3">
      <c r="A809">
        <v>807</v>
      </c>
      <c r="B809" t="s">
        <v>794</v>
      </c>
      <c r="C809" t="s">
        <v>795</v>
      </c>
      <c r="D809">
        <v>50</v>
      </c>
      <c r="E809">
        <v>40</v>
      </c>
      <c r="F809" t="s">
        <v>12</v>
      </c>
      <c r="G809" t="s">
        <v>240</v>
      </c>
    </row>
    <row r="810" spans="1:7" x14ac:dyDescent="0.3">
      <c r="A810">
        <v>808</v>
      </c>
      <c r="B810" t="s">
        <v>796</v>
      </c>
      <c r="C810" t="s">
        <v>790</v>
      </c>
      <c r="D810">
        <v>50</v>
      </c>
      <c r="E810">
        <v>25</v>
      </c>
      <c r="F810" t="s">
        <v>12</v>
      </c>
      <c r="G810" t="s">
        <v>240</v>
      </c>
    </row>
    <row r="811" spans="1:7" x14ac:dyDescent="0.3">
      <c r="A811">
        <v>809</v>
      </c>
      <c r="B811" t="s">
        <v>797</v>
      </c>
      <c r="C811" t="s">
        <v>663</v>
      </c>
      <c r="D811">
        <v>35</v>
      </c>
      <c r="E811">
        <v>32</v>
      </c>
      <c r="F811" t="s">
        <v>740</v>
      </c>
      <c r="G811" t="s">
        <v>240</v>
      </c>
    </row>
    <row r="812" spans="1:7" x14ac:dyDescent="0.3">
      <c r="A812">
        <v>810</v>
      </c>
      <c r="B812" t="s">
        <v>798</v>
      </c>
      <c r="C812" t="s">
        <v>793</v>
      </c>
      <c r="D812">
        <v>50</v>
      </c>
      <c r="E812">
        <v>25</v>
      </c>
      <c r="F812" t="s">
        <v>12</v>
      </c>
      <c r="G812" t="s">
        <v>240</v>
      </c>
    </row>
    <row r="813" spans="1:7" x14ac:dyDescent="0.3">
      <c r="A813">
        <v>811</v>
      </c>
      <c r="B813" t="s">
        <v>799</v>
      </c>
      <c r="C813" t="s">
        <v>793</v>
      </c>
      <c r="D813">
        <v>25</v>
      </c>
      <c r="E813">
        <v>22</v>
      </c>
      <c r="F813" t="s">
        <v>12</v>
      </c>
      <c r="G813" t="s">
        <v>240</v>
      </c>
    </row>
    <row r="814" spans="1:7" x14ac:dyDescent="0.3">
      <c r="A814">
        <v>812</v>
      </c>
      <c r="B814" t="s">
        <v>800</v>
      </c>
      <c r="C814" t="s">
        <v>801</v>
      </c>
      <c r="D814">
        <v>27</v>
      </c>
      <c r="E814">
        <v>21</v>
      </c>
      <c r="F814" t="s">
        <v>216</v>
      </c>
      <c r="G814" t="s">
        <v>240</v>
      </c>
    </row>
    <row r="815" spans="1:7" x14ac:dyDescent="0.3">
      <c r="A815">
        <v>813</v>
      </c>
      <c r="B815" t="s">
        <v>802</v>
      </c>
      <c r="C815" t="s">
        <v>533</v>
      </c>
      <c r="D815">
        <v>25</v>
      </c>
      <c r="E815">
        <v>20</v>
      </c>
      <c r="F815" t="s">
        <v>216</v>
      </c>
      <c r="G815" t="s">
        <v>240</v>
      </c>
    </row>
    <row r="816" spans="1:7" x14ac:dyDescent="0.3">
      <c r="A816">
        <v>814</v>
      </c>
      <c r="B816" t="s">
        <v>803</v>
      </c>
      <c r="C816" t="s">
        <v>804</v>
      </c>
      <c r="D816">
        <v>199</v>
      </c>
      <c r="E816">
        <v>80</v>
      </c>
      <c r="F816" t="s">
        <v>107</v>
      </c>
      <c r="G816" t="s">
        <v>240</v>
      </c>
    </row>
    <row r="817" spans="1:7" x14ac:dyDescent="0.3">
      <c r="A817">
        <v>815</v>
      </c>
      <c r="B817" t="s">
        <v>805</v>
      </c>
      <c r="C817" t="s">
        <v>804</v>
      </c>
      <c r="D817">
        <v>199</v>
      </c>
      <c r="E817">
        <v>80</v>
      </c>
      <c r="F817" t="s">
        <v>12</v>
      </c>
      <c r="G817" t="s">
        <v>240</v>
      </c>
    </row>
    <row r="818" spans="1:7" x14ac:dyDescent="0.3">
      <c r="A818">
        <v>816</v>
      </c>
      <c r="B818" t="s">
        <v>806</v>
      </c>
      <c r="C818" t="s">
        <v>807</v>
      </c>
      <c r="D818">
        <v>25</v>
      </c>
      <c r="E818">
        <v>17</v>
      </c>
      <c r="F818" t="s">
        <v>216</v>
      </c>
      <c r="G818" t="s">
        <v>240</v>
      </c>
    </row>
    <row r="819" spans="1:7" x14ac:dyDescent="0.3">
      <c r="A819">
        <v>817</v>
      </c>
      <c r="B819" t="s">
        <v>808</v>
      </c>
      <c r="C819" t="s">
        <v>518</v>
      </c>
      <c r="D819">
        <v>25</v>
      </c>
      <c r="E819">
        <v>22</v>
      </c>
      <c r="F819" t="s">
        <v>11</v>
      </c>
      <c r="G819" t="s">
        <v>240</v>
      </c>
    </row>
    <row r="820" spans="1:7" x14ac:dyDescent="0.3">
      <c r="A820">
        <v>818</v>
      </c>
      <c r="B820" t="s">
        <v>809</v>
      </c>
      <c r="C820" t="s">
        <v>810</v>
      </c>
      <c r="D820">
        <v>300</v>
      </c>
      <c r="E820">
        <v>240</v>
      </c>
      <c r="F820" t="s">
        <v>811</v>
      </c>
      <c r="G820" t="s">
        <v>240</v>
      </c>
    </row>
    <row r="821" spans="1:7" x14ac:dyDescent="0.3">
      <c r="A821">
        <v>819</v>
      </c>
      <c r="B821" t="s">
        <v>812</v>
      </c>
      <c r="C821" t="s">
        <v>690</v>
      </c>
      <c r="D821">
        <v>79</v>
      </c>
      <c r="E821">
        <v>63</v>
      </c>
      <c r="F821" t="s">
        <v>256</v>
      </c>
      <c r="G821" t="s">
        <v>240</v>
      </c>
    </row>
    <row r="822" spans="1:7" x14ac:dyDescent="0.3">
      <c r="A822">
        <v>820</v>
      </c>
      <c r="B822" t="s">
        <v>813</v>
      </c>
      <c r="C822" t="s">
        <v>690</v>
      </c>
      <c r="D822">
        <v>99</v>
      </c>
      <c r="E822">
        <v>81</v>
      </c>
      <c r="F822" t="s">
        <v>814</v>
      </c>
      <c r="G822" t="s">
        <v>240</v>
      </c>
    </row>
    <row r="823" spans="1:7" x14ac:dyDescent="0.3">
      <c r="A823">
        <v>821</v>
      </c>
      <c r="B823" t="s">
        <v>815</v>
      </c>
      <c r="C823" t="s">
        <v>690</v>
      </c>
      <c r="D823">
        <v>99</v>
      </c>
      <c r="E823">
        <v>81</v>
      </c>
      <c r="F823" t="s">
        <v>256</v>
      </c>
      <c r="G823" t="s">
        <v>240</v>
      </c>
    </row>
    <row r="824" spans="1:7" x14ac:dyDescent="0.3">
      <c r="A824">
        <v>822</v>
      </c>
      <c r="B824" t="s">
        <v>816</v>
      </c>
      <c r="C824" t="s">
        <v>690</v>
      </c>
      <c r="D824">
        <v>99</v>
      </c>
      <c r="E824">
        <v>75</v>
      </c>
      <c r="F824" t="s">
        <v>613</v>
      </c>
      <c r="G824" t="s">
        <v>240</v>
      </c>
    </row>
    <row r="825" spans="1:7" x14ac:dyDescent="0.3">
      <c r="A825">
        <v>823</v>
      </c>
      <c r="B825" t="s">
        <v>817</v>
      </c>
      <c r="C825" t="s">
        <v>690</v>
      </c>
      <c r="D825">
        <v>99</v>
      </c>
      <c r="E825">
        <v>79</v>
      </c>
      <c r="F825" t="s">
        <v>814</v>
      </c>
      <c r="G825" t="s">
        <v>240</v>
      </c>
    </row>
    <row r="826" spans="1:7" x14ac:dyDescent="0.3">
      <c r="A826">
        <v>824</v>
      </c>
      <c r="B826" t="s">
        <v>818</v>
      </c>
      <c r="C826" t="s">
        <v>690</v>
      </c>
      <c r="D826">
        <v>99</v>
      </c>
      <c r="E826">
        <v>89</v>
      </c>
      <c r="F826" t="s">
        <v>216</v>
      </c>
      <c r="G826" t="s">
        <v>240</v>
      </c>
    </row>
    <row r="827" spans="1:7" x14ac:dyDescent="0.3">
      <c r="A827">
        <v>825</v>
      </c>
      <c r="B827" t="s">
        <v>819</v>
      </c>
      <c r="C827" t="s">
        <v>820</v>
      </c>
      <c r="D827">
        <v>170</v>
      </c>
      <c r="E827">
        <v>123</v>
      </c>
      <c r="F827" t="s">
        <v>11</v>
      </c>
      <c r="G827" t="s">
        <v>240</v>
      </c>
    </row>
    <row r="828" spans="1:7" x14ac:dyDescent="0.3">
      <c r="A828">
        <v>826</v>
      </c>
      <c r="B828" t="s">
        <v>821</v>
      </c>
      <c r="C828" t="s">
        <v>822</v>
      </c>
      <c r="D828">
        <v>79</v>
      </c>
      <c r="E828">
        <v>39</v>
      </c>
      <c r="F828" t="s">
        <v>740</v>
      </c>
      <c r="G828" t="s">
        <v>240</v>
      </c>
    </row>
    <row r="829" spans="1:7" x14ac:dyDescent="0.3">
      <c r="A829">
        <v>827</v>
      </c>
      <c r="B829" t="s">
        <v>823</v>
      </c>
      <c r="C829" t="s">
        <v>822</v>
      </c>
      <c r="D829">
        <v>109</v>
      </c>
      <c r="E829">
        <v>54</v>
      </c>
      <c r="F829" t="s">
        <v>720</v>
      </c>
      <c r="G829" t="s">
        <v>240</v>
      </c>
    </row>
    <row r="830" spans="1:7" x14ac:dyDescent="0.3">
      <c r="A830">
        <v>828</v>
      </c>
      <c r="B830" t="s">
        <v>824</v>
      </c>
      <c r="C830" t="s">
        <v>822</v>
      </c>
      <c r="D830">
        <v>109</v>
      </c>
      <c r="E830">
        <v>54</v>
      </c>
      <c r="F830" t="s">
        <v>825</v>
      </c>
      <c r="G830" t="s">
        <v>240</v>
      </c>
    </row>
    <row r="831" spans="1:7" x14ac:dyDescent="0.3">
      <c r="A831">
        <v>829</v>
      </c>
      <c r="B831" t="s">
        <v>826</v>
      </c>
      <c r="C831" t="s">
        <v>822</v>
      </c>
      <c r="D831">
        <v>109</v>
      </c>
      <c r="E831">
        <v>54</v>
      </c>
      <c r="F831" t="s">
        <v>740</v>
      </c>
      <c r="G831" t="s">
        <v>240</v>
      </c>
    </row>
    <row r="832" spans="1:7" x14ac:dyDescent="0.3">
      <c r="A832">
        <v>830</v>
      </c>
      <c r="B832" t="s">
        <v>827</v>
      </c>
      <c r="C832" t="s">
        <v>759</v>
      </c>
      <c r="D832">
        <v>28</v>
      </c>
      <c r="E832">
        <v>24</v>
      </c>
      <c r="F832" t="s">
        <v>613</v>
      </c>
      <c r="G832" t="s">
        <v>240</v>
      </c>
    </row>
    <row r="833" spans="1:7" x14ac:dyDescent="0.3">
      <c r="A833">
        <v>831</v>
      </c>
      <c r="B833" t="s">
        <v>828</v>
      </c>
      <c r="C833" t="s">
        <v>656</v>
      </c>
      <c r="D833">
        <v>210</v>
      </c>
      <c r="E833">
        <v>189</v>
      </c>
      <c r="F833" t="s">
        <v>216</v>
      </c>
      <c r="G833" t="s">
        <v>240</v>
      </c>
    </row>
    <row r="834" spans="1:7" x14ac:dyDescent="0.3">
      <c r="A834">
        <v>832</v>
      </c>
      <c r="B834" t="s">
        <v>829</v>
      </c>
      <c r="C834" t="s">
        <v>830</v>
      </c>
      <c r="D834">
        <v>50</v>
      </c>
      <c r="E834">
        <v>37</v>
      </c>
      <c r="F834" t="s">
        <v>814</v>
      </c>
      <c r="G834" t="s">
        <v>240</v>
      </c>
    </row>
    <row r="835" spans="1:7" x14ac:dyDescent="0.3">
      <c r="A835">
        <v>833</v>
      </c>
      <c r="B835" t="s">
        <v>831</v>
      </c>
      <c r="C835" t="s">
        <v>830</v>
      </c>
      <c r="D835">
        <v>50</v>
      </c>
      <c r="E835">
        <v>32</v>
      </c>
      <c r="F835" t="s">
        <v>814</v>
      </c>
      <c r="G835" t="s">
        <v>240</v>
      </c>
    </row>
    <row r="836" spans="1:7" x14ac:dyDescent="0.3">
      <c r="A836">
        <v>834</v>
      </c>
      <c r="B836" t="s">
        <v>832</v>
      </c>
      <c r="C836" t="s">
        <v>688</v>
      </c>
      <c r="D836">
        <v>75</v>
      </c>
      <c r="E836">
        <v>55</v>
      </c>
      <c r="F836" t="s">
        <v>256</v>
      </c>
      <c r="G836" t="s">
        <v>240</v>
      </c>
    </row>
    <row r="837" spans="1:7" x14ac:dyDescent="0.3">
      <c r="A837">
        <v>835</v>
      </c>
      <c r="B837" t="s">
        <v>833</v>
      </c>
      <c r="C837" t="s">
        <v>790</v>
      </c>
      <c r="D837">
        <v>55</v>
      </c>
      <c r="E837">
        <v>27</v>
      </c>
      <c r="F837" t="s">
        <v>834</v>
      </c>
      <c r="G837" t="s">
        <v>240</v>
      </c>
    </row>
    <row r="838" spans="1:7" x14ac:dyDescent="0.3">
      <c r="A838">
        <v>836</v>
      </c>
      <c r="B838" t="s">
        <v>835</v>
      </c>
      <c r="C838" t="s">
        <v>738</v>
      </c>
      <c r="D838">
        <v>40</v>
      </c>
      <c r="E838">
        <v>34</v>
      </c>
      <c r="F838" t="s">
        <v>216</v>
      </c>
      <c r="G838" t="s">
        <v>240</v>
      </c>
    </row>
    <row r="839" spans="1:7" x14ac:dyDescent="0.3">
      <c r="A839">
        <v>837</v>
      </c>
      <c r="B839" t="s">
        <v>836</v>
      </c>
      <c r="C839" t="s">
        <v>830</v>
      </c>
      <c r="D839">
        <v>53</v>
      </c>
      <c r="E839">
        <v>39</v>
      </c>
      <c r="F839" t="s">
        <v>814</v>
      </c>
      <c r="G839" t="s">
        <v>240</v>
      </c>
    </row>
    <row r="840" spans="1:7" x14ac:dyDescent="0.3">
      <c r="A840">
        <v>838</v>
      </c>
      <c r="B840" t="s">
        <v>837</v>
      </c>
      <c r="C840" t="s">
        <v>790</v>
      </c>
      <c r="D840">
        <v>55</v>
      </c>
      <c r="E840">
        <v>27</v>
      </c>
      <c r="F840" t="s">
        <v>834</v>
      </c>
      <c r="G840" t="s">
        <v>240</v>
      </c>
    </row>
    <row r="841" spans="1:7" x14ac:dyDescent="0.3">
      <c r="A841">
        <v>839</v>
      </c>
      <c r="B841" t="s">
        <v>838</v>
      </c>
      <c r="C841" t="s">
        <v>830</v>
      </c>
      <c r="D841">
        <v>53</v>
      </c>
      <c r="E841">
        <v>39</v>
      </c>
      <c r="F841" t="s">
        <v>814</v>
      </c>
      <c r="G841" t="s">
        <v>240</v>
      </c>
    </row>
    <row r="842" spans="1:7" x14ac:dyDescent="0.3">
      <c r="A842">
        <v>840</v>
      </c>
      <c r="B842" t="s">
        <v>839</v>
      </c>
      <c r="C842" t="s">
        <v>790</v>
      </c>
      <c r="D842">
        <v>55</v>
      </c>
      <c r="E842">
        <v>27</v>
      </c>
      <c r="F842" t="s">
        <v>11</v>
      </c>
      <c r="G842" t="s">
        <v>240</v>
      </c>
    </row>
    <row r="843" spans="1:7" x14ac:dyDescent="0.3">
      <c r="A843">
        <v>841</v>
      </c>
      <c r="B843" t="s">
        <v>840</v>
      </c>
      <c r="C843" t="s">
        <v>701</v>
      </c>
      <c r="D843">
        <v>60</v>
      </c>
      <c r="E843">
        <v>30</v>
      </c>
      <c r="F843" t="s">
        <v>11</v>
      </c>
      <c r="G843" t="s">
        <v>240</v>
      </c>
    </row>
    <row r="844" spans="1:7" x14ac:dyDescent="0.3">
      <c r="A844">
        <v>842</v>
      </c>
      <c r="B844" t="s">
        <v>841</v>
      </c>
      <c r="C844" t="s">
        <v>842</v>
      </c>
      <c r="D844">
        <v>115</v>
      </c>
      <c r="E844">
        <v>90</v>
      </c>
      <c r="F844" t="s">
        <v>401</v>
      </c>
      <c r="G844" t="s">
        <v>240</v>
      </c>
    </row>
    <row r="845" spans="1:7" x14ac:dyDescent="0.3">
      <c r="A845">
        <v>843</v>
      </c>
      <c r="B845" t="s">
        <v>843</v>
      </c>
      <c r="C845" t="s">
        <v>844</v>
      </c>
      <c r="D845">
        <v>90</v>
      </c>
      <c r="E845">
        <v>70</v>
      </c>
      <c r="F845" t="s">
        <v>845</v>
      </c>
      <c r="G845" t="s">
        <v>240</v>
      </c>
    </row>
    <row r="846" spans="1:7" x14ac:dyDescent="0.3">
      <c r="A846">
        <v>844</v>
      </c>
      <c r="B846" t="s">
        <v>846</v>
      </c>
      <c r="C846" t="s">
        <v>24</v>
      </c>
      <c r="D846">
        <v>28</v>
      </c>
      <c r="E846">
        <v>25</v>
      </c>
      <c r="F846" t="s">
        <v>15</v>
      </c>
      <c r="G846" t="s">
        <v>244</v>
      </c>
    </row>
    <row r="847" spans="1:7" x14ac:dyDescent="0.3">
      <c r="A847">
        <v>845</v>
      </c>
      <c r="B847" t="s">
        <v>847</v>
      </c>
      <c r="C847" t="s">
        <v>848</v>
      </c>
      <c r="D847">
        <v>110</v>
      </c>
      <c r="E847">
        <v>87</v>
      </c>
      <c r="F847" t="s">
        <v>182</v>
      </c>
      <c r="G847" t="s">
        <v>244</v>
      </c>
    </row>
    <row r="848" spans="1:7" x14ac:dyDescent="0.3">
      <c r="A848">
        <v>846</v>
      </c>
      <c r="B848" t="s">
        <v>849</v>
      </c>
      <c r="C848" t="s">
        <v>24</v>
      </c>
      <c r="D848">
        <v>50</v>
      </c>
      <c r="E848">
        <v>45</v>
      </c>
      <c r="F848" t="s">
        <v>15</v>
      </c>
      <c r="G848" t="s">
        <v>244</v>
      </c>
    </row>
    <row r="849" spans="1:7" x14ac:dyDescent="0.3">
      <c r="A849">
        <v>847</v>
      </c>
      <c r="B849" t="s">
        <v>850</v>
      </c>
      <c r="C849" t="s">
        <v>24</v>
      </c>
      <c r="D849">
        <v>120</v>
      </c>
      <c r="E849">
        <v>95</v>
      </c>
      <c r="F849" t="s">
        <v>182</v>
      </c>
      <c r="G849" t="s">
        <v>244</v>
      </c>
    </row>
    <row r="850" spans="1:7" x14ac:dyDescent="0.3">
      <c r="A850">
        <v>848</v>
      </c>
      <c r="B850" t="s">
        <v>850</v>
      </c>
      <c r="C850" t="s">
        <v>24</v>
      </c>
      <c r="D850">
        <v>65</v>
      </c>
      <c r="E850">
        <v>50</v>
      </c>
      <c r="F850" t="s">
        <v>9</v>
      </c>
      <c r="G850" t="s">
        <v>244</v>
      </c>
    </row>
    <row r="851" spans="1:7" x14ac:dyDescent="0.3">
      <c r="A851">
        <v>849</v>
      </c>
      <c r="B851" t="s">
        <v>851</v>
      </c>
      <c r="C851" t="s">
        <v>463</v>
      </c>
      <c r="D851">
        <v>25</v>
      </c>
      <c r="E851">
        <v>13</v>
      </c>
      <c r="F851" t="s">
        <v>15</v>
      </c>
      <c r="G851" t="s">
        <v>244</v>
      </c>
    </row>
    <row r="852" spans="1:7" x14ac:dyDescent="0.3">
      <c r="A852">
        <v>850</v>
      </c>
      <c r="B852" t="s">
        <v>852</v>
      </c>
      <c r="C852" t="s">
        <v>17</v>
      </c>
      <c r="D852">
        <v>99</v>
      </c>
      <c r="E852">
        <v>49</v>
      </c>
      <c r="F852" t="s">
        <v>15</v>
      </c>
      <c r="G852" t="s">
        <v>244</v>
      </c>
    </row>
    <row r="853" spans="1:7" x14ac:dyDescent="0.3">
      <c r="A853">
        <v>851</v>
      </c>
      <c r="B853" t="s">
        <v>853</v>
      </c>
      <c r="C853" t="s">
        <v>24</v>
      </c>
      <c r="D853">
        <v>60</v>
      </c>
      <c r="E853">
        <v>49</v>
      </c>
      <c r="F853" t="s">
        <v>15</v>
      </c>
      <c r="G853" t="s">
        <v>244</v>
      </c>
    </row>
    <row r="854" spans="1:7" x14ac:dyDescent="0.3">
      <c r="A854">
        <v>852</v>
      </c>
      <c r="B854" t="s">
        <v>854</v>
      </c>
      <c r="C854" t="s">
        <v>17</v>
      </c>
      <c r="D854">
        <v>34</v>
      </c>
      <c r="E854">
        <v>28</v>
      </c>
      <c r="F854" t="s">
        <v>12</v>
      </c>
      <c r="G854" t="s">
        <v>855</v>
      </c>
    </row>
    <row r="855" spans="1:7" x14ac:dyDescent="0.3">
      <c r="A855">
        <v>853</v>
      </c>
      <c r="B855" t="s">
        <v>856</v>
      </c>
      <c r="C855" t="s">
        <v>8</v>
      </c>
      <c r="D855">
        <v>39</v>
      </c>
      <c r="E855">
        <v>35</v>
      </c>
      <c r="F855" t="s">
        <v>216</v>
      </c>
      <c r="G855" t="s">
        <v>857</v>
      </c>
    </row>
    <row r="856" spans="1:7" x14ac:dyDescent="0.3">
      <c r="A856">
        <v>854</v>
      </c>
      <c r="B856" t="s">
        <v>858</v>
      </c>
      <c r="C856" t="s">
        <v>8</v>
      </c>
      <c r="D856">
        <v>28</v>
      </c>
      <c r="E856">
        <v>19</v>
      </c>
      <c r="F856" t="s">
        <v>11</v>
      </c>
      <c r="G856" t="s">
        <v>859</v>
      </c>
    </row>
    <row r="857" spans="1:7" x14ac:dyDescent="0.3">
      <c r="A857">
        <v>855</v>
      </c>
      <c r="B857" t="s">
        <v>860</v>
      </c>
      <c r="C857" t="s">
        <v>17</v>
      </c>
      <c r="D857">
        <v>193</v>
      </c>
      <c r="E857">
        <v>148</v>
      </c>
      <c r="F857" t="s">
        <v>12</v>
      </c>
      <c r="G857" t="s">
        <v>859</v>
      </c>
    </row>
    <row r="858" spans="1:7" x14ac:dyDescent="0.3">
      <c r="A858">
        <v>856</v>
      </c>
      <c r="B858" t="s">
        <v>861</v>
      </c>
      <c r="C858" t="s">
        <v>17</v>
      </c>
      <c r="D858">
        <v>18</v>
      </c>
      <c r="E858">
        <v>13</v>
      </c>
      <c r="F858" t="s">
        <v>12</v>
      </c>
      <c r="G858" t="s">
        <v>244</v>
      </c>
    </row>
    <row r="859" spans="1:7" x14ac:dyDescent="0.3">
      <c r="A859">
        <v>857</v>
      </c>
      <c r="B859" t="s">
        <v>862</v>
      </c>
      <c r="C859" t="s">
        <v>863</v>
      </c>
      <c r="D859">
        <v>100</v>
      </c>
      <c r="E859">
        <v>50</v>
      </c>
      <c r="F859" t="s">
        <v>182</v>
      </c>
      <c r="G859" t="s">
        <v>859</v>
      </c>
    </row>
    <row r="860" spans="1:7" x14ac:dyDescent="0.3">
      <c r="A860">
        <v>858</v>
      </c>
      <c r="B860" t="s">
        <v>864</v>
      </c>
      <c r="C860" t="s">
        <v>17</v>
      </c>
      <c r="D860">
        <v>510</v>
      </c>
      <c r="E860">
        <v>315</v>
      </c>
      <c r="F860" t="s">
        <v>96</v>
      </c>
      <c r="G860" t="s">
        <v>865</v>
      </c>
    </row>
    <row r="861" spans="1:7" x14ac:dyDescent="0.3">
      <c r="A861">
        <v>859</v>
      </c>
      <c r="B861" t="s">
        <v>866</v>
      </c>
      <c r="C861" t="s">
        <v>438</v>
      </c>
      <c r="D861">
        <v>255</v>
      </c>
      <c r="E861">
        <v>245</v>
      </c>
      <c r="F861" t="s">
        <v>9</v>
      </c>
      <c r="G861" t="s">
        <v>867</v>
      </c>
    </row>
    <row r="862" spans="1:7" x14ac:dyDescent="0.3">
      <c r="A862">
        <v>860</v>
      </c>
      <c r="B862" t="s">
        <v>866</v>
      </c>
      <c r="C862" t="s">
        <v>438</v>
      </c>
      <c r="D862">
        <v>52</v>
      </c>
      <c r="E862">
        <v>48</v>
      </c>
      <c r="F862" t="s">
        <v>11</v>
      </c>
      <c r="G862" t="s">
        <v>867</v>
      </c>
    </row>
    <row r="863" spans="1:7" x14ac:dyDescent="0.3">
      <c r="A863">
        <v>861</v>
      </c>
      <c r="B863" t="s">
        <v>866</v>
      </c>
      <c r="C863" t="s">
        <v>438</v>
      </c>
      <c r="D863">
        <v>106</v>
      </c>
      <c r="E863">
        <v>98</v>
      </c>
      <c r="F863" t="s">
        <v>12</v>
      </c>
      <c r="G863" t="s">
        <v>867</v>
      </c>
    </row>
    <row r="864" spans="1:7" x14ac:dyDescent="0.3">
      <c r="A864">
        <v>862</v>
      </c>
      <c r="B864" t="s">
        <v>868</v>
      </c>
      <c r="C864" t="s">
        <v>869</v>
      </c>
      <c r="D864">
        <v>140</v>
      </c>
      <c r="E864">
        <v>130</v>
      </c>
      <c r="F864" t="s">
        <v>107</v>
      </c>
      <c r="G864" t="s">
        <v>857</v>
      </c>
    </row>
    <row r="865" spans="1:7" x14ac:dyDescent="0.3">
      <c r="A865">
        <v>863</v>
      </c>
      <c r="B865" t="s">
        <v>868</v>
      </c>
      <c r="C865" t="s">
        <v>869</v>
      </c>
      <c r="D865">
        <v>280</v>
      </c>
      <c r="E865">
        <v>255</v>
      </c>
      <c r="F865" t="s">
        <v>9</v>
      </c>
      <c r="G865" t="s">
        <v>857</v>
      </c>
    </row>
    <row r="866" spans="1:7" x14ac:dyDescent="0.3">
      <c r="A866">
        <v>864</v>
      </c>
      <c r="B866" t="s">
        <v>868</v>
      </c>
      <c r="C866" t="s">
        <v>869</v>
      </c>
      <c r="D866">
        <v>550</v>
      </c>
      <c r="E866">
        <v>480</v>
      </c>
      <c r="F866" t="s">
        <v>15</v>
      </c>
      <c r="G866" t="s">
        <v>857</v>
      </c>
    </row>
    <row r="867" spans="1:7" x14ac:dyDescent="0.3">
      <c r="A867">
        <v>865</v>
      </c>
      <c r="B867" t="s">
        <v>870</v>
      </c>
      <c r="C867" t="s">
        <v>871</v>
      </c>
      <c r="D867">
        <v>140</v>
      </c>
      <c r="E867">
        <v>129</v>
      </c>
      <c r="F867" t="s">
        <v>107</v>
      </c>
      <c r="G867" t="s">
        <v>857</v>
      </c>
    </row>
    <row r="868" spans="1:7" x14ac:dyDescent="0.3">
      <c r="A868">
        <v>866</v>
      </c>
      <c r="B868" t="s">
        <v>870</v>
      </c>
      <c r="C868" t="s">
        <v>871</v>
      </c>
      <c r="D868">
        <v>280</v>
      </c>
      <c r="E868">
        <v>225</v>
      </c>
      <c r="F868" t="s">
        <v>9</v>
      </c>
      <c r="G868" t="s">
        <v>857</v>
      </c>
    </row>
    <row r="869" spans="1:7" x14ac:dyDescent="0.3">
      <c r="A869">
        <v>867</v>
      </c>
      <c r="B869" t="s">
        <v>870</v>
      </c>
      <c r="C869" t="s">
        <v>871</v>
      </c>
      <c r="D869">
        <v>540</v>
      </c>
      <c r="E869">
        <v>460</v>
      </c>
      <c r="F869" t="s">
        <v>15</v>
      </c>
      <c r="G869" t="s">
        <v>857</v>
      </c>
    </row>
    <row r="870" spans="1:7" x14ac:dyDescent="0.3">
      <c r="A870">
        <v>868</v>
      </c>
      <c r="B870" t="s">
        <v>872</v>
      </c>
      <c r="C870" t="s">
        <v>873</v>
      </c>
      <c r="D870">
        <v>570</v>
      </c>
      <c r="E870">
        <v>375</v>
      </c>
      <c r="F870" t="s">
        <v>15</v>
      </c>
      <c r="G870" t="s">
        <v>857</v>
      </c>
    </row>
    <row r="871" spans="1:7" x14ac:dyDescent="0.3">
      <c r="A871">
        <v>869</v>
      </c>
      <c r="B871" t="s">
        <v>872</v>
      </c>
      <c r="C871" t="s">
        <v>873</v>
      </c>
      <c r="D871">
        <v>285</v>
      </c>
      <c r="E871">
        <v>251</v>
      </c>
      <c r="F871" t="s">
        <v>9</v>
      </c>
      <c r="G871" t="s">
        <v>857</v>
      </c>
    </row>
    <row r="872" spans="1:7" x14ac:dyDescent="0.3">
      <c r="A872">
        <v>870</v>
      </c>
      <c r="B872" t="s">
        <v>872</v>
      </c>
      <c r="C872" t="s">
        <v>873</v>
      </c>
      <c r="D872">
        <v>145</v>
      </c>
      <c r="E872">
        <v>133</v>
      </c>
      <c r="F872" t="s">
        <v>107</v>
      </c>
      <c r="G872" t="s">
        <v>857</v>
      </c>
    </row>
    <row r="873" spans="1:7" x14ac:dyDescent="0.3">
      <c r="A873">
        <v>871</v>
      </c>
      <c r="B873" t="s">
        <v>874</v>
      </c>
      <c r="C873" t="s">
        <v>875</v>
      </c>
      <c r="D873">
        <v>300</v>
      </c>
      <c r="E873">
        <v>245</v>
      </c>
      <c r="F873" t="s">
        <v>876</v>
      </c>
      <c r="G873" t="s">
        <v>857</v>
      </c>
    </row>
    <row r="874" spans="1:7" x14ac:dyDescent="0.3">
      <c r="A874">
        <v>872</v>
      </c>
      <c r="B874" t="s">
        <v>874</v>
      </c>
      <c r="C874" t="s">
        <v>875</v>
      </c>
      <c r="D874">
        <v>240</v>
      </c>
      <c r="E874">
        <v>209</v>
      </c>
      <c r="F874" t="s">
        <v>15</v>
      </c>
      <c r="G874" t="s">
        <v>857</v>
      </c>
    </row>
    <row r="875" spans="1:7" x14ac:dyDescent="0.3">
      <c r="A875">
        <v>873</v>
      </c>
      <c r="B875" t="s">
        <v>874</v>
      </c>
      <c r="C875" t="s">
        <v>875</v>
      </c>
      <c r="D875">
        <v>100</v>
      </c>
      <c r="E875">
        <v>90</v>
      </c>
      <c r="F875" t="s">
        <v>9</v>
      </c>
      <c r="G875" t="s">
        <v>857</v>
      </c>
    </row>
    <row r="876" spans="1:7" x14ac:dyDescent="0.3">
      <c r="A876">
        <v>874</v>
      </c>
      <c r="B876" t="s">
        <v>874</v>
      </c>
      <c r="C876" t="s">
        <v>875</v>
      </c>
      <c r="D876">
        <v>50</v>
      </c>
      <c r="E876">
        <v>46</v>
      </c>
      <c r="F876" t="s">
        <v>107</v>
      </c>
      <c r="G876" t="s">
        <v>857</v>
      </c>
    </row>
    <row r="877" spans="1:7" x14ac:dyDescent="0.3">
      <c r="A877">
        <v>875</v>
      </c>
      <c r="B877" t="s">
        <v>877</v>
      </c>
      <c r="C877" t="s">
        <v>873</v>
      </c>
      <c r="D877">
        <v>650</v>
      </c>
      <c r="E877">
        <v>455</v>
      </c>
      <c r="F877" t="s">
        <v>15</v>
      </c>
      <c r="G877" t="s">
        <v>857</v>
      </c>
    </row>
    <row r="878" spans="1:7" x14ac:dyDescent="0.3">
      <c r="A878">
        <v>876</v>
      </c>
      <c r="B878" t="s">
        <v>877</v>
      </c>
      <c r="C878" t="s">
        <v>873</v>
      </c>
      <c r="D878">
        <v>330</v>
      </c>
      <c r="E878">
        <v>270</v>
      </c>
      <c r="F878" t="s">
        <v>9</v>
      </c>
      <c r="G878" t="s">
        <v>857</v>
      </c>
    </row>
    <row r="879" spans="1:7" x14ac:dyDescent="0.3">
      <c r="A879">
        <v>877</v>
      </c>
      <c r="B879" t="s">
        <v>877</v>
      </c>
      <c r="C879" t="s">
        <v>873</v>
      </c>
      <c r="D879">
        <v>170</v>
      </c>
      <c r="E879">
        <v>150</v>
      </c>
      <c r="F879" t="s">
        <v>107</v>
      </c>
      <c r="G879" t="s">
        <v>857</v>
      </c>
    </row>
    <row r="880" spans="1:7" x14ac:dyDescent="0.3">
      <c r="A880">
        <v>878</v>
      </c>
      <c r="B880" t="s">
        <v>878</v>
      </c>
      <c r="C880" t="s">
        <v>879</v>
      </c>
      <c r="D880">
        <v>550</v>
      </c>
      <c r="E880">
        <v>429</v>
      </c>
      <c r="F880" t="s">
        <v>15</v>
      </c>
      <c r="G880" t="s">
        <v>857</v>
      </c>
    </row>
    <row r="881" spans="1:7" x14ac:dyDescent="0.3">
      <c r="A881">
        <v>879</v>
      </c>
      <c r="B881" t="s">
        <v>878</v>
      </c>
      <c r="C881" t="s">
        <v>879</v>
      </c>
      <c r="D881">
        <v>280</v>
      </c>
      <c r="E881">
        <v>245</v>
      </c>
      <c r="F881" t="s">
        <v>9</v>
      </c>
      <c r="G881" t="s">
        <v>857</v>
      </c>
    </row>
    <row r="882" spans="1:7" x14ac:dyDescent="0.3">
      <c r="A882">
        <v>880</v>
      </c>
      <c r="B882" t="s">
        <v>878</v>
      </c>
      <c r="C882" t="s">
        <v>879</v>
      </c>
      <c r="D882">
        <v>140</v>
      </c>
      <c r="E882">
        <v>125</v>
      </c>
      <c r="F882" t="s">
        <v>107</v>
      </c>
      <c r="G882" t="s">
        <v>857</v>
      </c>
    </row>
    <row r="883" spans="1:7" x14ac:dyDescent="0.3">
      <c r="A883">
        <v>881</v>
      </c>
      <c r="B883" t="s">
        <v>880</v>
      </c>
      <c r="C883" t="s">
        <v>875</v>
      </c>
      <c r="D883">
        <v>140</v>
      </c>
      <c r="E883">
        <v>125</v>
      </c>
      <c r="F883" t="s">
        <v>107</v>
      </c>
      <c r="G883" t="s">
        <v>857</v>
      </c>
    </row>
    <row r="884" spans="1:7" x14ac:dyDescent="0.3">
      <c r="A884">
        <v>882</v>
      </c>
      <c r="B884" t="s">
        <v>880</v>
      </c>
      <c r="C884" t="s">
        <v>875</v>
      </c>
      <c r="D884">
        <v>280</v>
      </c>
      <c r="E884">
        <v>227</v>
      </c>
      <c r="F884" t="s">
        <v>9</v>
      </c>
      <c r="G884" t="s">
        <v>857</v>
      </c>
    </row>
    <row r="885" spans="1:7" x14ac:dyDescent="0.3">
      <c r="A885">
        <v>883</v>
      </c>
      <c r="B885" t="s">
        <v>880</v>
      </c>
      <c r="C885" t="s">
        <v>875</v>
      </c>
      <c r="D885">
        <v>550</v>
      </c>
      <c r="E885">
        <v>389</v>
      </c>
      <c r="F885" t="s">
        <v>15</v>
      </c>
      <c r="G885" t="s">
        <v>857</v>
      </c>
    </row>
    <row r="886" spans="1:7" x14ac:dyDescent="0.3">
      <c r="A886">
        <v>884</v>
      </c>
      <c r="B886" t="s">
        <v>881</v>
      </c>
      <c r="C886" t="s">
        <v>882</v>
      </c>
      <c r="D886">
        <v>220</v>
      </c>
      <c r="E886">
        <v>204</v>
      </c>
      <c r="F886" t="s">
        <v>107</v>
      </c>
      <c r="G886" t="s">
        <v>857</v>
      </c>
    </row>
    <row r="887" spans="1:7" x14ac:dyDescent="0.3">
      <c r="A887">
        <v>885</v>
      </c>
      <c r="B887" t="s">
        <v>881</v>
      </c>
      <c r="C887" t="s">
        <v>882</v>
      </c>
      <c r="D887">
        <v>410</v>
      </c>
      <c r="E887">
        <v>335</v>
      </c>
      <c r="F887" t="s">
        <v>9</v>
      </c>
      <c r="G887" t="s">
        <v>857</v>
      </c>
    </row>
    <row r="888" spans="1:7" x14ac:dyDescent="0.3">
      <c r="A888">
        <v>886</v>
      </c>
      <c r="B888" t="s">
        <v>883</v>
      </c>
      <c r="C888" t="s">
        <v>875</v>
      </c>
      <c r="D888">
        <v>145</v>
      </c>
      <c r="E888">
        <v>132</v>
      </c>
      <c r="F888" t="s">
        <v>107</v>
      </c>
      <c r="G888" t="s">
        <v>857</v>
      </c>
    </row>
    <row r="889" spans="1:7" x14ac:dyDescent="0.3">
      <c r="A889">
        <v>887</v>
      </c>
      <c r="B889" t="s">
        <v>883</v>
      </c>
      <c r="C889" t="s">
        <v>875</v>
      </c>
      <c r="D889">
        <v>315</v>
      </c>
      <c r="E889">
        <v>249</v>
      </c>
      <c r="F889" t="s">
        <v>9</v>
      </c>
      <c r="G889" t="s">
        <v>857</v>
      </c>
    </row>
    <row r="890" spans="1:7" x14ac:dyDescent="0.3">
      <c r="A890">
        <v>888</v>
      </c>
      <c r="B890" t="s">
        <v>883</v>
      </c>
      <c r="C890" t="s">
        <v>875</v>
      </c>
      <c r="D890">
        <v>620</v>
      </c>
      <c r="E890">
        <v>448</v>
      </c>
      <c r="F890" t="s">
        <v>15</v>
      </c>
      <c r="G890" t="s">
        <v>857</v>
      </c>
    </row>
    <row r="891" spans="1:7" x14ac:dyDescent="0.3">
      <c r="A891">
        <v>889</v>
      </c>
      <c r="B891" t="s">
        <v>884</v>
      </c>
      <c r="C891" t="s">
        <v>869</v>
      </c>
      <c r="D891">
        <v>67</v>
      </c>
      <c r="E891">
        <v>58</v>
      </c>
      <c r="F891" t="s">
        <v>11</v>
      </c>
      <c r="G891" t="s">
        <v>857</v>
      </c>
    </row>
    <row r="892" spans="1:7" x14ac:dyDescent="0.3">
      <c r="A892">
        <v>890</v>
      </c>
      <c r="B892" t="s">
        <v>884</v>
      </c>
      <c r="C892" t="s">
        <v>869</v>
      </c>
      <c r="D892">
        <v>640</v>
      </c>
      <c r="E892">
        <v>570</v>
      </c>
      <c r="F892" t="s">
        <v>15</v>
      </c>
      <c r="G892" t="s">
        <v>857</v>
      </c>
    </row>
    <row r="893" spans="1:7" x14ac:dyDescent="0.3">
      <c r="A893">
        <v>891</v>
      </c>
      <c r="B893" t="s">
        <v>885</v>
      </c>
      <c r="C893" t="s">
        <v>871</v>
      </c>
      <c r="D893">
        <v>240</v>
      </c>
      <c r="E893">
        <v>190</v>
      </c>
      <c r="F893" t="s">
        <v>15</v>
      </c>
      <c r="G893" t="s">
        <v>857</v>
      </c>
    </row>
    <row r="894" spans="1:7" x14ac:dyDescent="0.3">
      <c r="A894">
        <v>892</v>
      </c>
      <c r="B894" t="s">
        <v>886</v>
      </c>
      <c r="C894" t="s">
        <v>887</v>
      </c>
      <c r="D894">
        <v>240</v>
      </c>
      <c r="E894">
        <v>160</v>
      </c>
      <c r="F894" t="s">
        <v>9</v>
      </c>
      <c r="G894" t="s">
        <v>867</v>
      </c>
    </row>
    <row r="895" spans="1:7" x14ac:dyDescent="0.3">
      <c r="A895">
        <v>893</v>
      </c>
      <c r="B895" t="s">
        <v>888</v>
      </c>
      <c r="C895" t="s">
        <v>889</v>
      </c>
      <c r="D895">
        <v>165</v>
      </c>
      <c r="E895">
        <v>148</v>
      </c>
      <c r="F895" t="s">
        <v>890</v>
      </c>
      <c r="G895" t="s">
        <v>857</v>
      </c>
    </row>
    <row r="896" spans="1:7" x14ac:dyDescent="0.3">
      <c r="A896">
        <v>894</v>
      </c>
      <c r="B896" t="s">
        <v>888</v>
      </c>
      <c r="C896" t="s">
        <v>889</v>
      </c>
      <c r="D896">
        <v>600</v>
      </c>
      <c r="E896">
        <v>299</v>
      </c>
      <c r="F896" t="s">
        <v>891</v>
      </c>
      <c r="G896" t="s">
        <v>857</v>
      </c>
    </row>
    <row r="897" spans="1:7" x14ac:dyDescent="0.3">
      <c r="A897">
        <v>895</v>
      </c>
      <c r="B897" t="s">
        <v>892</v>
      </c>
      <c r="C897" t="s">
        <v>17</v>
      </c>
      <c r="D897">
        <v>230</v>
      </c>
      <c r="E897">
        <v>200</v>
      </c>
      <c r="F897" t="s">
        <v>15</v>
      </c>
      <c r="G897" t="s">
        <v>857</v>
      </c>
    </row>
    <row r="898" spans="1:7" x14ac:dyDescent="0.3">
      <c r="A898">
        <v>896</v>
      </c>
      <c r="B898" t="s">
        <v>893</v>
      </c>
      <c r="C898" t="s">
        <v>446</v>
      </c>
      <c r="D898">
        <v>255</v>
      </c>
      <c r="E898">
        <v>216</v>
      </c>
      <c r="F898" t="s">
        <v>9</v>
      </c>
      <c r="G898" t="s">
        <v>867</v>
      </c>
    </row>
    <row r="899" spans="1:7" x14ac:dyDescent="0.3">
      <c r="A899">
        <v>897</v>
      </c>
      <c r="B899" t="s">
        <v>894</v>
      </c>
      <c r="C899" t="s">
        <v>895</v>
      </c>
      <c r="D899">
        <v>114</v>
      </c>
      <c r="E899">
        <v>91</v>
      </c>
      <c r="F899" t="s">
        <v>9</v>
      </c>
      <c r="G899" t="s">
        <v>867</v>
      </c>
    </row>
    <row r="900" spans="1:7" x14ac:dyDescent="0.3">
      <c r="A900">
        <v>898</v>
      </c>
      <c r="B900" t="s">
        <v>896</v>
      </c>
      <c r="C900" t="s">
        <v>875</v>
      </c>
      <c r="D900">
        <v>320</v>
      </c>
      <c r="E900">
        <v>249</v>
      </c>
      <c r="F900" t="s">
        <v>9</v>
      </c>
      <c r="G900" t="s">
        <v>857</v>
      </c>
    </row>
    <row r="901" spans="1:7" x14ac:dyDescent="0.3">
      <c r="A901">
        <v>899</v>
      </c>
      <c r="B901" t="s">
        <v>897</v>
      </c>
      <c r="C901" t="s">
        <v>898</v>
      </c>
      <c r="D901">
        <v>165</v>
      </c>
      <c r="E901">
        <v>140</v>
      </c>
      <c r="F901" t="s">
        <v>890</v>
      </c>
      <c r="G901" t="s">
        <v>857</v>
      </c>
    </row>
    <row r="902" spans="1:7" x14ac:dyDescent="0.3">
      <c r="A902">
        <v>900</v>
      </c>
      <c r="B902" t="s">
        <v>897</v>
      </c>
      <c r="C902" t="s">
        <v>898</v>
      </c>
      <c r="D902">
        <v>600</v>
      </c>
      <c r="E902">
        <v>499</v>
      </c>
      <c r="F902" t="s">
        <v>891</v>
      </c>
      <c r="G902" t="s">
        <v>857</v>
      </c>
    </row>
    <row r="903" spans="1:7" x14ac:dyDescent="0.3">
      <c r="A903">
        <v>901</v>
      </c>
      <c r="B903" t="s">
        <v>899</v>
      </c>
      <c r="C903" t="s">
        <v>869</v>
      </c>
      <c r="D903">
        <v>330</v>
      </c>
      <c r="E903">
        <v>300</v>
      </c>
      <c r="F903" t="s">
        <v>9</v>
      </c>
      <c r="G903" t="s">
        <v>857</v>
      </c>
    </row>
    <row r="904" spans="1:7" x14ac:dyDescent="0.3">
      <c r="A904">
        <v>902</v>
      </c>
      <c r="B904" t="s">
        <v>900</v>
      </c>
      <c r="C904" t="s">
        <v>438</v>
      </c>
      <c r="D904">
        <v>53</v>
      </c>
      <c r="E904">
        <v>50</v>
      </c>
      <c r="F904" t="s">
        <v>11</v>
      </c>
      <c r="G904" t="s">
        <v>867</v>
      </c>
    </row>
    <row r="905" spans="1:7" x14ac:dyDescent="0.3">
      <c r="A905">
        <v>903</v>
      </c>
      <c r="B905" t="s">
        <v>901</v>
      </c>
      <c r="C905" t="s">
        <v>875</v>
      </c>
      <c r="D905">
        <v>140</v>
      </c>
      <c r="E905">
        <v>120</v>
      </c>
      <c r="F905" t="s">
        <v>107</v>
      </c>
      <c r="G905" t="s">
        <v>857</v>
      </c>
    </row>
    <row r="906" spans="1:7" x14ac:dyDescent="0.3">
      <c r="A906">
        <v>904</v>
      </c>
      <c r="B906" t="s">
        <v>902</v>
      </c>
      <c r="C906" t="s">
        <v>879</v>
      </c>
      <c r="D906">
        <v>100</v>
      </c>
      <c r="E906">
        <v>90</v>
      </c>
      <c r="F906" t="s">
        <v>903</v>
      </c>
      <c r="G906" t="s">
        <v>857</v>
      </c>
    </row>
    <row r="907" spans="1:7" x14ac:dyDescent="0.3">
      <c r="A907">
        <v>905</v>
      </c>
      <c r="B907" t="s">
        <v>902</v>
      </c>
      <c r="C907" t="s">
        <v>879</v>
      </c>
      <c r="D907">
        <v>490</v>
      </c>
      <c r="E907">
        <v>420</v>
      </c>
      <c r="F907" t="s">
        <v>904</v>
      </c>
      <c r="G907" t="s">
        <v>857</v>
      </c>
    </row>
    <row r="908" spans="1:7" x14ac:dyDescent="0.3">
      <c r="A908">
        <v>906</v>
      </c>
      <c r="B908" t="s">
        <v>905</v>
      </c>
      <c r="C908" t="s">
        <v>438</v>
      </c>
      <c r="D908">
        <v>61</v>
      </c>
      <c r="E908">
        <v>57</v>
      </c>
      <c r="F908" t="s">
        <v>11</v>
      </c>
      <c r="G908" t="s">
        <v>867</v>
      </c>
    </row>
    <row r="909" spans="1:7" x14ac:dyDescent="0.3">
      <c r="A909">
        <v>907</v>
      </c>
      <c r="B909" t="s">
        <v>906</v>
      </c>
      <c r="C909" t="s">
        <v>873</v>
      </c>
      <c r="D909">
        <v>210</v>
      </c>
      <c r="E909">
        <v>185</v>
      </c>
      <c r="F909" t="s">
        <v>891</v>
      </c>
      <c r="G909" t="s">
        <v>857</v>
      </c>
    </row>
    <row r="910" spans="1:7" x14ac:dyDescent="0.3">
      <c r="A910">
        <v>908</v>
      </c>
      <c r="B910" t="s">
        <v>907</v>
      </c>
      <c r="C910" t="s">
        <v>887</v>
      </c>
      <c r="D910">
        <v>230</v>
      </c>
      <c r="E910">
        <v>160</v>
      </c>
      <c r="F910" t="s">
        <v>9</v>
      </c>
      <c r="G910" t="s">
        <v>867</v>
      </c>
    </row>
    <row r="911" spans="1:7" x14ac:dyDescent="0.3">
      <c r="A911">
        <v>909</v>
      </c>
      <c r="B911" t="s">
        <v>908</v>
      </c>
      <c r="C911" t="s">
        <v>879</v>
      </c>
      <c r="D911">
        <v>400</v>
      </c>
      <c r="E911">
        <v>299</v>
      </c>
      <c r="F911" t="s">
        <v>15</v>
      </c>
      <c r="G911" t="s">
        <v>857</v>
      </c>
    </row>
    <row r="912" spans="1:7" x14ac:dyDescent="0.3">
      <c r="A912">
        <v>910</v>
      </c>
      <c r="B912" t="s">
        <v>909</v>
      </c>
      <c r="C912" t="s">
        <v>898</v>
      </c>
      <c r="D912">
        <v>165</v>
      </c>
      <c r="E912">
        <v>140</v>
      </c>
      <c r="F912" t="s">
        <v>890</v>
      </c>
      <c r="G912" t="s">
        <v>857</v>
      </c>
    </row>
    <row r="913" spans="1:7" x14ac:dyDescent="0.3">
      <c r="A913">
        <v>911</v>
      </c>
      <c r="B913" t="s">
        <v>909</v>
      </c>
      <c r="C913" t="s">
        <v>898</v>
      </c>
      <c r="D913">
        <v>600</v>
      </c>
      <c r="E913">
        <v>500</v>
      </c>
      <c r="F913" t="s">
        <v>891</v>
      </c>
      <c r="G913" t="s">
        <v>857</v>
      </c>
    </row>
    <row r="914" spans="1:7" x14ac:dyDescent="0.3">
      <c r="A914">
        <v>912</v>
      </c>
      <c r="B914" t="s">
        <v>910</v>
      </c>
      <c r="C914" t="s">
        <v>911</v>
      </c>
      <c r="D914">
        <v>405</v>
      </c>
      <c r="E914">
        <v>202</v>
      </c>
      <c r="F914" t="s">
        <v>15</v>
      </c>
      <c r="G914" t="s">
        <v>857</v>
      </c>
    </row>
    <row r="915" spans="1:7" x14ac:dyDescent="0.3">
      <c r="A915">
        <v>913</v>
      </c>
      <c r="B915" t="s">
        <v>912</v>
      </c>
      <c r="C915" t="s">
        <v>879</v>
      </c>
      <c r="D915">
        <v>150</v>
      </c>
      <c r="E915">
        <v>125</v>
      </c>
      <c r="F915" t="s">
        <v>913</v>
      </c>
      <c r="G915" t="s">
        <v>857</v>
      </c>
    </row>
    <row r="916" spans="1:7" x14ac:dyDescent="0.3">
      <c r="A916">
        <v>914</v>
      </c>
      <c r="B916" t="s">
        <v>914</v>
      </c>
      <c r="C916" t="s">
        <v>898</v>
      </c>
      <c r="D916">
        <v>350</v>
      </c>
      <c r="E916">
        <v>315</v>
      </c>
      <c r="F916" t="s">
        <v>107</v>
      </c>
      <c r="G916" t="s">
        <v>857</v>
      </c>
    </row>
    <row r="917" spans="1:7" x14ac:dyDescent="0.3">
      <c r="A917">
        <v>915</v>
      </c>
      <c r="B917" t="s">
        <v>915</v>
      </c>
      <c r="C917" t="s">
        <v>438</v>
      </c>
      <c r="D917">
        <v>205</v>
      </c>
      <c r="E917">
        <v>191</v>
      </c>
      <c r="F917" t="s">
        <v>9</v>
      </c>
      <c r="G917" t="s">
        <v>867</v>
      </c>
    </row>
    <row r="918" spans="1:7" x14ac:dyDescent="0.3">
      <c r="A918">
        <v>916</v>
      </c>
      <c r="B918" t="s">
        <v>916</v>
      </c>
      <c r="C918" t="s">
        <v>879</v>
      </c>
      <c r="D918">
        <v>150</v>
      </c>
      <c r="E918">
        <v>125</v>
      </c>
      <c r="F918" t="s">
        <v>913</v>
      </c>
      <c r="G918" t="s">
        <v>857</v>
      </c>
    </row>
    <row r="919" spans="1:7" x14ac:dyDescent="0.3">
      <c r="A919">
        <v>917</v>
      </c>
      <c r="B919" t="s">
        <v>917</v>
      </c>
      <c r="C919" t="s">
        <v>889</v>
      </c>
      <c r="D919">
        <v>165</v>
      </c>
      <c r="E919">
        <v>145</v>
      </c>
      <c r="F919" t="s">
        <v>890</v>
      </c>
      <c r="G919" t="s">
        <v>857</v>
      </c>
    </row>
    <row r="920" spans="1:7" x14ac:dyDescent="0.3">
      <c r="A920">
        <v>918</v>
      </c>
      <c r="B920" t="s">
        <v>918</v>
      </c>
      <c r="C920" t="s">
        <v>919</v>
      </c>
      <c r="D920">
        <v>130</v>
      </c>
      <c r="E920">
        <v>69</v>
      </c>
      <c r="F920" t="s">
        <v>890</v>
      </c>
      <c r="G920" t="s">
        <v>857</v>
      </c>
    </row>
    <row r="921" spans="1:7" x14ac:dyDescent="0.3">
      <c r="A921">
        <v>919</v>
      </c>
      <c r="B921" t="s">
        <v>920</v>
      </c>
      <c r="C921" t="s">
        <v>921</v>
      </c>
      <c r="D921">
        <v>305</v>
      </c>
      <c r="E921">
        <v>274</v>
      </c>
      <c r="F921" t="s">
        <v>9</v>
      </c>
      <c r="G921" t="s">
        <v>867</v>
      </c>
    </row>
    <row r="922" spans="1:7" x14ac:dyDescent="0.3">
      <c r="A922">
        <v>920</v>
      </c>
      <c r="B922" t="s">
        <v>922</v>
      </c>
      <c r="C922" t="s">
        <v>438</v>
      </c>
      <c r="D922">
        <v>53</v>
      </c>
      <c r="E922">
        <v>50</v>
      </c>
      <c r="F922" t="s">
        <v>11</v>
      </c>
      <c r="G922" t="s">
        <v>867</v>
      </c>
    </row>
    <row r="923" spans="1:7" x14ac:dyDescent="0.3">
      <c r="A923">
        <v>921</v>
      </c>
      <c r="B923" t="s">
        <v>923</v>
      </c>
      <c r="C923" t="s">
        <v>898</v>
      </c>
      <c r="D923">
        <v>165</v>
      </c>
      <c r="E923">
        <v>145</v>
      </c>
      <c r="F923" t="s">
        <v>890</v>
      </c>
      <c r="G923" t="s">
        <v>857</v>
      </c>
    </row>
    <row r="924" spans="1:7" x14ac:dyDescent="0.3">
      <c r="A924">
        <v>922</v>
      </c>
      <c r="B924" t="s">
        <v>924</v>
      </c>
      <c r="C924" t="s">
        <v>889</v>
      </c>
      <c r="D924">
        <v>350</v>
      </c>
      <c r="E924">
        <v>325</v>
      </c>
      <c r="F924" t="s">
        <v>107</v>
      </c>
      <c r="G924" t="s">
        <v>857</v>
      </c>
    </row>
    <row r="925" spans="1:7" x14ac:dyDescent="0.3">
      <c r="A925">
        <v>923</v>
      </c>
      <c r="B925" t="s">
        <v>925</v>
      </c>
      <c r="C925" t="s">
        <v>871</v>
      </c>
      <c r="D925">
        <v>150</v>
      </c>
      <c r="E925">
        <v>120</v>
      </c>
      <c r="F925" t="s">
        <v>890</v>
      </c>
      <c r="G925" t="s">
        <v>857</v>
      </c>
    </row>
    <row r="926" spans="1:7" x14ac:dyDescent="0.3">
      <c r="A926">
        <v>924</v>
      </c>
      <c r="B926" t="s">
        <v>926</v>
      </c>
      <c r="C926" t="s">
        <v>475</v>
      </c>
      <c r="D926">
        <v>194</v>
      </c>
      <c r="E926">
        <v>157</v>
      </c>
      <c r="F926" t="s">
        <v>890</v>
      </c>
      <c r="G926" t="s">
        <v>857</v>
      </c>
    </row>
    <row r="927" spans="1:7" x14ac:dyDescent="0.3">
      <c r="A927">
        <v>925</v>
      </c>
      <c r="B927" t="s">
        <v>927</v>
      </c>
      <c r="C927" t="s">
        <v>871</v>
      </c>
      <c r="D927">
        <v>160</v>
      </c>
      <c r="E927">
        <v>120</v>
      </c>
      <c r="F927" t="s">
        <v>928</v>
      </c>
      <c r="G927" t="s">
        <v>857</v>
      </c>
    </row>
    <row r="928" spans="1:7" x14ac:dyDescent="0.3">
      <c r="A928">
        <v>926</v>
      </c>
      <c r="B928" t="s">
        <v>929</v>
      </c>
      <c r="C928" t="s">
        <v>930</v>
      </c>
      <c r="D928">
        <v>198</v>
      </c>
      <c r="E928">
        <v>99</v>
      </c>
      <c r="F928" t="s">
        <v>107</v>
      </c>
      <c r="G928" t="s">
        <v>857</v>
      </c>
    </row>
    <row r="929" spans="1:7" x14ac:dyDescent="0.3">
      <c r="A929">
        <v>927</v>
      </c>
      <c r="B929" t="s">
        <v>931</v>
      </c>
      <c r="C929" t="s">
        <v>921</v>
      </c>
      <c r="D929">
        <v>305</v>
      </c>
      <c r="E929">
        <v>260</v>
      </c>
      <c r="F929" t="s">
        <v>9</v>
      </c>
      <c r="G929" t="s">
        <v>867</v>
      </c>
    </row>
    <row r="930" spans="1:7" x14ac:dyDescent="0.3">
      <c r="A930">
        <v>928</v>
      </c>
      <c r="B930" t="s">
        <v>932</v>
      </c>
      <c r="C930" t="s">
        <v>871</v>
      </c>
      <c r="D930">
        <v>165</v>
      </c>
      <c r="E930">
        <v>82</v>
      </c>
      <c r="F930" t="s">
        <v>890</v>
      </c>
      <c r="G930" t="s">
        <v>857</v>
      </c>
    </row>
    <row r="931" spans="1:7" x14ac:dyDescent="0.3">
      <c r="A931">
        <v>929</v>
      </c>
      <c r="B931" t="s">
        <v>933</v>
      </c>
      <c r="C931" t="s">
        <v>871</v>
      </c>
      <c r="D931">
        <v>150</v>
      </c>
      <c r="E931">
        <v>115</v>
      </c>
      <c r="F931" t="s">
        <v>913</v>
      </c>
      <c r="G931" t="s">
        <v>857</v>
      </c>
    </row>
    <row r="932" spans="1:7" x14ac:dyDescent="0.3">
      <c r="A932">
        <v>930</v>
      </c>
      <c r="B932" t="s">
        <v>934</v>
      </c>
      <c r="C932" t="s">
        <v>919</v>
      </c>
      <c r="D932">
        <v>130</v>
      </c>
      <c r="E932">
        <v>69</v>
      </c>
      <c r="F932" t="s">
        <v>890</v>
      </c>
      <c r="G932" t="s">
        <v>857</v>
      </c>
    </row>
    <row r="933" spans="1:7" x14ac:dyDescent="0.3">
      <c r="A933">
        <v>931</v>
      </c>
      <c r="B933" t="s">
        <v>935</v>
      </c>
      <c r="C933" t="s">
        <v>871</v>
      </c>
      <c r="D933">
        <v>140</v>
      </c>
      <c r="E933">
        <v>105</v>
      </c>
      <c r="F933" t="s">
        <v>913</v>
      </c>
      <c r="G933" t="s">
        <v>857</v>
      </c>
    </row>
    <row r="934" spans="1:7" x14ac:dyDescent="0.3">
      <c r="A934">
        <v>932</v>
      </c>
      <c r="B934" t="s">
        <v>936</v>
      </c>
      <c r="C934" t="s">
        <v>871</v>
      </c>
      <c r="D934">
        <v>150</v>
      </c>
      <c r="E934">
        <v>75</v>
      </c>
      <c r="F934" t="s">
        <v>890</v>
      </c>
      <c r="G934" t="s">
        <v>857</v>
      </c>
    </row>
    <row r="935" spans="1:7" x14ac:dyDescent="0.3">
      <c r="A935">
        <v>933</v>
      </c>
      <c r="B935" t="s">
        <v>937</v>
      </c>
      <c r="C935" t="s">
        <v>871</v>
      </c>
      <c r="D935">
        <v>150</v>
      </c>
      <c r="E935">
        <v>120</v>
      </c>
      <c r="F935" t="s">
        <v>890</v>
      </c>
      <c r="G935" t="s">
        <v>857</v>
      </c>
    </row>
    <row r="936" spans="1:7" x14ac:dyDescent="0.3">
      <c r="A936">
        <v>934</v>
      </c>
      <c r="B936" t="s">
        <v>938</v>
      </c>
      <c r="C936" t="s">
        <v>869</v>
      </c>
      <c r="D936">
        <v>100</v>
      </c>
      <c r="E936">
        <v>75</v>
      </c>
      <c r="F936" t="s">
        <v>216</v>
      </c>
      <c r="G936" t="s">
        <v>857</v>
      </c>
    </row>
    <row r="937" spans="1:7" x14ac:dyDescent="0.3">
      <c r="A937">
        <v>935</v>
      </c>
      <c r="B937" t="s">
        <v>939</v>
      </c>
      <c r="C937" t="s">
        <v>940</v>
      </c>
      <c r="D937">
        <v>299</v>
      </c>
      <c r="E937">
        <v>149</v>
      </c>
      <c r="F937" t="s">
        <v>941</v>
      </c>
      <c r="G937" t="s">
        <v>857</v>
      </c>
    </row>
    <row r="938" spans="1:7" x14ac:dyDescent="0.3">
      <c r="A938">
        <v>936</v>
      </c>
      <c r="B938" t="s">
        <v>942</v>
      </c>
      <c r="C938" t="s">
        <v>940</v>
      </c>
      <c r="D938">
        <v>349</v>
      </c>
      <c r="E938">
        <v>174</v>
      </c>
      <c r="F938" t="s">
        <v>941</v>
      </c>
      <c r="G938" t="s">
        <v>857</v>
      </c>
    </row>
    <row r="939" spans="1:7" x14ac:dyDescent="0.3">
      <c r="A939">
        <v>937</v>
      </c>
      <c r="B939" t="s">
        <v>943</v>
      </c>
      <c r="C939" t="s">
        <v>944</v>
      </c>
      <c r="D939">
        <v>299</v>
      </c>
      <c r="E939">
        <v>260</v>
      </c>
      <c r="F939" t="s">
        <v>890</v>
      </c>
      <c r="G939" t="s">
        <v>472</v>
      </c>
    </row>
    <row r="940" spans="1:7" x14ac:dyDescent="0.3">
      <c r="A940">
        <v>938</v>
      </c>
      <c r="B940" t="s">
        <v>945</v>
      </c>
      <c r="C940" t="s">
        <v>944</v>
      </c>
      <c r="D940">
        <v>314</v>
      </c>
      <c r="E940">
        <v>260</v>
      </c>
      <c r="F940" t="s">
        <v>890</v>
      </c>
      <c r="G940" t="s">
        <v>472</v>
      </c>
    </row>
    <row r="941" spans="1:7" x14ac:dyDescent="0.3">
      <c r="A941">
        <v>939</v>
      </c>
      <c r="B941" t="s">
        <v>946</v>
      </c>
      <c r="C941" t="s">
        <v>944</v>
      </c>
      <c r="D941">
        <v>314</v>
      </c>
      <c r="E941">
        <v>275</v>
      </c>
      <c r="F941" t="s">
        <v>890</v>
      </c>
      <c r="G941" t="s">
        <v>472</v>
      </c>
    </row>
    <row r="942" spans="1:7" x14ac:dyDescent="0.3">
      <c r="A942">
        <v>940</v>
      </c>
      <c r="B942" t="s">
        <v>947</v>
      </c>
      <c r="C942" t="s">
        <v>869</v>
      </c>
      <c r="D942">
        <v>590</v>
      </c>
      <c r="E942">
        <v>520</v>
      </c>
      <c r="F942" t="s">
        <v>15</v>
      </c>
      <c r="G942" t="s">
        <v>857</v>
      </c>
    </row>
    <row r="943" spans="1:7" x14ac:dyDescent="0.3">
      <c r="A943">
        <v>941</v>
      </c>
      <c r="B943" t="s">
        <v>948</v>
      </c>
      <c r="C943" t="s">
        <v>869</v>
      </c>
      <c r="D943">
        <v>170</v>
      </c>
      <c r="E943">
        <v>153</v>
      </c>
      <c r="F943" t="s">
        <v>107</v>
      </c>
      <c r="G943" t="s">
        <v>857</v>
      </c>
    </row>
    <row r="944" spans="1:7" x14ac:dyDescent="0.3">
      <c r="A944">
        <v>942</v>
      </c>
      <c r="B944" t="s">
        <v>949</v>
      </c>
      <c r="C944" t="s">
        <v>438</v>
      </c>
      <c r="D944">
        <v>15</v>
      </c>
      <c r="E944">
        <v>15</v>
      </c>
      <c r="F944" t="s">
        <v>399</v>
      </c>
      <c r="G944" t="s">
        <v>867</v>
      </c>
    </row>
    <row r="945" spans="1:7" x14ac:dyDescent="0.3">
      <c r="A945">
        <v>943</v>
      </c>
      <c r="B945" t="s">
        <v>949</v>
      </c>
      <c r="C945" t="s">
        <v>438</v>
      </c>
      <c r="D945">
        <v>68</v>
      </c>
      <c r="E945">
        <v>64</v>
      </c>
      <c r="F945" t="s">
        <v>246</v>
      </c>
      <c r="G945" t="s">
        <v>867</v>
      </c>
    </row>
    <row r="946" spans="1:7" x14ac:dyDescent="0.3">
      <c r="A946">
        <v>944</v>
      </c>
      <c r="B946" t="s">
        <v>950</v>
      </c>
      <c r="C946" t="s">
        <v>951</v>
      </c>
      <c r="D946">
        <v>67</v>
      </c>
      <c r="E946">
        <v>60</v>
      </c>
      <c r="F946" t="s">
        <v>246</v>
      </c>
      <c r="G946" t="s">
        <v>867</v>
      </c>
    </row>
    <row r="947" spans="1:7" x14ac:dyDescent="0.3">
      <c r="A947">
        <v>945</v>
      </c>
      <c r="B947" t="s">
        <v>952</v>
      </c>
      <c r="C947" t="s">
        <v>438</v>
      </c>
      <c r="D947">
        <v>74</v>
      </c>
      <c r="E947">
        <v>71</v>
      </c>
      <c r="F947" t="s">
        <v>246</v>
      </c>
      <c r="G947" t="s">
        <v>867</v>
      </c>
    </row>
    <row r="948" spans="1:7" x14ac:dyDescent="0.3">
      <c r="A948">
        <v>946</v>
      </c>
      <c r="B948" t="s">
        <v>953</v>
      </c>
      <c r="C948" t="s">
        <v>954</v>
      </c>
      <c r="D948">
        <v>68</v>
      </c>
      <c r="E948">
        <v>60</v>
      </c>
      <c r="F948" t="s">
        <v>246</v>
      </c>
      <c r="G948" t="s">
        <v>867</v>
      </c>
    </row>
    <row r="949" spans="1:7" x14ac:dyDescent="0.3">
      <c r="A949">
        <v>947</v>
      </c>
      <c r="B949" t="s">
        <v>955</v>
      </c>
      <c r="C949" t="s">
        <v>438</v>
      </c>
      <c r="D949">
        <v>75</v>
      </c>
      <c r="E949">
        <v>65</v>
      </c>
      <c r="F949" t="s">
        <v>246</v>
      </c>
      <c r="G949" t="s">
        <v>867</v>
      </c>
    </row>
    <row r="950" spans="1:7" x14ac:dyDescent="0.3">
      <c r="A950">
        <v>948</v>
      </c>
      <c r="B950" t="s">
        <v>956</v>
      </c>
      <c r="C950" t="s">
        <v>957</v>
      </c>
      <c r="D950">
        <v>89</v>
      </c>
      <c r="E950">
        <v>82</v>
      </c>
      <c r="F950" t="s">
        <v>246</v>
      </c>
      <c r="G950" t="s">
        <v>867</v>
      </c>
    </row>
    <row r="951" spans="1:7" x14ac:dyDescent="0.3">
      <c r="A951">
        <v>949</v>
      </c>
      <c r="B951" t="s">
        <v>958</v>
      </c>
      <c r="C951" t="s">
        <v>438</v>
      </c>
      <c r="D951">
        <v>22</v>
      </c>
      <c r="E951">
        <v>20</v>
      </c>
      <c r="F951" t="s">
        <v>959</v>
      </c>
      <c r="G951" t="s">
        <v>867</v>
      </c>
    </row>
    <row r="952" spans="1:7" x14ac:dyDescent="0.3">
      <c r="A952">
        <v>950</v>
      </c>
      <c r="B952" t="s">
        <v>960</v>
      </c>
      <c r="C952" t="s">
        <v>438</v>
      </c>
      <c r="D952">
        <v>22</v>
      </c>
      <c r="E952">
        <v>20</v>
      </c>
      <c r="F952" t="s">
        <v>959</v>
      </c>
      <c r="G952" t="s">
        <v>867</v>
      </c>
    </row>
    <row r="953" spans="1:7" x14ac:dyDescent="0.3">
      <c r="A953">
        <v>951</v>
      </c>
      <c r="B953" t="s">
        <v>961</v>
      </c>
      <c r="C953" t="s">
        <v>438</v>
      </c>
      <c r="D953">
        <v>25</v>
      </c>
      <c r="E953">
        <v>23</v>
      </c>
      <c r="F953" t="s">
        <v>399</v>
      </c>
      <c r="G953" t="s">
        <v>867</v>
      </c>
    </row>
    <row r="954" spans="1:7" x14ac:dyDescent="0.3">
      <c r="A954">
        <v>952</v>
      </c>
      <c r="B954" t="s">
        <v>962</v>
      </c>
      <c r="C954" t="s">
        <v>438</v>
      </c>
      <c r="D954">
        <v>22</v>
      </c>
      <c r="E954">
        <v>20</v>
      </c>
      <c r="F954" t="s">
        <v>959</v>
      </c>
      <c r="G954" t="s">
        <v>867</v>
      </c>
    </row>
    <row r="955" spans="1:7" x14ac:dyDescent="0.3">
      <c r="A955">
        <v>953</v>
      </c>
      <c r="B955" t="s">
        <v>963</v>
      </c>
      <c r="C955" t="s">
        <v>964</v>
      </c>
      <c r="D955">
        <v>195</v>
      </c>
      <c r="E955">
        <v>97</v>
      </c>
      <c r="F955" t="s">
        <v>246</v>
      </c>
      <c r="G955" t="s">
        <v>867</v>
      </c>
    </row>
    <row r="956" spans="1:7" x14ac:dyDescent="0.3">
      <c r="A956">
        <v>954</v>
      </c>
      <c r="B956" t="s">
        <v>965</v>
      </c>
      <c r="C956" t="s">
        <v>966</v>
      </c>
      <c r="D956">
        <v>199</v>
      </c>
      <c r="E956">
        <v>99</v>
      </c>
      <c r="F956" t="s">
        <v>246</v>
      </c>
      <c r="G956" t="s">
        <v>867</v>
      </c>
    </row>
    <row r="957" spans="1:7" x14ac:dyDescent="0.3">
      <c r="A957">
        <v>955</v>
      </c>
      <c r="B957" t="s">
        <v>967</v>
      </c>
      <c r="C957" t="s">
        <v>438</v>
      </c>
      <c r="D957">
        <v>22</v>
      </c>
      <c r="E957">
        <v>20</v>
      </c>
      <c r="F957" t="s">
        <v>959</v>
      </c>
      <c r="G957" t="s">
        <v>867</v>
      </c>
    </row>
    <row r="958" spans="1:7" x14ac:dyDescent="0.3">
      <c r="A958">
        <v>956</v>
      </c>
      <c r="B958" t="s">
        <v>968</v>
      </c>
      <c r="C958" t="s">
        <v>438</v>
      </c>
      <c r="D958">
        <v>25</v>
      </c>
      <c r="E958">
        <v>23</v>
      </c>
      <c r="F958" t="s">
        <v>399</v>
      </c>
      <c r="G958" t="s">
        <v>867</v>
      </c>
    </row>
    <row r="959" spans="1:7" x14ac:dyDescent="0.3">
      <c r="A959">
        <v>957</v>
      </c>
      <c r="B959" t="s">
        <v>969</v>
      </c>
      <c r="C959" t="s">
        <v>966</v>
      </c>
      <c r="D959">
        <v>199</v>
      </c>
      <c r="E959">
        <v>99</v>
      </c>
      <c r="F959" t="s">
        <v>246</v>
      </c>
      <c r="G959" t="s">
        <v>867</v>
      </c>
    </row>
    <row r="960" spans="1:7" x14ac:dyDescent="0.3">
      <c r="A960">
        <v>958</v>
      </c>
      <c r="B960" t="s">
        <v>970</v>
      </c>
      <c r="C960" t="s">
        <v>964</v>
      </c>
      <c r="D960">
        <v>195</v>
      </c>
      <c r="E960">
        <v>97</v>
      </c>
      <c r="F960" t="s">
        <v>246</v>
      </c>
      <c r="G960" t="s">
        <v>867</v>
      </c>
    </row>
    <row r="961" spans="1:7" x14ac:dyDescent="0.3">
      <c r="A961">
        <v>959</v>
      </c>
      <c r="B961" t="s">
        <v>971</v>
      </c>
      <c r="C961" t="s">
        <v>972</v>
      </c>
      <c r="D961">
        <v>145</v>
      </c>
      <c r="E961">
        <v>125</v>
      </c>
      <c r="F961" t="s">
        <v>246</v>
      </c>
      <c r="G961" t="s">
        <v>867</v>
      </c>
    </row>
    <row r="962" spans="1:7" x14ac:dyDescent="0.3">
      <c r="A962">
        <v>960</v>
      </c>
      <c r="B962" t="s">
        <v>973</v>
      </c>
      <c r="C962" t="s">
        <v>974</v>
      </c>
      <c r="D962">
        <v>325</v>
      </c>
      <c r="E962">
        <v>255</v>
      </c>
      <c r="F962" t="s">
        <v>246</v>
      </c>
      <c r="G962" t="s">
        <v>867</v>
      </c>
    </row>
    <row r="963" spans="1:7" x14ac:dyDescent="0.3">
      <c r="A963">
        <v>961</v>
      </c>
      <c r="B963" t="s">
        <v>975</v>
      </c>
      <c r="C963" t="s">
        <v>972</v>
      </c>
      <c r="D963">
        <v>145</v>
      </c>
      <c r="E963">
        <v>125</v>
      </c>
      <c r="F963" t="s">
        <v>246</v>
      </c>
      <c r="G963" t="s">
        <v>867</v>
      </c>
    </row>
    <row r="964" spans="1:7" x14ac:dyDescent="0.3">
      <c r="A964">
        <v>962</v>
      </c>
      <c r="B964" t="s">
        <v>976</v>
      </c>
      <c r="C964" t="s">
        <v>898</v>
      </c>
      <c r="D964">
        <v>165</v>
      </c>
      <c r="E964">
        <v>148</v>
      </c>
      <c r="F964" t="s">
        <v>890</v>
      </c>
      <c r="G964" t="s">
        <v>857</v>
      </c>
    </row>
    <row r="965" spans="1:7" x14ac:dyDescent="0.3">
      <c r="A965">
        <v>963</v>
      </c>
      <c r="B965" t="s">
        <v>949</v>
      </c>
      <c r="C965" t="s">
        <v>438</v>
      </c>
      <c r="D965">
        <v>816</v>
      </c>
      <c r="E965">
        <v>780</v>
      </c>
      <c r="F965" t="s">
        <v>977</v>
      </c>
      <c r="G965" t="s">
        <v>867</v>
      </c>
    </row>
    <row r="966" spans="1:7" x14ac:dyDescent="0.3">
      <c r="A966">
        <v>964</v>
      </c>
      <c r="B966" t="s">
        <v>978</v>
      </c>
      <c r="C966" t="s">
        <v>972</v>
      </c>
      <c r="D966">
        <v>145</v>
      </c>
      <c r="E966">
        <v>127</v>
      </c>
      <c r="F966" t="s">
        <v>246</v>
      </c>
      <c r="G966" t="s">
        <v>867</v>
      </c>
    </row>
    <row r="967" spans="1:7" x14ac:dyDescent="0.3">
      <c r="A967">
        <v>965</v>
      </c>
      <c r="B967" t="s">
        <v>979</v>
      </c>
      <c r="C967" t="s">
        <v>17</v>
      </c>
      <c r="D967">
        <v>130</v>
      </c>
      <c r="E967">
        <v>65</v>
      </c>
      <c r="F967" t="s">
        <v>890</v>
      </c>
      <c r="G967" t="s">
        <v>857</v>
      </c>
    </row>
    <row r="968" spans="1:7" x14ac:dyDescent="0.3">
      <c r="A968">
        <v>966</v>
      </c>
      <c r="B968" t="s">
        <v>980</v>
      </c>
      <c r="C968" t="s">
        <v>981</v>
      </c>
      <c r="D968">
        <v>25</v>
      </c>
      <c r="E968">
        <v>23</v>
      </c>
      <c r="F968" t="s">
        <v>399</v>
      </c>
      <c r="G968" t="s">
        <v>867</v>
      </c>
    </row>
    <row r="969" spans="1:7" x14ac:dyDescent="0.3">
      <c r="A969">
        <v>967</v>
      </c>
      <c r="B969" t="s">
        <v>982</v>
      </c>
      <c r="C969" t="s">
        <v>438</v>
      </c>
      <c r="D969">
        <v>190</v>
      </c>
      <c r="E969">
        <v>178</v>
      </c>
      <c r="F969" t="s">
        <v>246</v>
      </c>
      <c r="G969" t="s">
        <v>867</v>
      </c>
    </row>
    <row r="970" spans="1:7" x14ac:dyDescent="0.3">
      <c r="A970">
        <v>968</v>
      </c>
      <c r="B970" t="s">
        <v>983</v>
      </c>
      <c r="C970" t="s">
        <v>930</v>
      </c>
      <c r="D970">
        <v>250</v>
      </c>
      <c r="E970">
        <v>125</v>
      </c>
      <c r="F970" t="s">
        <v>890</v>
      </c>
      <c r="G970" t="s">
        <v>857</v>
      </c>
    </row>
    <row r="971" spans="1:7" x14ac:dyDescent="0.3">
      <c r="A971">
        <v>969</v>
      </c>
      <c r="B971" t="s">
        <v>984</v>
      </c>
      <c r="C971" t="s">
        <v>972</v>
      </c>
      <c r="D971">
        <v>145</v>
      </c>
      <c r="E971">
        <v>130</v>
      </c>
      <c r="F971" t="s">
        <v>246</v>
      </c>
      <c r="G971" t="s">
        <v>867</v>
      </c>
    </row>
    <row r="972" spans="1:7" x14ac:dyDescent="0.3">
      <c r="A972">
        <v>970</v>
      </c>
      <c r="B972" t="s">
        <v>985</v>
      </c>
      <c r="C972" t="s">
        <v>981</v>
      </c>
      <c r="D972">
        <v>30</v>
      </c>
      <c r="E972">
        <v>27</v>
      </c>
      <c r="F972" t="s">
        <v>399</v>
      </c>
      <c r="G972" t="s">
        <v>867</v>
      </c>
    </row>
    <row r="973" spans="1:7" x14ac:dyDescent="0.3">
      <c r="A973">
        <v>971</v>
      </c>
      <c r="B973" t="s">
        <v>986</v>
      </c>
      <c r="C973" t="s">
        <v>438</v>
      </c>
      <c r="D973">
        <v>122</v>
      </c>
      <c r="E973">
        <v>113</v>
      </c>
      <c r="F973" t="s">
        <v>12</v>
      </c>
      <c r="G973" t="s">
        <v>867</v>
      </c>
    </row>
    <row r="974" spans="1:7" x14ac:dyDescent="0.3">
      <c r="A974">
        <v>972</v>
      </c>
      <c r="B974" t="s">
        <v>986</v>
      </c>
      <c r="C974" t="s">
        <v>438</v>
      </c>
      <c r="D974">
        <v>280</v>
      </c>
      <c r="E974">
        <v>262</v>
      </c>
      <c r="F974" t="s">
        <v>9</v>
      </c>
      <c r="G974" t="s">
        <v>867</v>
      </c>
    </row>
    <row r="975" spans="1:7" x14ac:dyDescent="0.3">
      <c r="A975">
        <v>973</v>
      </c>
      <c r="B975" t="s">
        <v>986</v>
      </c>
      <c r="C975" t="s">
        <v>438</v>
      </c>
      <c r="D975">
        <v>545</v>
      </c>
      <c r="E975">
        <v>510</v>
      </c>
      <c r="F975" t="s">
        <v>15</v>
      </c>
      <c r="G975" t="s">
        <v>867</v>
      </c>
    </row>
    <row r="976" spans="1:7" x14ac:dyDescent="0.3">
      <c r="A976">
        <v>974</v>
      </c>
      <c r="B976" t="s">
        <v>987</v>
      </c>
      <c r="C976" t="s">
        <v>438</v>
      </c>
      <c r="D976">
        <v>490</v>
      </c>
      <c r="E976">
        <v>455</v>
      </c>
      <c r="F976" t="s">
        <v>15</v>
      </c>
      <c r="G976" t="s">
        <v>867</v>
      </c>
    </row>
    <row r="977" spans="1:7" x14ac:dyDescent="0.3">
      <c r="A977">
        <v>975</v>
      </c>
      <c r="B977" t="s">
        <v>988</v>
      </c>
      <c r="C977" t="s">
        <v>440</v>
      </c>
      <c r="D977">
        <v>430</v>
      </c>
      <c r="E977">
        <v>215</v>
      </c>
      <c r="F977" t="s">
        <v>989</v>
      </c>
      <c r="G977" t="s">
        <v>867</v>
      </c>
    </row>
    <row r="978" spans="1:7" x14ac:dyDescent="0.3">
      <c r="A978">
        <v>976</v>
      </c>
      <c r="B978" t="s">
        <v>990</v>
      </c>
      <c r="C978" t="s">
        <v>438</v>
      </c>
      <c r="D978">
        <v>114</v>
      </c>
      <c r="E978">
        <v>107</v>
      </c>
      <c r="F978" t="s">
        <v>12</v>
      </c>
      <c r="G978" t="s">
        <v>867</v>
      </c>
    </row>
    <row r="979" spans="1:7" x14ac:dyDescent="0.3">
      <c r="A979">
        <v>977</v>
      </c>
      <c r="B979" t="s">
        <v>990</v>
      </c>
      <c r="C979" t="s">
        <v>438</v>
      </c>
      <c r="D979">
        <v>265</v>
      </c>
      <c r="E979">
        <v>248</v>
      </c>
      <c r="F979" t="s">
        <v>9</v>
      </c>
      <c r="G979" t="s">
        <v>867</v>
      </c>
    </row>
    <row r="980" spans="1:7" x14ac:dyDescent="0.3">
      <c r="A980">
        <v>978</v>
      </c>
      <c r="B980" t="s">
        <v>991</v>
      </c>
      <c r="C980" t="s">
        <v>438</v>
      </c>
      <c r="D980">
        <v>75</v>
      </c>
      <c r="E980">
        <v>70</v>
      </c>
      <c r="F980" t="s">
        <v>11</v>
      </c>
      <c r="G980" t="s">
        <v>867</v>
      </c>
    </row>
    <row r="981" spans="1:7" x14ac:dyDescent="0.3">
      <c r="A981">
        <v>979</v>
      </c>
      <c r="B981" t="s">
        <v>991</v>
      </c>
      <c r="C981" t="s">
        <v>438</v>
      </c>
      <c r="D981">
        <v>130</v>
      </c>
      <c r="E981">
        <v>122</v>
      </c>
      <c r="F981" t="s">
        <v>12</v>
      </c>
      <c r="G981" t="s">
        <v>867</v>
      </c>
    </row>
    <row r="982" spans="1:7" x14ac:dyDescent="0.3">
      <c r="A982">
        <v>980</v>
      </c>
      <c r="B982" t="s">
        <v>991</v>
      </c>
      <c r="C982" t="s">
        <v>438</v>
      </c>
      <c r="D982">
        <v>248</v>
      </c>
      <c r="E982">
        <v>235</v>
      </c>
      <c r="F982" t="s">
        <v>76</v>
      </c>
      <c r="G982" t="s">
        <v>867</v>
      </c>
    </row>
    <row r="983" spans="1:7" x14ac:dyDescent="0.3">
      <c r="A983">
        <v>981</v>
      </c>
      <c r="B983" t="s">
        <v>991</v>
      </c>
      <c r="C983" t="s">
        <v>438</v>
      </c>
      <c r="D983">
        <v>390</v>
      </c>
      <c r="E983">
        <v>362</v>
      </c>
      <c r="F983" t="s">
        <v>992</v>
      </c>
      <c r="G983" t="s">
        <v>867</v>
      </c>
    </row>
    <row r="984" spans="1:7" x14ac:dyDescent="0.3">
      <c r="A984">
        <v>982</v>
      </c>
      <c r="B984" t="s">
        <v>993</v>
      </c>
      <c r="C984" t="s">
        <v>994</v>
      </c>
      <c r="D984">
        <v>400</v>
      </c>
      <c r="E984">
        <v>268</v>
      </c>
      <c r="F984" t="s">
        <v>76</v>
      </c>
      <c r="G984" t="s">
        <v>867</v>
      </c>
    </row>
    <row r="985" spans="1:7" x14ac:dyDescent="0.3">
      <c r="A985">
        <v>983</v>
      </c>
      <c r="B985" t="s">
        <v>993</v>
      </c>
      <c r="C985" t="s">
        <v>994</v>
      </c>
      <c r="D985">
        <v>600</v>
      </c>
      <c r="E985">
        <v>375</v>
      </c>
      <c r="F985" t="s">
        <v>995</v>
      </c>
      <c r="G985" t="s">
        <v>867</v>
      </c>
    </row>
    <row r="986" spans="1:7" x14ac:dyDescent="0.3">
      <c r="A986">
        <v>984</v>
      </c>
      <c r="B986" t="s">
        <v>993</v>
      </c>
      <c r="C986" t="s">
        <v>994</v>
      </c>
      <c r="D986">
        <v>165</v>
      </c>
      <c r="E986">
        <v>130</v>
      </c>
      <c r="F986" t="s">
        <v>12</v>
      </c>
      <c r="G986" t="s">
        <v>867</v>
      </c>
    </row>
    <row r="987" spans="1:7" x14ac:dyDescent="0.3">
      <c r="A987">
        <v>985</v>
      </c>
      <c r="B987" t="s">
        <v>996</v>
      </c>
      <c r="C987" t="s">
        <v>438</v>
      </c>
      <c r="D987">
        <v>486</v>
      </c>
      <c r="E987">
        <v>451</v>
      </c>
      <c r="F987" t="s">
        <v>15</v>
      </c>
      <c r="G987" t="s">
        <v>867</v>
      </c>
    </row>
    <row r="988" spans="1:7" x14ac:dyDescent="0.3">
      <c r="A988">
        <v>986</v>
      </c>
      <c r="B988" t="s">
        <v>997</v>
      </c>
      <c r="C988" t="s">
        <v>438</v>
      </c>
      <c r="D988">
        <v>113</v>
      </c>
      <c r="E988">
        <v>105</v>
      </c>
      <c r="F988" t="s">
        <v>12</v>
      </c>
      <c r="G988" t="s">
        <v>867</v>
      </c>
    </row>
    <row r="989" spans="1:7" x14ac:dyDescent="0.3">
      <c r="A989">
        <v>987</v>
      </c>
      <c r="B989" t="s">
        <v>998</v>
      </c>
      <c r="C989" t="s">
        <v>440</v>
      </c>
      <c r="D989">
        <v>260</v>
      </c>
      <c r="E989">
        <v>240</v>
      </c>
      <c r="F989" t="s">
        <v>76</v>
      </c>
      <c r="G989" t="s">
        <v>867</v>
      </c>
    </row>
    <row r="990" spans="1:7" x14ac:dyDescent="0.3">
      <c r="A990">
        <v>988</v>
      </c>
      <c r="B990" t="s">
        <v>998</v>
      </c>
      <c r="C990" t="s">
        <v>440</v>
      </c>
      <c r="D990">
        <v>499</v>
      </c>
      <c r="E990">
        <v>449</v>
      </c>
      <c r="F990" t="s">
        <v>15</v>
      </c>
      <c r="G990" t="s">
        <v>867</v>
      </c>
    </row>
    <row r="991" spans="1:7" x14ac:dyDescent="0.3">
      <c r="A991">
        <v>989</v>
      </c>
      <c r="B991" t="s">
        <v>999</v>
      </c>
      <c r="C991" t="s">
        <v>438</v>
      </c>
      <c r="D991">
        <v>94</v>
      </c>
      <c r="E991">
        <v>89</v>
      </c>
      <c r="F991" t="s">
        <v>12</v>
      </c>
      <c r="G991" t="s">
        <v>867</v>
      </c>
    </row>
    <row r="992" spans="1:7" x14ac:dyDescent="0.3">
      <c r="A992">
        <v>990</v>
      </c>
      <c r="B992" t="s">
        <v>1000</v>
      </c>
      <c r="C992" t="s">
        <v>994</v>
      </c>
      <c r="D992">
        <v>300</v>
      </c>
      <c r="E992">
        <v>225</v>
      </c>
      <c r="F992" t="s">
        <v>76</v>
      </c>
      <c r="G992" t="s">
        <v>867</v>
      </c>
    </row>
    <row r="993" spans="1:7" x14ac:dyDescent="0.3">
      <c r="A993">
        <v>991</v>
      </c>
      <c r="B993" t="s">
        <v>1001</v>
      </c>
      <c r="C993" t="s">
        <v>994</v>
      </c>
      <c r="D993">
        <v>155</v>
      </c>
      <c r="E993">
        <v>124</v>
      </c>
      <c r="F993" t="s">
        <v>12</v>
      </c>
      <c r="G993" t="s">
        <v>867</v>
      </c>
    </row>
    <row r="994" spans="1:7" x14ac:dyDescent="0.3">
      <c r="A994">
        <v>992</v>
      </c>
      <c r="B994" t="s">
        <v>1001</v>
      </c>
      <c r="C994" t="s">
        <v>994</v>
      </c>
      <c r="D994">
        <v>450</v>
      </c>
      <c r="E994">
        <v>375</v>
      </c>
      <c r="F994" t="s">
        <v>1002</v>
      </c>
      <c r="G994" t="s">
        <v>867</v>
      </c>
    </row>
    <row r="995" spans="1:7" x14ac:dyDescent="0.3">
      <c r="A995">
        <v>993</v>
      </c>
      <c r="B995" t="s">
        <v>1003</v>
      </c>
      <c r="C995" t="s">
        <v>994</v>
      </c>
      <c r="D995">
        <v>160</v>
      </c>
      <c r="E995">
        <v>148</v>
      </c>
      <c r="F995" t="s">
        <v>12</v>
      </c>
      <c r="G995" t="s">
        <v>867</v>
      </c>
    </row>
    <row r="996" spans="1:7" x14ac:dyDescent="0.3">
      <c r="A996">
        <v>994</v>
      </c>
      <c r="B996" t="s">
        <v>1003</v>
      </c>
      <c r="C996" t="s">
        <v>994</v>
      </c>
      <c r="D996">
        <v>300</v>
      </c>
      <c r="E996">
        <v>226</v>
      </c>
      <c r="F996" t="s">
        <v>76</v>
      </c>
      <c r="G996" t="s">
        <v>867</v>
      </c>
    </row>
    <row r="997" spans="1:7" x14ac:dyDescent="0.3">
      <c r="A997">
        <v>995</v>
      </c>
      <c r="B997" t="s">
        <v>1004</v>
      </c>
      <c r="C997" t="s">
        <v>889</v>
      </c>
      <c r="D997">
        <v>600</v>
      </c>
      <c r="E997">
        <v>300</v>
      </c>
      <c r="F997" t="s">
        <v>891</v>
      </c>
      <c r="G997" t="s">
        <v>857</v>
      </c>
    </row>
    <row r="998" spans="1:7" x14ac:dyDescent="0.3">
      <c r="A998">
        <v>996</v>
      </c>
      <c r="B998" t="s">
        <v>1005</v>
      </c>
      <c r="C998" t="s">
        <v>438</v>
      </c>
      <c r="D998">
        <v>500</v>
      </c>
      <c r="E998">
        <v>465</v>
      </c>
      <c r="F998" t="s">
        <v>15</v>
      </c>
      <c r="G998" t="s">
        <v>867</v>
      </c>
    </row>
    <row r="999" spans="1:7" x14ac:dyDescent="0.3">
      <c r="A999">
        <v>997</v>
      </c>
      <c r="B999" t="s">
        <v>1006</v>
      </c>
      <c r="C999" t="s">
        <v>1007</v>
      </c>
      <c r="D999">
        <v>310</v>
      </c>
      <c r="E999">
        <v>155</v>
      </c>
      <c r="F999" t="s">
        <v>76</v>
      </c>
      <c r="G999" t="s">
        <v>867</v>
      </c>
    </row>
    <row r="1000" spans="1:7" x14ac:dyDescent="0.3">
      <c r="A1000">
        <v>998</v>
      </c>
      <c r="B1000" t="s">
        <v>1006</v>
      </c>
      <c r="C1000" t="s">
        <v>1007</v>
      </c>
      <c r="D1000">
        <v>160</v>
      </c>
      <c r="E1000">
        <v>99</v>
      </c>
      <c r="F1000" t="s">
        <v>12</v>
      </c>
      <c r="G1000" t="s">
        <v>867</v>
      </c>
    </row>
    <row r="1001" spans="1:7" x14ac:dyDescent="0.3">
      <c r="A1001">
        <v>999</v>
      </c>
      <c r="B1001" t="s">
        <v>1008</v>
      </c>
      <c r="C1001" t="s">
        <v>438</v>
      </c>
      <c r="D1001">
        <v>495</v>
      </c>
      <c r="E1001">
        <v>455</v>
      </c>
      <c r="F1001" t="s">
        <v>15</v>
      </c>
      <c r="G1001" t="s">
        <v>867</v>
      </c>
    </row>
    <row r="1002" spans="1:7" x14ac:dyDescent="0.3">
      <c r="A1002">
        <v>1000</v>
      </c>
      <c r="B1002" t="s">
        <v>1009</v>
      </c>
      <c r="C1002" t="s">
        <v>1010</v>
      </c>
      <c r="D1002">
        <v>155</v>
      </c>
      <c r="E1002">
        <v>120</v>
      </c>
      <c r="F1002" t="s">
        <v>12</v>
      </c>
      <c r="G1002" t="s">
        <v>867</v>
      </c>
    </row>
    <row r="1003" spans="1:7" x14ac:dyDescent="0.3">
      <c r="A1003">
        <v>1001</v>
      </c>
      <c r="B1003" t="s">
        <v>1011</v>
      </c>
      <c r="C1003" t="s">
        <v>889</v>
      </c>
      <c r="D1003">
        <v>600</v>
      </c>
      <c r="E1003">
        <v>300</v>
      </c>
      <c r="F1003" t="s">
        <v>891</v>
      </c>
      <c r="G1003" t="s">
        <v>857</v>
      </c>
    </row>
    <row r="1004" spans="1:7" x14ac:dyDescent="0.3">
      <c r="A1004">
        <v>1002</v>
      </c>
      <c r="B1004" t="s">
        <v>1012</v>
      </c>
      <c r="C1004" t="s">
        <v>1007</v>
      </c>
      <c r="D1004">
        <v>305</v>
      </c>
      <c r="E1004">
        <v>244</v>
      </c>
      <c r="F1004" t="s">
        <v>9</v>
      </c>
      <c r="G1004" t="s">
        <v>867</v>
      </c>
    </row>
    <row r="1005" spans="1:7" x14ac:dyDescent="0.3">
      <c r="A1005">
        <v>1003</v>
      </c>
      <c r="B1005" t="s">
        <v>1013</v>
      </c>
      <c r="C1005" t="s">
        <v>1007</v>
      </c>
      <c r="D1005">
        <v>155</v>
      </c>
      <c r="E1005">
        <v>119</v>
      </c>
      <c r="F1005" t="s">
        <v>12</v>
      </c>
      <c r="G1005" t="s">
        <v>867</v>
      </c>
    </row>
    <row r="1006" spans="1:7" x14ac:dyDescent="0.3">
      <c r="A1006">
        <v>1004</v>
      </c>
      <c r="B1006" t="s">
        <v>1014</v>
      </c>
      <c r="C1006" t="s">
        <v>446</v>
      </c>
      <c r="D1006">
        <v>125</v>
      </c>
      <c r="E1006">
        <v>115</v>
      </c>
      <c r="F1006" t="s">
        <v>1015</v>
      </c>
      <c r="G1006" t="s">
        <v>867</v>
      </c>
    </row>
    <row r="1007" spans="1:7" x14ac:dyDescent="0.3">
      <c r="A1007">
        <v>1005</v>
      </c>
      <c r="B1007" t="s">
        <v>1016</v>
      </c>
      <c r="C1007" t="s">
        <v>446</v>
      </c>
      <c r="D1007">
        <v>135</v>
      </c>
      <c r="E1007">
        <v>120</v>
      </c>
      <c r="F1007" t="s">
        <v>12</v>
      </c>
      <c r="G1007" t="s">
        <v>867</v>
      </c>
    </row>
    <row r="1008" spans="1:7" x14ac:dyDescent="0.3">
      <c r="A1008">
        <v>1006</v>
      </c>
      <c r="B1008" t="s">
        <v>1017</v>
      </c>
      <c r="C1008" t="s">
        <v>438</v>
      </c>
      <c r="D1008">
        <v>113</v>
      </c>
      <c r="E1008">
        <v>106</v>
      </c>
      <c r="F1008" t="s">
        <v>12</v>
      </c>
      <c r="G1008" t="s">
        <v>867</v>
      </c>
    </row>
    <row r="1009" spans="1:7" x14ac:dyDescent="0.3">
      <c r="A1009">
        <v>1007</v>
      </c>
      <c r="B1009" t="s">
        <v>1018</v>
      </c>
      <c r="C1009" t="s">
        <v>1007</v>
      </c>
      <c r="D1009">
        <v>330</v>
      </c>
      <c r="E1009">
        <v>264</v>
      </c>
      <c r="F1009" t="s">
        <v>76</v>
      </c>
      <c r="G1009" t="s">
        <v>867</v>
      </c>
    </row>
    <row r="1010" spans="1:7" x14ac:dyDescent="0.3">
      <c r="A1010">
        <v>1008</v>
      </c>
      <c r="B1010" t="s">
        <v>1018</v>
      </c>
      <c r="C1010" t="s">
        <v>1007</v>
      </c>
      <c r="D1010">
        <v>175</v>
      </c>
      <c r="E1010">
        <v>149</v>
      </c>
      <c r="F1010" t="s">
        <v>188</v>
      </c>
      <c r="G1010" t="s">
        <v>867</v>
      </c>
    </row>
    <row r="1011" spans="1:7" x14ac:dyDescent="0.3">
      <c r="A1011">
        <v>1009</v>
      </c>
      <c r="B1011" t="s">
        <v>1019</v>
      </c>
      <c r="C1011" t="s">
        <v>1007</v>
      </c>
      <c r="D1011">
        <v>155</v>
      </c>
      <c r="E1011">
        <v>124</v>
      </c>
      <c r="F1011" t="s">
        <v>12</v>
      </c>
      <c r="G1011" t="s">
        <v>867</v>
      </c>
    </row>
    <row r="1012" spans="1:7" x14ac:dyDescent="0.3">
      <c r="A1012">
        <v>1010</v>
      </c>
      <c r="B1012" t="s">
        <v>1020</v>
      </c>
      <c r="C1012" t="s">
        <v>1007</v>
      </c>
      <c r="D1012">
        <v>105</v>
      </c>
      <c r="E1012">
        <v>84</v>
      </c>
      <c r="F1012" t="s">
        <v>11</v>
      </c>
      <c r="G1012" t="s">
        <v>867</v>
      </c>
    </row>
    <row r="1013" spans="1:7" x14ac:dyDescent="0.3">
      <c r="A1013">
        <v>1011</v>
      </c>
      <c r="B1013" t="s">
        <v>1021</v>
      </c>
      <c r="C1013" t="s">
        <v>1010</v>
      </c>
      <c r="D1013">
        <v>150</v>
      </c>
      <c r="E1013">
        <v>113</v>
      </c>
      <c r="F1013" t="s">
        <v>12</v>
      </c>
      <c r="G1013" t="s">
        <v>867</v>
      </c>
    </row>
    <row r="1014" spans="1:7" x14ac:dyDescent="0.3">
      <c r="A1014">
        <v>1012</v>
      </c>
      <c r="B1014" t="s">
        <v>1022</v>
      </c>
      <c r="C1014" t="s">
        <v>1007</v>
      </c>
      <c r="D1014">
        <v>120</v>
      </c>
      <c r="E1014">
        <v>96</v>
      </c>
      <c r="F1014" t="s">
        <v>1015</v>
      </c>
      <c r="G1014" t="s">
        <v>867</v>
      </c>
    </row>
    <row r="1015" spans="1:7" x14ac:dyDescent="0.3">
      <c r="A1015">
        <v>1013</v>
      </c>
      <c r="B1015" t="s">
        <v>1023</v>
      </c>
      <c r="C1015" t="s">
        <v>1007</v>
      </c>
      <c r="D1015">
        <v>199</v>
      </c>
      <c r="E1015">
        <v>159</v>
      </c>
      <c r="F1015" t="s">
        <v>12</v>
      </c>
      <c r="G1015" t="s">
        <v>867</v>
      </c>
    </row>
    <row r="1016" spans="1:7" x14ac:dyDescent="0.3">
      <c r="A1016">
        <v>1014</v>
      </c>
      <c r="B1016" t="s">
        <v>1024</v>
      </c>
      <c r="C1016" t="s">
        <v>438</v>
      </c>
      <c r="D1016">
        <v>108</v>
      </c>
      <c r="E1016">
        <v>100</v>
      </c>
      <c r="F1016" t="s">
        <v>12</v>
      </c>
      <c r="G1016" t="s">
        <v>867</v>
      </c>
    </row>
    <row r="1017" spans="1:7" x14ac:dyDescent="0.3">
      <c r="A1017">
        <v>1015</v>
      </c>
      <c r="B1017" t="s">
        <v>1025</v>
      </c>
      <c r="C1017" t="s">
        <v>1007</v>
      </c>
      <c r="D1017">
        <v>105</v>
      </c>
      <c r="E1017">
        <v>84</v>
      </c>
      <c r="F1017" t="s">
        <v>913</v>
      </c>
      <c r="G1017" t="s">
        <v>867</v>
      </c>
    </row>
    <row r="1018" spans="1:7" x14ac:dyDescent="0.3">
      <c r="A1018">
        <v>1016</v>
      </c>
      <c r="B1018" t="s">
        <v>1026</v>
      </c>
      <c r="C1018" t="s">
        <v>1010</v>
      </c>
      <c r="D1018">
        <v>100</v>
      </c>
      <c r="E1018">
        <v>80</v>
      </c>
      <c r="F1018" t="s">
        <v>1027</v>
      </c>
      <c r="G1018" t="s">
        <v>867</v>
      </c>
    </row>
    <row r="1019" spans="1:7" x14ac:dyDescent="0.3">
      <c r="A1019">
        <v>1017</v>
      </c>
      <c r="B1019" t="s">
        <v>1028</v>
      </c>
      <c r="C1019" t="s">
        <v>1007</v>
      </c>
      <c r="D1019">
        <v>199</v>
      </c>
      <c r="E1019">
        <v>159</v>
      </c>
      <c r="F1019" t="s">
        <v>12</v>
      </c>
      <c r="G1019" t="s">
        <v>867</v>
      </c>
    </row>
    <row r="1020" spans="1:7" x14ac:dyDescent="0.3">
      <c r="A1020">
        <v>1018</v>
      </c>
      <c r="B1020" t="s">
        <v>1029</v>
      </c>
      <c r="C1020" t="s">
        <v>871</v>
      </c>
      <c r="D1020">
        <v>225</v>
      </c>
      <c r="E1020">
        <v>180</v>
      </c>
      <c r="F1020" t="s">
        <v>890</v>
      </c>
      <c r="G1020" t="s">
        <v>857</v>
      </c>
    </row>
    <row r="1021" spans="1:7" x14ac:dyDescent="0.3">
      <c r="A1021">
        <v>1019</v>
      </c>
      <c r="B1021" t="s">
        <v>1030</v>
      </c>
      <c r="C1021" t="s">
        <v>1031</v>
      </c>
      <c r="D1021">
        <v>168</v>
      </c>
      <c r="E1021">
        <v>135</v>
      </c>
      <c r="F1021" t="s">
        <v>890</v>
      </c>
      <c r="G1021" t="s">
        <v>857</v>
      </c>
    </row>
    <row r="1022" spans="1:7" x14ac:dyDescent="0.3">
      <c r="A1022">
        <v>1020</v>
      </c>
      <c r="B1022" t="s">
        <v>1032</v>
      </c>
      <c r="C1022" t="s">
        <v>944</v>
      </c>
      <c r="D1022">
        <v>299</v>
      </c>
      <c r="E1022">
        <v>254</v>
      </c>
      <c r="F1022" t="s">
        <v>890</v>
      </c>
      <c r="G1022" t="s">
        <v>472</v>
      </c>
    </row>
    <row r="1023" spans="1:7" x14ac:dyDescent="0.3">
      <c r="A1023">
        <v>1021</v>
      </c>
      <c r="B1023" t="s">
        <v>1032</v>
      </c>
      <c r="C1023" t="s">
        <v>944</v>
      </c>
      <c r="D1023">
        <v>999</v>
      </c>
      <c r="E1023">
        <v>855</v>
      </c>
      <c r="F1023" t="s">
        <v>891</v>
      </c>
      <c r="G1023" t="s">
        <v>472</v>
      </c>
    </row>
    <row r="1024" spans="1:7" x14ac:dyDescent="0.3">
      <c r="A1024">
        <v>1022</v>
      </c>
      <c r="B1024" t="s">
        <v>943</v>
      </c>
      <c r="C1024" t="s">
        <v>944</v>
      </c>
      <c r="D1024">
        <v>955</v>
      </c>
      <c r="E1024">
        <v>820</v>
      </c>
      <c r="F1024" t="s">
        <v>891</v>
      </c>
      <c r="G1024" t="s">
        <v>472</v>
      </c>
    </row>
    <row r="1025" spans="1:7" x14ac:dyDescent="0.3">
      <c r="A1025">
        <v>1023</v>
      </c>
      <c r="B1025" t="s">
        <v>1033</v>
      </c>
      <c r="C1025" t="s">
        <v>1034</v>
      </c>
      <c r="D1025">
        <v>299</v>
      </c>
      <c r="E1025">
        <v>210</v>
      </c>
      <c r="F1025" t="s">
        <v>1035</v>
      </c>
      <c r="G1025" t="s">
        <v>857</v>
      </c>
    </row>
    <row r="1026" spans="1:7" x14ac:dyDescent="0.3">
      <c r="A1026">
        <v>1024</v>
      </c>
      <c r="B1026" t="s">
        <v>1036</v>
      </c>
      <c r="C1026" t="s">
        <v>1034</v>
      </c>
      <c r="D1026">
        <v>249</v>
      </c>
      <c r="E1026">
        <v>175</v>
      </c>
      <c r="F1026" t="s">
        <v>1035</v>
      </c>
      <c r="G1026" t="s">
        <v>857</v>
      </c>
    </row>
    <row r="1027" spans="1:7" x14ac:dyDescent="0.3">
      <c r="A1027">
        <v>1025</v>
      </c>
      <c r="B1027" t="s">
        <v>1037</v>
      </c>
      <c r="C1027" t="s">
        <v>944</v>
      </c>
      <c r="D1027">
        <v>999</v>
      </c>
      <c r="E1027">
        <v>820</v>
      </c>
      <c r="F1027" t="s">
        <v>891</v>
      </c>
      <c r="G1027" t="s">
        <v>472</v>
      </c>
    </row>
    <row r="1028" spans="1:7" x14ac:dyDescent="0.3">
      <c r="A1028">
        <v>1026</v>
      </c>
      <c r="B1028" t="s">
        <v>1038</v>
      </c>
      <c r="C1028" t="s">
        <v>1039</v>
      </c>
      <c r="D1028">
        <v>249</v>
      </c>
      <c r="E1028">
        <v>175</v>
      </c>
      <c r="F1028" t="s">
        <v>1035</v>
      </c>
      <c r="G1028" t="s">
        <v>857</v>
      </c>
    </row>
    <row r="1029" spans="1:7" x14ac:dyDescent="0.3">
      <c r="A1029">
        <v>1027</v>
      </c>
      <c r="B1029" t="s">
        <v>1040</v>
      </c>
      <c r="C1029" t="s">
        <v>1034</v>
      </c>
      <c r="D1029">
        <v>349</v>
      </c>
      <c r="E1029">
        <v>245</v>
      </c>
      <c r="F1029" t="s">
        <v>1035</v>
      </c>
      <c r="G1029" t="s">
        <v>857</v>
      </c>
    </row>
    <row r="1030" spans="1:7" x14ac:dyDescent="0.3">
      <c r="A1030">
        <v>1028</v>
      </c>
      <c r="B1030" t="s">
        <v>1041</v>
      </c>
      <c r="C1030" t="s">
        <v>1034</v>
      </c>
      <c r="D1030">
        <v>249</v>
      </c>
      <c r="E1030">
        <v>175</v>
      </c>
      <c r="F1030" t="s">
        <v>1035</v>
      </c>
      <c r="G1030" t="s">
        <v>857</v>
      </c>
    </row>
    <row r="1031" spans="1:7" x14ac:dyDescent="0.3">
      <c r="A1031">
        <v>1029</v>
      </c>
      <c r="B1031" t="s">
        <v>1042</v>
      </c>
      <c r="C1031" t="s">
        <v>944</v>
      </c>
      <c r="D1031">
        <v>750</v>
      </c>
      <c r="E1031">
        <v>601</v>
      </c>
      <c r="F1031" t="s">
        <v>11</v>
      </c>
      <c r="G1031" t="s">
        <v>472</v>
      </c>
    </row>
    <row r="1032" spans="1:7" x14ac:dyDescent="0.3">
      <c r="A1032">
        <v>1030</v>
      </c>
      <c r="B1032" t="s">
        <v>1043</v>
      </c>
      <c r="C1032" t="s">
        <v>994</v>
      </c>
      <c r="D1032">
        <v>150</v>
      </c>
      <c r="E1032">
        <v>125</v>
      </c>
      <c r="F1032" t="s">
        <v>12</v>
      </c>
      <c r="G1032" t="s">
        <v>867</v>
      </c>
    </row>
    <row r="1033" spans="1:7" x14ac:dyDescent="0.3">
      <c r="A1033">
        <v>1031</v>
      </c>
      <c r="B1033" t="s">
        <v>1043</v>
      </c>
      <c r="C1033" t="s">
        <v>994</v>
      </c>
      <c r="D1033">
        <v>350</v>
      </c>
      <c r="E1033">
        <v>295</v>
      </c>
      <c r="F1033" t="s">
        <v>9</v>
      </c>
      <c r="G1033" t="s">
        <v>867</v>
      </c>
    </row>
    <row r="1034" spans="1:7" x14ac:dyDescent="0.3">
      <c r="A1034">
        <v>1032</v>
      </c>
      <c r="B1034" t="s">
        <v>1044</v>
      </c>
      <c r="C1034" t="s">
        <v>1045</v>
      </c>
      <c r="D1034">
        <v>90</v>
      </c>
      <c r="E1034">
        <v>83</v>
      </c>
      <c r="F1034" t="s">
        <v>216</v>
      </c>
      <c r="G1034" t="s">
        <v>857</v>
      </c>
    </row>
    <row r="1035" spans="1:7" x14ac:dyDescent="0.3">
      <c r="A1035">
        <v>1033</v>
      </c>
      <c r="B1035" t="s">
        <v>1044</v>
      </c>
      <c r="C1035" t="s">
        <v>1045</v>
      </c>
      <c r="D1035">
        <v>380</v>
      </c>
      <c r="E1035">
        <v>299</v>
      </c>
      <c r="F1035" t="s">
        <v>12</v>
      </c>
      <c r="G1035" t="s">
        <v>857</v>
      </c>
    </row>
    <row r="1036" spans="1:7" x14ac:dyDescent="0.3">
      <c r="A1036">
        <v>1034</v>
      </c>
      <c r="B1036" t="s">
        <v>1046</v>
      </c>
      <c r="C1036" t="s">
        <v>1047</v>
      </c>
      <c r="D1036">
        <v>160</v>
      </c>
      <c r="E1036">
        <v>135</v>
      </c>
      <c r="F1036" t="s">
        <v>216</v>
      </c>
      <c r="G1036" t="s">
        <v>857</v>
      </c>
    </row>
    <row r="1037" spans="1:7" x14ac:dyDescent="0.3">
      <c r="A1037">
        <v>1035</v>
      </c>
      <c r="B1037" t="s">
        <v>1046</v>
      </c>
      <c r="C1037" t="s">
        <v>1047</v>
      </c>
      <c r="D1037">
        <v>600</v>
      </c>
      <c r="E1037">
        <v>555</v>
      </c>
      <c r="F1037" t="s">
        <v>12</v>
      </c>
      <c r="G1037" t="s">
        <v>857</v>
      </c>
    </row>
    <row r="1038" spans="1:7" x14ac:dyDescent="0.3">
      <c r="A1038">
        <v>1036</v>
      </c>
      <c r="B1038" t="s">
        <v>1046</v>
      </c>
      <c r="C1038" t="s">
        <v>1047</v>
      </c>
      <c r="D1038">
        <v>1320</v>
      </c>
      <c r="E1038">
        <v>1220</v>
      </c>
      <c r="F1038" t="s">
        <v>9</v>
      </c>
      <c r="G1038" t="s">
        <v>857</v>
      </c>
    </row>
    <row r="1039" spans="1:7" x14ac:dyDescent="0.3">
      <c r="A1039">
        <v>1037</v>
      </c>
      <c r="B1039" t="s">
        <v>1048</v>
      </c>
      <c r="C1039" t="s">
        <v>1049</v>
      </c>
      <c r="D1039">
        <v>108</v>
      </c>
      <c r="E1039">
        <v>54</v>
      </c>
      <c r="F1039" t="s">
        <v>216</v>
      </c>
      <c r="G1039" t="s">
        <v>857</v>
      </c>
    </row>
    <row r="1040" spans="1:7" x14ac:dyDescent="0.3">
      <c r="A1040">
        <v>1038</v>
      </c>
      <c r="B1040" t="s">
        <v>1050</v>
      </c>
      <c r="C1040" t="s">
        <v>957</v>
      </c>
      <c r="D1040">
        <v>113</v>
      </c>
      <c r="E1040">
        <v>105</v>
      </c>
      <c r="F1040" t="s">
        <v>12</v>
      </c>
      <c r="G1040" t="s">
        <v>867</v>
      </c>
    </row>
    <row r="1041" spans="1:7" x14ac:dyDescent="0.3">
      <c r="A1041">
        <v>1039</v>
      </c>
      <c r="B1041" t="s">
        <v>1050</v>
      </c>
      <c r="C1041" t="s">
        <v>957</v>
      </c>
      <c r="D1041">
        <v>218</v>
      </c>
      <c r="E1041">
        <v>198</v>
      </c>
      <c r="F1041" t="s">
        <v>76</v>
      </c>
      <c r="G1041" t="s">
        <v>867</v>
      </c>
    </row>
    <row r="1042" spans="1:7" x14ac:dyDescent="0.3">
      <c r="A1042">
        <v>1040</v>
      </c>
      <c r="B1042" t="s">
        <v>1050</v>
      </c>
      <c r="C1042" t="s">
        <v>957</v>
      </c>
      <c r="D1042">
        <v>535</v>
      </c>
      <c r="E1042">
        <v>474</v>
      </c>
      <c r="F1042" t="s">
        <v>15</v>
      </c>
      <c r="G1042" t="s">
        <v>867</v>
      </c>
    </row>
    <row r="1043" spans="1:7" x14ac:dyDescent="0.3">
      <c r="A1043">
        <v>1041</v>
      </c>
      <c r="B1043" t="s">
        <v>1051</v>
      </c>
      <c r="C1043" t="s">
        <v>440</v>
      </c>
      <c r="D1043">
        <v>98</v>
      </c>
      <c r="E1043">
        <v>83</v>
      </c>
      <c r="F1043" t="s">
        <v>12</v>
      </c>
      <c r="G1043" t="s">
        <v>867</v>
      </c>
    </row>
    <row r="1044" spans="1:7" x14ac:dyDescent="0.3">
      <c r="A1044">
        <v>1042</v>
      </c>
      <c r="B1044" t="s">
        <v>1051</v>
      </c>
      <c r="C1044" t="s">
        <v>440</v>
      </c>
      <c r="D1044">
        <v>225</v>
      </c>
      <c r="E1044">
        <v>180</v>
      </c>
      <c r="F1044" t="s">
        <v>9</v>
      </c>
      <c r="G1044" t="s">
        <v>867</v>
      </c>
    </row>
    <row r="1045" spans="1:7" x14ac:dyDescent="0.3">
      <c r="A1045">
        <v>1043</v>
      </c>
      <c r="B1045" t="s">
        <v>1052</v>
      </c>
      <c r="C1045" t="s">
        <v>438</v>
      </c>
      <c r="D1045">
        <v>14</v>
      </c>
      <c r="E1045">
        <v>13</v>
      </c>
      <c r="F1045" t="s">
        <v>959</v>
      </c>
      <c r="G1045" t="s">
        <v>867</v>
      </c>
    </row>
    <row r="1046" spans="1:7" x14ac:dyDescent="0.3">
      <c r="A1046">
        <v>1044</v>
      </c>
      <c r="B1046" t="s">
        <v>1052</v>
      </c>
      <c r="C1046" t="s">
        <v>438</v>
      </c>
      <c r="D1046">
        <v>50</v>
      </c>
      <c r="E1046">
        <v>50</v>
      </c>
      <c r="F1046" t="s">
        <v>246</v>
      </c>
      <c r="G1046" t="s">
        <v>867</v>
      </c>
    </row>
    <row r="1047" spans="1:7" x14ac:dyDescent="0.3">
      <c r="A1047">
        <v>1045</v>
      </c>
      <c r="B1047" t="s">
        <v>1053</v>
      </c>
      <c r="C1047" t="s">
        <v>1047</v>
      </c>
      <c r="D1047">
        <v>95</v>
      </c>
      <c r="E1047">
        <v>85</v>
      </c>
      <c r="F1047" t="s">
        <v>216</v>
      </c>
      <c r="G1047" t="s">
        <v>857</v>
      </c>
    </row>
    <row r="1048" spans="1:7" x14ac:dyDescent="0.3">
      <c r="A1048">
        <v>1046</v>
      </c>
      <c r="B1048" t="s">
        <v>1053</v>
      </c>
      <c r="C1048" t="s">
        <v>1047</v>
      </c>
      <c r="D1048">
        <v>380</v>
      </c>
      <c r="E1048">
        <v>342</v>
      </c>
      <c r="F1048" t="s">
        <v>12</v>
      </c>
      <c r="G1048" t="s">
        <v>857</v>
      </c>
    </row>
    <row r="1049" spans="1:7" x14ac:dyDescent="0.3">
      <c r="A1049">
        <v>1047</v>
      </c>
      <c r="B1049" t="s">
        <v>1054</v>
      </c>
      <c r="C1049" t="s">
        <v>438</v>
      </c>
      <c r="D1049">
        <v>362</v>
      </c>
      <c r="E1049">
        <v>330</v>
      </c>
      <c r="F1049" t="s">
        <v>1055</v>
      </c>
      <c r="G1049" t="s">
        <v>867</v>
      </c>
    </row>
    <row r="1050" spans="1:7" x14ac:dyDescent="0.3">
      <c r="A1050">
        <v>1048</v>
      </c>
      <c r="B1050" t="s">
        <v>1054</v>
      </c>
      <c r="C1050" t="s">
        <v>438</v>
      </c>
      <c r="D1050">
        <v>80</v>
      </c>
      <c r="E1050">
        <v>70</v>
      </c>
      <c r="F1050" t="s">
        <v>12</v>
      </c>
      <c r="G1050" t="s">
        <v>867</v>
      </c>
    </row>
    <row r="1051" spans="1:7" x14ac:dyDescent="0.3">
      <c r="A1051">
        <v>1049</v>
      </c>
      <c r="B1051" t="s">
        <v>1056</v>
      </c>
      <c r="C1051" t="s">
        <v>1047</v>
      </c>
      <c r="D1051">
        <v>330</v>
      </c>
      <c r="E1051">
        <v>275</v>
      </c>
      <c r="F1051" t="s">
        <v>1057</v>
      </c>
      <c r="G1051" t="s">
        <v>857</v>
      </c>
    </row>
    <row r="1052" spans="1:7" x14ac:dyDescent="0.3">
      <c r="A1052">
        <v>1050</v>
      </c>
      <c r="B1052" t="s">
        <v>1056</v>
      </c>
      <c r="C1052" t="s">
        <v>1047</v>
      </c>
      <c r="D1052">
        <v>170</v>
      </c>
      <c r="E1052">
        <v>155</v>
      </c>
      <c r="F1052" t="s">
        <v>1058</v>
      </c>
      <c r="G1052" t="s">
        <v>857</v>
      </c>
    </row>
    <row r="1053" spans="1:7" x14ac:dyDescent="0.3">
      <c r="A1053">
        <v>1051</v>
      </c>
      <c r="B1053" t="s">
        <v>1056</v>
      </c>
      <c r="C1053" t="s">
        <v>1047</v>
      </c>
      <c r="D1053">
        <v>80</v>
      </c>
      <c r="E1053">
        <v>74</v>
      </c>
      <c r="F1053" t="s">
        <v>613</v>
      </c>
      <c r="G1053" t="s">
        <v>857</v>
      </c>
    </row>
    <row r="1054" spans="1:7" x14ac:dyDescent="0.3">
      <c r="A1054">
        <v>1052</v>
      </c>
      <c r="B1054" t="s">
        <v>1059</v>
      </c>
      <c r="C1054" t="s">
        <v>438</v>
      </c>
      <c r="D1054">
        <v>65</v>
      </c>
      <c r="E1054">
        <v>61</v>
      </c>
      <c r="F1054" t="s">
        <v>401</v>
      </c>
      <c r="G1054" t="s">
        <v>867</v>
      </c>
    </row>
    <row r="1055" spans="1:7" x14ac:dyDescent="0.3">
      <c r="A1055">
        <v>1053</v>
      </c>
      <c r="B1055" t="s">
        <v>1059</v>
      </c>
      <c r="C1055" t="s">
        <v>438</v>
      </c>
      <c r="D1055">
        <v>205</v>
      </c>
      <c r="E1055">
        <v>193</v>
      </c>
      <c r="F1055" t="s">
        <v>246</v>
      </c>
      <c r="G1055" t="s">
        <v>867</v>
      </c>
    </row>
    <row r="1056" spans="1:7" x14ac:dyDescent="0.3">
      <c r="A1056">
        <v>1054</v>
      </c>
      <c r="B1056" t="s">
        <v>1060</v>
      </c>
      <c r="C1056" t="s">
        <v>1061</v>
      </c>
      <c r="D1056">
        <v>80</v>
      </c>
      <c r="E1056">
        <v>80</v>
      </c>
      <c r="F1056" t="s">
        <v>1062</v>
      </c>
      <c r="G1056" t="s">
        <v>867</v>
      </c>
    </row>
    <row r="1057" spans="1:7" x14ac:dyDescent="0.3">
      <c r="A1057">
        <v>1055</v>
      </c>
      <c r="B1057" t="s">
        <v>1063</v>
      </c>
      <c r="C1057" t="s">
        <v>1064</v>
      </c>
      <c r="D1057">
        <v>85</v>
      </c>
      <c r="E1057">
        <v>42</v>
      </c>
      <c r="F1057" t="s">
        <v>216</v>
      </c>
      <c r="G1057" t="s">
        <v>857</v>
      </c>
    </row>
    <row r="1058" spans="1:7" x14ac:dyDescent="0.3">
      <c r="A1058">
        <v>1056</v>
      </c>
      <c r="B1058" t="s">
        <v>1065</v>
      </c>
      <c r="C1058" t="s">
        <v>438</v>
      </c>
      <c r="D1058">
        <v>116</v>
      </c>
      <c r="E1058">
        <v>107</v>
      </c>
      <c r="F1058" t="s">
        <v>76</v>
      </c>
      <c r="G1058" t="s">
        <v>867</v>
      </c>
    </row>
    <row r="1059" spans="1:7" x14ac:dyDescent="0.3">
      <c r="A1059">
        <v>1057</v>
      </c>
      <c r="B1059" t="s">
        <v>1066</v>
      </c>
      <c r="C1059" t="s">
        <v>957</v>
      </c>
      <c r="D1059">
        <v>139</v>
      </c>
      <c r="E1059">
        <v>124</v>
      </c>
      <c r="F1059" t="s">
        <v>1067</v>
      </c>
      <c r="G1059" t="s">
        <v>867</v>
      </c>
    </row>
    <row r="1060" spans="1:7" x14ac:dyDescent="0.3">
      <c r="A1060">
        <v>1058</v>
      </c>
      <c r="B1060" t="s">
        <v>1068</v>
      </c>
      <c r="C1060" t="s">
        <v>1047</v>
      </c>
      <c r="D1060">
        <v>495</v>
      </c>
      <c r="E1060">
        <v>425</v>
      </c>
      <c r="F1060" t="s">
        <v>11</v>
      </c>
      <c r="G1060" t="s">
        <v>857</v>
      </c>
    </row>
    <row r="1061" spans="1:7" x14ac:dyDescent="0.3">
      <c r="A1061">
        <v>1059</v>
      </c>
      <c r="B1061" t="s">
        <v>1068</v>
      </c>
      <c r="C1061" t="s">
        <v>1047</v>
      </c>
      <c r="D1061">
        <v>295</v>
      </c>
      <c r="E1061">
        <v>249</v>
      </c>
      <c r="F1061" t="s">
        <v>216</v>
      </c>
      <c r="G1061" t="s">
        <v>857</v>
      </c>
    </row>
    <row r="1062" spans="1:7" x14ac:dyDescent="0.3">
      <c r="A1062">
        <v>1060</v>
      </c>
      <c r="B1062" t="s">
        <v>963</v>
      </c>
      <c r="C1062" t="s">
        <v>964</v>
      </c>
      <c r="D1062">
        <v>40</v>
      </c>
      <c r="E1062">
        <v>28</v>
      </c>
      <c r="F1062" t="s">
        <v>959</v>
      </c>
      <c r="G1062" t="s">
        <v>867</v>
      </c>
    </row>
    <row r="1063" spans="1:7" x14ac:dyDescent="0.3">
      <c r="A1063">
        <v>1061</v>
      </c>
      <c r="B1063" t="s">
        <v>1069</v>
      </c>
      <c r="C1063" t="s">
        <v>981</v>
      </c>
      <c r="D1063">
        <v>80</v>
      </c>
      <c r="E1063">
        <v>75</v>
      </c>
      <c r="F1063" t="s">
        <v>12</v>
      </c>
      <c r="G1063" t="s">
        <v>867</v>
      </c>
    </row>
    <row r="1064" spans="1:7" x14ac:dyDescent="0.3">
      <c r="A1064">
        <v>1062</v>
      </c>
      <c r="B1064" t="s">
        <v>1070</v>
      </c>
      <c r="C1064" t="s">
        <v>1071</v>
      </c>
      <c r="D1064">
        <v>125</v>
      </c>
      <c r="E1064">
        <v>62</v>
      </c>
      <c r="F1064" t="s">
        <v>216</v>
      </c>
      <c r="G1064" t="s">
        <v>857</v>
      </c>
    </row>
    <row r="1065" spans="1:7" x14ac:dyDescent="0.3">
      <c r="A1065">
        <v>1063</v>
      </c>
      <c r="B1065" t="s">
        <v>1072</v>
      </c>
      <c r="C1065" t="s">
        <v>1073</v>
      </c>
      <c r="D1065">
        <v>310</v>
      </c>
      <c r="E1065">
        <v>240</v>
      </c>
      <c r="F1065" t="s">
        <v>12</v>
      </c>
      <c r="G1065" t="s">
        <v>857</v>
      </c>
    </row>
    <row r="1066" spans="1:7" x14ac:dyDescent="0.3">
      <c r="A1066">
        <v>1064</v>
      </c>
      <c r="B1066" t="s">
        <v>1074</v>
      </c>
      <c r="C1066" t="s">
        <v>450</v>
      </c>
      <c r="D1066">
        <v>95</v>
      </c>
      <c r="E1066">
        <v>75</v>
      </c>
      <c r="F1066" t="s">
        <v>12</v>
      </c>
      <c r="G1066" t="s">
        <v>867</v>
      </c>
    </row>
    <row r="1067" spans="1:7" x14ac:dyDescent="0.3">
      <c r="A1067">
        <v>1065</v>
      </c>
      <c r="B1067" t="s">
        <v>1075</v>
      </c>
      <c r="C1067" t="s">
        <v>438</v>
      </c>
      <c r="D1067">
        <v>82</v>
      </c>
      <c r="E1067">
        <v>75</v>
      </c>
      <c r="F1067" t="s">
        <v>12</v>
      </c>
      <c r="G1067" t="s">
        <v>867</v>
      </c>
    </row>
    <row r="1068" spans="1:7" x14ac:dyDescent="0.3">
      <c r="A1068">
        <v>1066</v>
      </c>
      <c r="B1068" t="s">
        <v>1075</v>
      </c>
      <c r="C1068" t="s">
        <v>438</v>
      </c>
      <c r="D1068">
        <v>378</v>
      </c>
      <c r="E1068">
        <v>349</v>
      </c>
      <c r="F1068" t="s">
        <v>182</v>
      </c>
      <c r="G1068" t="s">
        <v>867</v>
      </c>
    </row>
    <row r="1069" spans="1:7" x14ac:dyDescent="0.3">
      <c r="A1069">
        <v>1067</v>
      </c>
      <c r="B1069" t="s">
        <v>1076</v>
      </c>
      <c r="C1069" t="s">
        <v>438</v>
      </c>
      <c r="D1069">
        <v>220</v>
      </c>
      <c r="E1069">
        <v>190</v>
      </c>
      <c r="F1069" t="s">
        <v>9</v>
      </c>
      <c r="G1069" t="s">
        <v>867</v>
      </c>
    </row>
    <row r="1070" spans="1:7" x14ac:dyDescent="0.3">
      <c r="A1070">
        <v>1068</v>
      </c>
      <c r="B1070" t="s">
        <v>970</v>
      </c>
      <c r="C1070" t="s">
        <v>964</v>
      </c>
      <c r="D1070">
        <v>35</v>
      </c>
      <c r="E1070">
        <v>27</v>
      </c>
      <c r="F1070" t="s">
        <v>959</v>
      </c>
      <c r="G1070" t="s">
        <v>867</v>
      </c>
    </row>
    <row r="1071" spans="1:7" x14ac:dyDescent="0.3">
      <c r="A1071">
        <v>1069</v>
      </c>
      <c r="B1071" t="s">
        <v>1077</v>
      </c>
      <c r="C1071" t="s">
        <v>1073</v>
      </c>
      <c r="D1071">
        <v>140</v>
      </c>
      <c r="E1071">
        <v>70</v>
      </c>
      <c r="F1071" t="s">
        <v>216</v>
      </c>
      <c r="G1071" t="s">
        <v>857</v>
      </c>
    </row>
    <row r="1072" spans="1:7" x14ac:dyDescent="0.3">
      <c r="A1072">
        <v>1070</v>
      </c>
      <c r="B1072" t="s">
        <v>1078</v>
      </c>
      <c r="C1072" t="s">
        <v>1079</v>
      </c>
      <c r="D1072">
        <v>299</v>
      </c>
      <c r="E1072">
        <v>149</v>
      </c>
      <c r="F1072" t="s">
        <v>11</v>
      </c>
      <c r="G1072" t="s">
        <v>472</v>
      </c>
    </row>
    <row r="1073" spans="1:7" x14ac:dyDescent="0.3">
      <c r="A1073">
        <v>1071</v>
      </c>
      <c r="B1073" t="s">
        <v>1080</v>
      </c>
      <c r="C1073" t="s">
        <v>1081</v>
      </c>
      <c r="D1073">
        <v>110</v>
      </c>
      <c r="E1073">
        <v>92</v>
      </c>
      <c r="F1073" t="s">
        <v>12</v>
      </c>
      <c r="G1073" t="s">
        <v>867</v>
      </c>
    </row>
    <row r="1074" spans="1:7" x14ac:dyDescent="0.3">
      <c r="A1074">
        <v>1072</v>
      </c>
      <c r="B1074" t="s">
        <v>1082</v>
      </c>
      <c r="C1074" t="s">
        <v>1083</v>
      </c>
      <c r="D1074">
        <v>550</v>
      </c>
      <c r="E1074">
        <v>495</v>
      </c>
      <c r="F1074" t="s">
        <v>11</v>
      </c>
      <c r="G1074" t="s">
        <v>857</v>
      </c>
    </row>
    <row r="1075" spans="1:7" x14ac:dyDescent="0.3">
      <c r="A1075">
        <v>1073</v>
      </c>
      <c r="B1075" t="s">
        <v>1084</v>
      </c>
      <c r="C1075" t="s">
        <v>964</v>
      </c>
      <c r="D1075">
        <v>40</v>
      </c>
      <c r="E1075">
        <v>28</v>
      </c>
      <c r="F1075" t="s">
        <v>959</v>
      </c>
      <c r="G1075" t="s">
        <v>867</v>
      </c>
    </row>
    <row r="1076" spans="1:7" x14ac:dyDescent="0.3">
      <c r="A1076">
        <v>1074</v>
      </c>
      <c r="B1076" t="s">
        <v>1085</v>
      </c>
      <c r="C1076" t="s">
        <v>1086</v>
      </c>
      <c r="D1076">
        <v>122</v>
      </c>
      <c r="E1076">
        <v>110</v>
      </c>
      <c r="F1076" t="s">
        <v>12</v>
      </c>
      <c r="G1076" t="s">
        <v>857</v>
      </c>
    </row>
    <row r="1077" spans="1:7" x14ac:dyDescent="0.3">
      <c r="A1077">
        <v>1075</v>
      </c>
      <c r="B1077" t="s">
        <v>1087</v>
      </c>
      <c r="C1077" t="s">
        <v>1083</v>
      </c>
      <c r="D1077">
        <v>550</v>
      </c>
      <c r="E1077">
        <v>495</v>
      </c>
      <c r="F1077" t="s">
        <v>11</v>
      </c>
      <c r="G1077" t="s">
        <v>857</v>
      </c>
    </row>
    <row r="1078" spans="1:7" x14ac:dyDescent="0.3">
      <c r="A1078">
        <v>1076</v>
      </c>
      <c r="B1078" t="s">
        <v>1088</v>
      </c>
      <c r="C1078" t="s">
        <v>1007</v>
      </c>
      <c r="D1078">
        <v>57</v>
      </c>
      <c r="E1078">
        <v>45</v>
      </c>
      <c r="F1078" t="s">
        <v>399</v>
      </c>
      <c r="G1078" t="s">
        <v>867</v>
      </c>
    </row>
    <row r="1079" spans="1:7" x14ac:dyDescent="0.3">
      <c r="A1079">
        <v>1077</v>
      </c>
      <c r="B1079" t="s">
        <v>1089</v>
      </c>
      <c r="C1079" t="s">
        <v>1079</v>
      </c>
      <c r="D1079">
        <v>399</v>
      </c>
      <c r="E1079">
        <v>199</v>
      </c>
      <c r="F1079" t="s">
        <v>11</v>
      </c>
      <c r="G1079" t="s">
        <v>472</v>
      </c>
    </row>
    <row r="1080" spans="1:7" x14ac:dyDescent="0.3">
      <c r="A1080">
        <v>1078</v>
      </c>
      <c r="B1080" t="s">
        <v>1090</v>
      </c>
      <c r="C1080" t="s">
        <v>1049</v>
      </c>
      <c r="D1080">
        <v>400</v>
      </c>
      <c r="E1080">
        <v>200</v>
      </c>
      <c r="F1080" t="s">
        <v>12</v>
      </c>
      <c r="G1080" t="s">
        <v>857</v>
      </c>
    </row>
    <row r="1081" spans="1:7" x14ac:dyDescent="0.3">
      <c r="A1081">
        <v>1079</v>
      </c>
      <c r="B1081" t="s">
        <v>1091</v>
      </c>
      <c r="C1081" t="s">
        <v>438</v>
      </c>
      <c r="D1081">
        <v>20</v>
      </c>
      <c r="E1081">
        <v>20</v>
      </c>
      <c r="F1081" t="s">
        <v>401</v>
      </c>
      <c r="G1081" t="s">
        <v>867</v>
      </c>
    </row>
    <row r="1082" spans="1:7" x14ac:dyDescent="0.3">
      <c r="A1082">
        <v>1080</v>
      </c>
      <c r="B1082" t="s">
        <v>1092</v>
      </c>
      <c r="C1082" t="s">
        <v>1093</v>
      </c>
      <c r="D1082">
        <v>249</v>
      </c>
      <c r="E1082">
        <v>124</v>
      </c>
      <c r="F1082" t="s">
        <v>1094</v>
      </c>
      <c r="G1082" t="s">
        <v>857</v>
      </c>
    </row>
    <row r="1083" spans="1:7" x14ac:dyDescent="0.3">
      <c r="A1083">
        <v>1081</v>
      </c>
      <c r="B1083" t="s">
        <v>1095</v>
      </c>
      <c r="C1083" t="s">
        <v>438</v>
      </c>
      <c r="D1083">
        <v>70</v>
      </c>
      <c r="E1083">
        <v>70</v>
      </c>
      <c r="F1083" t="s">
        <v>246</v>
      </c>
      <c r="G1083" t="s">
        <v>867</v>
      </c>
    </row>
    <row r="1084" spans="1:7" x14ac:dyDescent="0.3">
      <c r="A1084">
        <v>1082</v>
      </c>
      <c r="B1084" t="s">
        <v>1096</v>
      </c>
      <c r="C1084" t="s">
        <v>1047</v>
      </c>
      <c r="D1084">
        <v>45</v>
      </c>
      <c r="E1084">
        <v>40</v>
      </c>
      <c r="F1084" t="s">
        <v>959</v>
      </c>
      <c r="G1084" t="s">
        <v>857</v>
      </c>
    </row>
    <row r="1085" spans="1:7" x14ac:dyDescent="0.3">
      <c r="A1085">
        <v>1083</v>
      </c>
      <c r="B1085" t="s">
        <v>1097</v>
      </c>
      <c r="C1085" t="s">
        <v>1093</v>
      </c>
      <c r="D1085">
        <v>249</v>
      </c>
      <c r="E1085">
        <v>124</v>
      </c>
      <c r="F1085" t="s">
        <v>1094</v>
      </c>
      <c r="G1085" t="s">
        <v>857</v>
      </c>
    </row>
    <row r="1086" spans="1:7" x14ac:dyDescent="0.3">
      <c r="A1086">
        <v>1084</v>
      </c>
      <c r="B1086" t="s">
        <v>1098</v>
      </c>
      <c r="C1086" t="s">
        <v>1047</v>
      </c>
      <c r="D1086">
        <v>45</v>
      </c>
      <c r="E1086">
        <v>40</v>
      </c>
      <c r="F1086" t="s">
        <v>959</v>
      </c>
      <c r="G1086" t="s">
        <v>857</v>
      </c>
    </row>
    <row r="1087" spans="1:7" x14ac:dyDescent="0.3">
      <c r="A1087">
        <v>1085</v>
      </c>
      <c r="B1087" t="s">
        <v>1099</v>
      </c>
      <c r="C1087" t="s">
        <v>1047</v>
      </c>
      <c r="D1087">
        <v>65</v>
      </c>
      <c r="E1087">
        <v>58</v>
      </c>
      <c r="F1087" t="s">
        <v>959</v>
      </c>
      <c r="G1087" t="s">
        <v>857</v>
      </c>
    </row>
    <row r="1088" spans="1:7" x14ac:dyDescent="0.3">
      <c r="A1088">
        <v>1086</v>
      </c>
      <c r="B1088" t="s">
        <v>1100</v>
      </c>
      <c r="C1088" t="s">
        <v>1093</v>
      </c>
      <c r="D1088">
        <v>249</v>
      </c>
      <c r="E1088">
        <v>124</v>
      </c>
      <c r="F1088" t="s">
        <v>1094</v>
      </c>
      <c r="G1088" t="s">
        <v>857</v>
      </c>
    </row>
    <row r="1089" spans="1:7" x14ac:dyDescent="0.3">
      <c r="A1089">
        <v>1087</v>
      </c>
      <c r="B1089" t="s">
        <v>1101</v>
      </c>
      <c r="C1089" t="s">
        <v>1047</v>
      </c>
      <c r="D1089">
        <v>45</v>
      </c>
      <c r="E1089">
        <v>41</v>
      </c>
      <c r="F1089" t="s">
        <v>959</v>
      </c>
      <c r="G1089" t="s">
        <v>857</v>
      </c>
    </row>
    <row r="1090" spans="1:7" x14ac:dyDescent="0.3">
      <c r="A1090">
        <v>1088</v>
      </c>
      <c r="B1090" t="s">
        <v>1063</v>
      </c>
      <c r="C1090" t="s">
        <v>1064</v>
      </c>
      <c r="D1090">
        <v>330</v>
      </c>
      <c r="E1090">
        <v>165</v>
      </c>
      <c r="F1090" t="s">
        <v>12</v>
      </c>
      <c r="G1090" t="s">
        <v>857</v>
      </c>
    </row>
    <row r="1091" spans="1:7" x14ac:dyDescent="0.3">
      <c r="A1091">
        <v>1089</v>
      </c>
      <c r="B1091" t="s">
        <v>1102</v>
      </c>
      <c r="C1091" t="s">
        <v>966</v>
      </c>
      <c r="D1091">
        <v>199</v>
      </c>
      <c r="E1091">
        <v>99</v>
      </c>
      <c r="F1091" t="s">
        <v>246</v>
      </c>
      <c r="G1091" t="s">
        <v>867</v>
      </c>
    </row>
    <row r="1092" spans="1:7" x14ac:dyDescent="0.3">
      <c r="A1092">
        <v>1090</v>
      </c>
      <c r="B1092" t="s">
        <v>1103</v>
      </c>
      <c r="C1092" t="s">
        <v>1061</v>
      </c>
      <c r="D1092">
        <v>95</v>
      </c>
      <c r="E1092">
        <v>95</v>
      </c>
      <c r="F1092" t="s">
        <v>1062</v>
      </c>
      <c r="G1092" t="s">
        <v>857</v>
      </c>
    </row>
    <row r="1093" spans="1:7" x14ac:dyDescent="0.3">
      <c r="A1093">
        <v>1091</v>
      </c>
      <c r="B1093" t="s">
        <v>1104</v>
      </c>
      <c r="C1093" t="s">
        <v>1079</v>
      </c>
      <c r="D1093">
        <v>399</v>
      </c>
      <c r="E1093">
        <v>199</v>
      </c>
      <c r="F1093" t="s">
        <v>11</v>
      </c>
      <c r="G1093" t="s">
        <v>472</v>
      </c>
    </row>
    <row r="1094" spans="1:7" x14ac:dyDescent="0.3">
      <c r="A1094">
        <v>1092</v>
      </c>
      <c r="B1094" t="s">
        <v>1105</v>
      </c>
      <c r="C1094" t="s">
        <v>1047</v>
      </c>
      <c r="D1094">
        <v>65</v>
      </c>
      <c r="E1094">
        <v>59</v>
      </c>
      <c r="F1094" t="s">
        <v>959</v>
      </c>
      <c r="G1094" t="s">
        <v>857</v>
      </c>
    </row>
    <row r="1095" spans="1:7" x14ac:dyDescent="0.3">
      <c r="A1095">
        <v>1093</v>
      </c>
      <c r="B1095" t="s">
        <v>1106</v>
      </c>
      <c r="C1095" t="s">
        <v>1093</v>
      </c>
      <c r="D1095">
        <v>249</v>
      </c>
      <c r="E1095">
        <v>124</v>
      </c>
      <c r="F1095" t="s">
        <v>1094</v>
      </c>
      <c r="G1095" t="s">
        <v>857</v>
      </c>
    </row>
    <row r="1096" spans="1:7" x14ac:dyDescent="0.3">
      <c r="A1096">
        <v>1094</v>
      </c>
      <c r="B1096" t="s">
        <v>1107</v>
      </c>
      <c r="C1096" t="s">
        <v>1108</v>
      </c>
      <c r="D1096">
        <v>95</v>
      </c>
      <c r="E1096">
        <v>64</v>
      </c>
      <c r="F1096" t="s">
        <v>1109</v>
      </c>
      <c r="G1096" t="s">
        <v>857</v>
      </c>
    </row>
    <row r="1097" spans="1:7" x14ac:dyDescent="0.3">
      <c r="A1097">
        <v>1095</v>
      </c>
      <c r="B1097" t="s">
        <v>1110</v>
      </c>
      <c r="C1097" t="s">
        <v>964</v>
      </c>
      <c r="D1097">
        <v>35</v>
      </c>
      <c r="E1097">
        <v>20</v>
      </c>
      <c r="F1097" t="s">
        <v>1111</v>
      </c>
      <c r="G1097" t="s">
        <v>867</v>
      </c>
    </row>
    <row r="1098" spans="1:7" x14ac:dyDescent="0.3">
      <c r="A1098">
        <v>1096</v>
      </c>
      <c r="B1098" t="s">
        <v>1112</v>
      </c>
      <c r="C1098" t="s">
        <v>1079</v>
      </c>
      <c r="D1098">
        <v>399</v>
      </c>
      <c r="E1098">
        <v>199</v>
      </c>
      <c r="F1098" t="s">
        <v>11</v>
      </c>
      <c r="G1098" t="s">
        <v>472</v>
      </c>
    </row>
    <row r="1099" spans="1:7" x14ac:dyDescent="0.3">
      <c r="A1099">
        <v>1097</v>
      </c>
      <c r="B1099" t="s">
        <v>1113</v>
      </c>
      <c r="C1099" t="s">
        <v>1108</v>
      </c>
      <c r="D1099">
        <v>70</v>
      </c>
      <c r="E1099">
        <v>55</v>
      </c>
      <c r="F1099" t="s">
        <v>1109</v>
      </c>
      <c r="G1099" t="s">
        <v>857</v>
      </c>
    </row>
    <row r="1100" spans="1:7" x14ac:dyDescent="0.3">
      <c r="A1100">
        <v>1098</v>
      </c>
      <c r="B1100" t="s">
        <v>1114</v>
      </c>
      <c r="C1100" t="s">
        <v>1083</v>
      </c>
      <c r="D1100">
        <v>550</v>
      </c>
      <c r="E1100">
        <v>494</v>
      </c>
      <c r="F1100" t="s">
        <v>11</v>
      </c>
      <c r="G1100" t="s">
        <v>857</v>
      </c>
    </row>
    <row r="1101" spans="1:7" x14ac:dyDescent="0.3">
      <c r="A1101">
        <v>1099</v>
      </c>
      <c r="B1101" t="s">
        <v>1115</v>
      </c>
      <c r="C1101" t="s">
        <v>1079</v>
      </c>
      <c r="D1101">
        <v>350</v>
      </c>
      <c r="E1101">
        <v>175</v>
      </c>
      <c r="F1101" t="s">
        <v>11</v>
      </c>
      <c r="G1101" t="s">
        <v>472</v>
      </c>
    </row>
    <row r="1102" spans="1:7" x14ac:dyDescent="0.3">
      <c r="A1102">
        <v>1100</v>
      </c>
      <c r="B1102" t="s">
        <v>1116</v>
      </c>
      <c r="C1102" t="s">
        <v>1073</v>
      </c>
      <c r="D1102">
        <v>160</v>
      </c>
      <c r="E1102">
        <v>80</v>
      </c>
      <c r="F1102" t="s">
        <v>216</v>
      </c>
      <c r="G1102" t="s">
        <v>857</v>
      </c>
    </row>
    <row r="1103" spans="1:7" x14ac:dyDescent="0.3">
      <c r="A1103">
        <v>1101</v>
      </c>
      <c r="B1103" t="s">
        <v>1117</v>
      </c>
      <c r="C1103" t="s">
        <v>1083</v>
      </c>
      <c r="D1103">
        <v>550</v>
      </c>
      <c r="E1103">
        <v>494</v>
      </c>
      <c r="F1103" t="s">
        <v>1118</v>
      </c>
      <c r="G1103" t="s">
        <v>857</v>
      </c>
    </row>
    <row r="1104" spans="1:7" x14ac:dyDescent="0.3">
      <c r="A1104">
        <v>1102</v>
      </c>
      <c r="B1104" t="s">
        <v>1119</v>
      </c>
      <c r="C1104" t="s">
        <v>1007</v>
      </c>
      <c r="D1104">
        <v>495</v>
      </c>
      <c r="E1104">
        <v>396</v>
      </c>
      <c r="F1104" t="s">
        <v>15</v>
      </c>
      <c r="G1104" t="s">
        <v>867</v>
      </c>
    </row>
    <row r="1105" spans="1:7" x14ac:dyDescent="0.3">
      <c r="A1105">
        <v>1103</v>
      </c>
      <c r="B1105" t="s">
        <v>1120</v>
      </c>
      <c r="C1105" t="s">
        <v>974</v>
      </c>
      <c r="D1105">
        <v>100</v>
      </c>
      <c r="E1105">
        <v>80</v>
      </c>
      <c r="F1105" t="s">
        <v>399</v>
      </c>
      <c r="G1105" t="s">
        <v>857</v>
      </c>
    </row>
    <row r="1106" spans="1:7" x14ac:dyDescent="0.3">
      <c r="A1106">
        <v>1104</v>
      </c>
      <c r="B1106" t="s">
        <v>1121</v>
      </c>
      <c r="C1106" t="s">
        <v>438</v>
      </c>
      <c r="D1106">
        <v>50</v>
      </c>
      <c r="E1106">
        <v>48</v>
      </c>
      <c r="F1106" t="s">
        <v>401</v>
      </c>
      <c r="G1106" t="s">
        <v>867</v>
      </c>
    </row>
    <row r="1107" spans="1:7" x14ac:dyDescent="0.3">
      <c r="A1107">
        <v>1105</v>
      </c>
      <c r="B1107" t="s">
        <v>1122</v>
      </c>
      <c r="C1107" t="s">
        <v>940</v>
      </c>
      <c r="D1107">
        <v>339</v>
      </c>
      <c r="E1107">
        <v>168</v>
      </c>
      <c r="F1107" t="s">
        <v>11</v>
      </c>
      <c r="G1107" t="s">
        <v>857</v>
      </c>
    </row>
    <row r="1108" spans="1:7" x14ac:dyDescent="0.3">
      <c r="A1108">
        <v>1106</v>
      </c>
      <c r="B1108" t="s">
        <v>1123</v>
      </c>
      <c r="C1108" t="s">
        <v>1124</v>
      </c>
      <c r="D1108">
        <v>360</v>
      </c>
      <c r="E1108">
        <v>310</v>
      </c>
      <c r="F1108" t="s">
        <v>11</v>
      </c>
      <c r="G1108" t="s">
        <v>857</v>
      </c>
    </row>
    <row r="1109" spans="1:7" x14ac:dyDescent="0.3">
      <c r="A1109">
        <v>1107</v>
      </c>
      <c r="B1109" t="s">
        <v>1125</v>
      </c>
      <c r="C1109" t="s">
        <v>981</v>
      </c>
      <c r="D1109">
        <v>25</v>
      </c>
      <c r="E1109">
        <v>23</v>
      </c>
      <c r="F1109" t="s">
        <v>399</v>
      </c>
      <c r="G1109" t="s">
        <v>867</v>
      </c>
    </row>
    <row r="1110" spans="1:7" x14ac:dyDescent="0.3">
      <c r="A1110">
        <v>1108</v>
      </c>
      <c r="B1110" t="s">
        <v>1126</v>
      </c>
      <c r="C1110" t="s">
        <v>1047</v>
      </c>
      <c r="D1110">
        <v>610</v>
      </c>
      <c r="E1110">
        <v>565</v>
      </c>
      <c r="F1110" t="s">
        <v>12</v>
      </c>
      <c r="G1110" t="s">
        <v>857</v>
      </c>
    </row>
    <row r="1111" spans="1:7" x14ac:dyDescent="0.3">
      <c r="A1111">
        <v>1109</v>
      </c>
      <c r="B1111" t="s">
        <v>1127</v>
      </c>
      <c r="C1111" t="s">
        <v>1079</v>
      </c>
      <c r="D1111">
        <v>99</v>
      </c>
      <c r="E1111">
        <v>49</v>
      </c>
      <c r="F1111" t="s">
        <v>1094</v>
      </c>
      <c r="G1111" t="s">
        <v>857</v>
      </c>
    </row>
    <row r="1112" spans="1:7" x14ac:dyDescent="0.3">
      <c r="A1112">
        <v>1110</v>
      </c>
      <c r="B1112" t="s">
        <v>1128</v>
      </c>
      <c r="C1112" t="s">
        <v>1129</v>
      </c>
      <c r="D1112">
        <v>320</v>
      </c>
      <c r="E1112">
        <v>239</v>
      </c>
      <c r="F1112" t="s">
        <v>992</v>
      </c>
      <c r="G1112" t="s">
        <v>857</v>
      </c>
    </row>
    <row r="1113" spans="1:7" x14ac:dyDescent="0.3">
      <c r="A1113">
        <v>1111</v>
      </c>
      <c r="B1113" t="s">
        <v>1128</v>
      </c>
      <c r="C1113" t="s">
        <v>1129</v>
      </c>
      <c r="D1113">
        <v>214</v>
      </c>
      <c r="E1113">
        <v>185</v>
      </c>
      <c r="F1113" t="s">
        <v>9</v>
      </c>
      <c r="G1113" t="s">
        <v>857</v>
      </c>
    </row>
    <row r="1114" spans="1:7" x14ac:dyDescent="0.3">
      <c r="A1114">
        <v>1112</v>
      </c>
      <c r="B1114" t="s">
        <v>1128</v>
      </c>
      <c r="C1114" t="s">
        <v>1129</v>
      </c>
      <c r="D1114">
        <v>30</v>
      </c>
      <c r="E1114">
        <v>27</v>
      </c>
      <c r="F1114" t="s">
        <v>834</v>
      </c>
      <c r="G1114" t="s">
        <v>857</v>
      </c>
    </row>
    <row r="1115" spans="1:7" x14ac:dyDescent="0.3">
      <c r="A1115">
        <v>1113</v>
      </c>
      <c r="B1115" t="s">
        <v>1128</v>
      </c>
      <c r="C1115" t="s">
        <v>1129</v>
      </c>
      <c r="D1115">
        <v>395</v>
      </c>
      <c r="E1115">
        <v>306</v>
      </c>
      <c r="F1115" t="s">
        <v>15</v>
      </c>
      <c r="G1115" t="s">
        <v>857</v>
      </c>
    </row>
    <row r="1116" spans="1:7" x14ac:dyDescent="0.3">
      <c r="A1116">
        <v>1114</v>
      </c>
      <c r="B1116" t="s">
        <v>1130</v>
      </c>
      <c r="C1116" t="s">
        <v>1131</v>
      </c>
      <c r="D1116">
        <v>590</v>
      </c>
      <c r="E1116">
        <v>535</v>
      </c>
      <c r="F1116" t="s">
        <v>76</v>
      </c>
      <c r="G1116" t="s">
        <v>857</v>
      </c>
    </row>
    <row r="1117" spans="1:7" x14ac:dyDescent="0.3">
      <c r="A1117">
        <v>1115</v>
      </c>
      <c r="B1117" t="s">
        <v>1130</v>
      </c>
      <c r="C1117" t="s">
        <v>1131</v>
      </c>
      <c r="D1117">
        <v>1080</v>
      </c>
      <c r="E1117">
        <v>965</v>
      </c>
      <c r="F1117" t="s">
        <v>992</v>
      </c>
      <c r="G1117" t="s">
        <v>857</v>
      </c>
    </row>
    <row r="1118" spans="1:7" x14ac:dyDescent="0.3">
      <c r="A1118">
        <v>1116</v>
      </c>
      <c r="B1118" t="s">
        <v>1130</v>
      </c>
      <c r="C1118" t="s">
        <v>1131</v>
      </c>
      <c r="D1118">
        <v>1375</v>
      </c>
      <c r="E1118">
        <v>1221</v>
      </c>
      <c r="F1118" t="s">
        <v>15</v>
      </c>
      <c r="G1118" t="s">
        <v>857</v>
      </c>
    </row>
    <row r="1119" spans="1:7" x14ac:dyDescent="0.3">
      <c r="A1119">
        <v>1117</v>
      </c>
      <c r="B1119" t="s">
        <v>1132</v>
      </c>
      <c r="C1119" t="s">
        <v>1133</v>
      </c>
      <c r="D1119">
        <v>635</v>
      </c>
      <c r="E1119">
        <v>560</v>
      </c>
      <c r="F1119" t="s">
        <v>76</v>
      </c>
      <c r="G1119" t="s">
        <v>857</v>
      </c>
    </row>
    <row r="1120" spans="1:7" x14ac:dyDescent="0.3">
      <c r="A1120">
        <v>1118</v>
      </c>
      <c r="B1120" t="s">
        <v>1134</v>
      </c>
      <c r="C1120" t="s">
        <v>1133</v>
      </c>
      <c r="D1120">
        <v>599</v>
      </c>
      <c r="E1120">
        <v>524</v>
      </c>
      <c r="F1120" t="s">
        <v>76</v>
      </c>
      <c r="G1120" t="s">
        <v>857</v>
      </c>
    </row>
    <row r="1121" spans="1:7" x14ac:dyDescent="0.3">
      <c r="A1121">
        <v>1119</v>
      </c>
      <c r="B1121" t="s">
        <v>1135</v>
      </c>
      <c r="C1121" t="s">
        <v>1129</v>
      </c>
      <c r="D1121">
        <v>333</v>
      </c>
      <c r="E1121">
        <v>253</v>
      </c>
      <c r="F1121" t="s">
        <v>992</v>
      </c>
      <c r="G1121" t="s">
        <v>857</v>
      </c>
    </row>
    <row r="1122" spans="1:7" x14ac:dyDescent="0.3">
      <c r="A1122">
        <v>1120</v>
      </c>
      <c r="B1122" t="s">
        <v>1136</v>
      </c>
      <c r="C1122" t="s">
        <v>1137</v>
      </c>
      <c r="D1122">
        <v>1080</v>
      </c>
      <c r="E1122">
        <v>852</v>
      </c>
      <c r="F1122" t="s">
        <v>992</v>
      </c>
      <c r="G1122" t="s">
        <v>857</v>
      </c>
    </row>
    <row r="1123" spans="1:7" x14ac:dyDescent="0.3">
      <c r="A1123">
        <v>1121</v>
      </c>
      <c r="B1123" t="s">
        <v>1138</v>
      </c>
      <c r="C1123" t="s">
        <v>1139</v>
      </c>
      <c r="D1123">
        <v>425</v>
      </c>
      <c r="E1123">
        <v>310</v>
      </c>
      <c r="F1123" t="s">
        <v>15</v>
      </c>
      <c r="G1123" t="s">
        <v>857</v>
      </c>
    </row>
    <row r="1124" spans="1:7" x14ac:dyDescent="0.3">
      <c r="A1124">
        <v>1122</v>
      </c>
      <c r="B1124" t="s">
        <v>1138</v>
      </c>
      <c r="C1124" t="s">
        <v>1139</v>
      </c>
      <c r="D1124">
        <v>339</v>
      </c>
      <c r="E1124">
        <v>224</v>
      </c>
      <c r="F1124" t="s">
        <v>992</v>
      </c>
      <c r="G1124" t="s">
        <v>857</v>
      </c>
    </row>
    <row r="1125" spans="1:7" x14ac:dyDescent="0.3">
      <c r="A1125">
        <v>1123</v>
      </c>
      <c r="B1125" t="s">
        <v>1140</v>
      </c>
      <c r="C1125" t="s">
        <v>438</v>
      </c>
      <c r="D1125">
        <v>175</v>
      </c>
      <c r="E1125">
        <v>135</v>
      </c>
      <c r="F1125" t="s">
        <v>9</v>
      </c>
      <c r="G1125" t="s">
        <v>857</v>
      </c>
    </row>
    <row r="1126" spans="1:7" x14ac:dyDescent="0.3">
      <c r="A1126">
        <v>1124</v>
      </c>
      <c r="B1126" t="s">
        <v>1141</v>
      </c>
      <c r="C1126" t="s">
        <v>1129</v>
      </c>
      <c r="D1126">
        <v>420</v>
      </c>
      <c r="E1126">
        <v>385</v>
      </c>
      <c r="F1126" t="s">
        <v>15</v>
      </c>
      <c r="G1126" t="s">
        <v>857</v>
      </c>
    </row>
    <row r="1127" spans="1:7" x14ac:dyDescent="0.3">
      <c r="A1127">
        <v>1125</v>
      </c>
      <c r="B1127" t="s">
        <v>1142</v>
      </c>
      <c r="C1127" t="s">
        <v>1139</v>
      </c>
      <c r="D1127">
        <v>260</v>
      </c>
      <c r="E1127">
        <v>235</v>
      </c>
      <c r="F1127" t="s">
        <v>9</v>
      </c>
      <c r="G1127" t="s">
        <v>857</v>
      </c>
    </row>
    <row r="1128" spans="1:7" x14ac:dyDescent="0.3">
      <c r="A1128">
        <v>1126</v>
      </c>
      <c r="B1128" t="s">
        <v>1142</v>
      </c>
      <c r="C1128" t="s">
        <v>1139</v>
      </c>
      <c r="D1128">
        <v>379</v>
      </c>
      <c r="E1128">
        <v>338</v>
      </c>
      <c r="F1128" t="s">
        <v>992</v>
      </c>
      <c r="G1128" t="s">
        <v>857</v>
      </c>
    </row>
    <row r="1129" spans="1:7" x14ac:dyDescent="0.3">
      <c r="A1129">
        <v>1127</v>
      </c>
      <c r="B1129" t="s">
        <v>1142</v>
      </c>
      <c r="C1129" t="s">
        <v>1139</v>
      </c>
      <c r="D1129">
        <v>490</v>
      </c>
      <c r="E1129">
        <v>439</v>
      </c>
      <c r="F1129" t="s">
        <v>15</v>
      </c>
      <c r="G1129" t="s">
        <v>857</v>
      </c>
    </row>
    <row r="1130" spans="1:7" x14ac:dyDescent="0.3">
      <c r="A1130">
        <v>1128</v>
      </c>
      <c r="B1130" t="s">
        <v>1143</v>
      </c>
      <c r="C1130" t="s">
        <v>1144</v>
      </c>
      <c r="D1130">
        <v>540</v>
      </c>
      <c r="E1130">
        <v>399</v>
      </c>
      <c r="F1130" t="s">
        <v>15</v>
      </c>
      <c r="G1130" t="s">
        <v>857</v>
      </c>
    </row>
    <row r="1131" spans="1:7" x14ac:dyDescent="0.3">
      <c r="A1131">
        <v>1129</v>
      </c>
      <c r="B1131" t="s">
        <v>1143</v>
      </c>
      <c r="C1131" t="s">
        <v>1144</v>
      </c>
      <c r="D1131">
        <v>289</v>
      </c>
      <c r="E1131">
        <v>250</v>
      </c>
      <c r="F1131" t="s">
        <v>9</v>
      </c>
      <c r="G1131" t="s">
        <v>857</v>
      </c>
    </row>
    <row r="1132" spans="1:7" x14ac:dyDescent="0.3">
      <c r="A1132">
        <v>1130</v>
      </c>
      <c r="B1132" t="s">
        <v>1145</v>
      </c>
      <c r="C1132" t="s">
        <v>1133</v>
      </c>
      <c r="D1132">
        <v>599</v>
      </c>
      <c r="E1132">
        <v>505</v>
      </c>
      <c r="F1132" t="s">
        <v>76</v>
      </c>
      <c r="G1132" t="s">
        <v>857</v>
      </c>
    </row>
    <row r="1133" spans="1:7" x14ac:dyDescent="0.3">
      <c r="A1133">
        <v>1131</v>
      </c>
      <c r="B1133" t="s">
        <v>1146</v>
      </c>
      <c r="C1133" t="s">
        <v>1131</v>
      </c>
      <c r="D1133">
        <v>1375</v>
      </c>
      <c r="E1133">
        <v>1275</v>
      </c>
      <c r="F1133" t="s">
        <v>15</v>
      </c>
      <c r="G1133" t="s">
        <v>857</v>
      </c>
    </row>
    <row r="1134" spans="1:7" x14ac:dyDescent="0.3">
      <c r="A1134">
        <v>1132</v>
      </c>
      <c r="B1134" t="s">
        <v>1147</v>
      </c>
      <c r="C1134" t="s">
        <v>1139</v>
      </c>
      <c r="D1134">
        <v>325</v>
      </c>
      <c r="E1134">
        <v>265</v>
      </c>
      <c r="F1134" t="s">
        <v>76</v>
      </c>
      <c r="G1134" t="s">
        <v>857</v>
      </c>
    </row>
    <row r="1135" spans="1:7" x14ac:dyDescent="0.3">
      <c r="A1135">
        <v>1133</v>
      </c>
      <c r="B1135" t="s">
        <v>1148</v>
      </c>
      <c r="C1135" t="s">
        <v>1139</v>
      </c>
      <c r="D1135">
        <v>325</v>
      </c>
      <c r="E1135">
        <v>270</v>
      </c>
      <c r="F1135" t="s">
        <v>76</v>
      </c>
      <c r="G1135" t="s">
        <v>857</v>
      </c>
    </row>
    <row r="1136" spans="1:7" x14ac:dyDescent="0.3">
      <c r="A1136">
        <v>1134</v>
      </c>
      <c r="B1136" t="s">
        <v>1149</v>
      </c>
      <c r="C1136" t="s">
        <v>1150</v>
      </c>
      <c r="D1136">
        <v>219</v>
      </c>
      <c r="E1136">
        <v>203</v>
      </c>
      <c r="F1136" t="s">
        <v>9</v>
      </c>
      <c r="G1136" t="s">
        <v>857</v>
      </c>
    </row>
    <row r="1137" spans="1:7" x14ac:dyDescent="0.3">
      <c r="A1137">
        <v>1135</v>
      </c>
      <c r="B1137" t="s">
        <v>1151</v>
      </c>
      <c r="C1137" t="s">
        <v>994</v>
      </c>
      <c r="D1137">
        <v>75</v>
      </c>
      <c r="E1137">
        <v>39</v>
      </c>
      <c r="F1137" t="s">
        <v>76</v>
      </c>
      <c r="G1137" t="s">
        <v>867</v>
      </c>
    </row>
    <row r="1138" spans="1:7" x14ac:dyDescent="0.3">
      <c r="A1138">
        <v>1136</v>
      </c>
      <c r="B1138" t="s">
        <v>1152</v>
      </c>
      <c r="C1138" t="s">
        <v>438</v>
      </c>
      <c r="D1138">
        <v>42</v>
      </c>
      <c r="E1138">
        <v>39</v>
      </c>
      <c r="F1138" t="s">
        <v>76</v>
      </c>
      <c r="G1138" t="s">
        <v>867</v>
      </c>
    </row>
    <row r="1139" spans="1:7" x14ac:dyDescent="0.3">
      <c r="A1139">
        <v>1137</v>
      </c>
      <c r="B1139" t="s">
        <v>1153</v>
      </c>
      <c r="C1139" t="s">
        <v>1154</v>
      </c>
      <c r="D1139">
        <v>180</v>
      </c>
      <c r="E1139">
        <v>162</v>
      </c>
      <c r="F1139" t="s">
        <v>12</v>
      </c>
      <c r="G1139" t="s">
        <v>857</v>
      </c>
    </row>
    <row r="1140" spans="1:7" x14ac:dyDescent="0.3">
      <c r="A1140">
        <v>1138</v>
      </c>
      <c r="B1140" t="s">
        <v>1155</v>
      </c>
      <c r="C1140" t="s">
        <v>1108</v>
      </c>
      <c r="D1140">
        <v>78</v>
      </c>
      <c r="E1140">
        <v>58</v>
      </c>
      <c r="F1140" t="s">
        <v>76</v>
      </c>
      <c r="G1140" t="s">
        <v>867</v>
      </c>
    </row>
    <row r="1141" spans="1:7" x14ac:dyDescent="0.3">
      <c r="A1141">
        <v>1139</v>
      </c>
      <c r="B1141" t="s">
        <v>1156</v>
      </c>
      <c r="C1141" t="s">
        <v>1131</v>
      </c>
      <c r="D1141">
        <v>590</v>
      </c>
      <c r="E1141">
        <v>545</v>
      </c>
      <c r="F1141" t="s">
        <v>76</v>
      </c>
      <c r="G1141" t="s">
        <v>857</v>
      </c>
    </row>
    <row r="1142" spans="1:7" x14ac:dyDescent="0.3">
      <c r="A1142">
        <v>1140</v>
      </c>
      <c r="B1142" t="s">
        <v>1156</v>
      </c>
      <c r="C1142" t="s">
        <v>1131</v>
      </c>
      <c r="D1142">
        <v>1080</v>
      </c>
      <c r="E1142">
        <v>975</v>
      </c>
      <c r="F1142" t="s">
        <v>992</v>
      </c>
      <c r="G1142" t="s">
        <v>857</v>
      </c>
    </row>
    <row r="1143" spans="1:7" x14ac:dyDescent="0.3">
      <c r="A1143">
        <v>1141</v>
      </c>
      <c r="B1143" t="s">
        <v>1157</v>
      </c>
      <c r="C1143" t="s">
        <v>1158</v>
      </c>
      <c r="D1143">
        <v>615</v>
      </c>
      <c r="E1143">
        <v>555</v>
      </c>
      <c r="F1143" t="s">
        <v>76</v>
      </c>
      <c r="G1143" t="s">
        <v>857</v>
      </c>
    </row>
    <row r="1144" spans="1:7" x14ac:dyDescent="0.3">
      <c r="A1144">
        <v>1142</v>
      </c>
      <c r="B1144" t="s">
        <v>1159</v>
      </c>
      <c r="C1144" t="s">
        <v>1139</v>
      </c>
      <c r="D1144">
        <v>270</v>
      </c>
      <c r="E1144">
        <v>249</v>
      </c>
      <c r="F1144" t="s">
        <v>9</v>
      </c>
      <c r="G1144" t="s">
        <v>857</v>
      </c>
    </row>
    <row r="1145" spans="1:7" x14ac:dyDescent="0.3">
      <c r="A1145">
        <v>1143</v>
      </c>
      <c r="B1145" t="s">
        <v>1160</v>
      </c>
      <c r="C1145" t="s">
        <v>1144</v>
      </c>
      <c r="D1145">
        <v>325</v>
      </c>
      <c r="E1145">
        <v>295</v>
      </c>
      <c r="F1145" t="s">
        <v>9</v>
      </c>
      <c r="G1145" t="s">
        <v>857</v>
      </c>
    </row>
    <row r="1146" spans="1:7" x14ac:dyDescent="0.3">
      <c r="A1146">
        <v>1144</v>
      </c>
      <c r="B1146" t="s">
        <v>1161</v>
      </c>
      <c r="C1146" t="s">
        <v>1139</v>
      </c>
      <c r="D1146">
        <v>245</v>
      </c>
      <c r="E1146">
        <v>209</v>
      </c>
      <c r="F1146" t="s">
        <v>9</v>
      </c>
      <c r="G1146" t="s">
        <v>857</v>
      </c>
    </row>
    <row r="1147" spans="1:7" x14ac:dyDescent="0.3">
      <c r="A1147">
        <v>1145</v>
      </c>
      <c r="B1147" t="s">
        <v>1162</v>
      </c>
      <c r="C1147" t="s">
        <v>1133</v>
      </c>
      <c r="D1147">
        <v>399</v>
      </c>
      <c r="E1147">
        <v>350</v>
      </c>
      <c r="F1147" t="s">
        <v>107</v>
      </c>
      <c r="G1147" t="s">
        <v>857</v>
      </c>
    </row>
    <row r="1148" spans="1:7" x14ac:dyDescent="0.3">
      <c r="A1148">
        <v>1146</v>
      </c>
      <c r="B1148" t="s">
        <v>1163</v>
      </c>
      <c r="C1148" t="s">
        <v>1139</v>
      </c>
      <c r="D1148">
        <v>239</v>
      </c>
      <c r="E1148">
        <v>201</v>
      </c>
      <c r="F1148" t="s">
        <v>9</v>
      </c>
      <c r="G1148" t="s">
        <v>857</v>
      </c>
    </row>
    <row r="1149" spans="1:7" x14ac:dyDescent="0.3">
      <c r="A1149">
        <v>1147</v>
      </c>
      <c r="B1149" t="s">
        <v>1164</v>
      </c>
      <c r="C1149" t="s">
        <v>1165</v>
      </c>
      <c r="D1149">
        <v>285</v>
      </c>
      <c r="E1149">
        <v>255</v>
      </c>
      <c r="F1149" t="s">
        <v>1166</v>
      </c>
      <c r="G1149" t="s">
        <v>857</v>
      </c>
    </row>
    <row r="1150" spans="1:7" x14ac:dyDescent="0.3">
      <c r="A1150">
        <v>1148</v>
      </c>
      <c r="B1150" t="s">
        <v>1167</v>
      </c>
      <c r="C1150" t="s">
        <v>438</v>
      </c>
      <c r="D1150">
        <v>58</v>
      </c>
      <c r="E1150">
        <v>46</v>
      </c>
      <c r="F1150" t="s">
        <v>76</v>
      </c>
      <c r="G1150" t="s">
        <v>867</v>
      </c>
    </row>
    <row r="1151" spans="1:7" x14ac:dyDescent="0.3">
      <c r="A1151">
        <v>1149</v>
      </c>
      <c r="B1151" t="s">
        <v>1168</v>
      </c>
      <c r="C1151" t="s">
        <v>446</v>
      </c>
      <c r="D1151">
        <v>75</v>
      </c>
      <c r="E1151">
        <v>68</v>
      </c>
      <c r="F1151" t="s">
        <v>76</v>
      </c>
      <c r="G1151" t="s">
        <v>867</v>
      </c>
    </row>
    <row r="1152" spans="1:7" x14ac:dyDescent="0.3">
      <c r="A1152">
        <v>1150</v>
      </c>
      <c r="B1152" t="s">
        <v>1169</v>
      </c>
      <c r="C1152" t="s">
        <v>1170</v>
      </c>
      <c r="D1152">
        <v>2300</v>
      </c>
      <c r="E1152">
        <v>1299</v>
      </c>
      <c r="F1152" t="s">
        <v>15</v>
      </c>
      <c r="G1152" t="s">
        <v>857</v>
      </c>
    </row>
    <row r="1153" spans="1:7" x14ac:dyDescent="0.3">
      <c r="A1153">
        <v>1151</v>
      </c>
      <c r="B1153" t="s">
        <v>1171</v>
      </c>
      <c r="C1153" t="s">
        <v>1165</v>
      </c>
      <c r="D1153">
        <v>200</v>
      </c>
      <c r="E1153">
        <v>174</v>
      </c>
      <c r="F1153" t="s">
        <v>201</v>
      </c>
      <c r="G1153" t="s">
        <v>857</v>
      </c>
    </row>
    <row r="1154" spans="1:7" x14ac:dyDescent="0.3">
      <c r="A1154">
        <v>1152</v>
      </c>
      <c r="B1154" t="s">
        <v>1172</v>
      </c>
      <c r="C1154" t="s">
        <v>1173</v>
      </c>
      <c r="D1154">
        <v>299</v>
      </c>
      <c r="E1154">
        <v>149</v>
      </c>
      <c r="F1154" t="s">
        <v>12</v>
      </c>
      <c r="G1154" t="s">
        <v>857</v>
      </c>
    </row>
    <row r="1155" spans="1:7" x14ac:dyDescent="0.3">
      <c r="A1155">
        <v>1153</v>
      </c>
      <c r="B1155" t="s">
        <v>1174</v>
      </c>
      <c r="C1155" t="s">
        <v>1173</v>
      </c>
      <c r="D1155">
        <v>299</v>
      </c>
      <c r="E1155">
        <v>124</v>
      </c>
      <c r="F1155" t="s">
        <v>12</v>
      </c>
      <c r="G1155" t="s">
        <v>857</v>
      </c>
    </row>
    <row r="1156" spans="1:7" x14ac:dyDescent="0.3">
      <c r="A1156">
        <v>1154</v>
      </c>
      <c r="B1156" t="s">
        <v>1175</v>
      </c>
      <c r="C1156" t="s">
        <v>1139</v>
      </c>
      <c r="D1156">
        <v>115</v>
      </c>
      <c r="E1156">
        <v>106</v>
      </c>
      <c r="F1156" t="s">
        <v>12</v>
      </c>
      <c r="G1156" t="s">
        <v>857</v>
      </c>
    </row>
    <row r="1157" spans="1:7" x14ac:dyDescent="0.3">
      <c r="A1157">
        <v>1155</v>
      </c>
      <c r="B1157" t="s">
        <v>1176</v>
      </c>
      <c r="C1157" t="s">
        <v>518</v>
      </c>
      <c r="D1157">
        <v>70</v>
      </c>
      <c r="E1157">
        <v>58</v>
      </c>
      <c r="F1157" t="s">
        <v>216</v>
      </c>
      <c r="G1157" t="s">
        <v>857</v>
      </c>
    </row>
    <row r="1158" spans="1:7" x14ac:dyDescent="0.3">
      <c r="A1158">
        <v>1156</v>
      </c>
      <c r="B1158" t="s">
        <v>1177</v>
      </c>
      <c r="C1158" t="s">
        <v>1178</v>
      </c>
      <c r="D1158">
        <v>99</v>
      </c>
      <c r="E1158">
        <v>66</v>
      </c>
      <c r="F1158" t="s">
        <v>1179</v>
      </c>
      <c r="G1158" t="s">
        <v>857</v>
      </c>
    </row>
    <row r="1159" spans="1:7" x14ac:dyDescent="0.3">
      <c r="A1159">
        <v>1157</v>
      </c>
      <c r="B1159" t="s">
        <v>1180</v>
      </c>
      <c r="C1159" t="s">
        <v>1181</v>
      </c>
      <c r="D1159">
        <v>38</v>
      </c>
      <c r="E1159">
        <v>33</v>
      </c>
      <c r="F1159" t="s">
        <v>1182</v>
      </c>
      <c r="G1159" t="s">
        <v>857</v>
      </c>
    </row>
    <row r="1160" spans="1:7" x14ac:dyDescent="0.3">
      <c r="A1160">
        <v>1158</v>
      </c>
      <c r="B1160" t="s">
        <v>1180</v>
      </c>
      <c r="C1160" t="s">
        <v>1181</v>
      </c>
      <c r="D1160">
        <v>90</v>
      </c>
      <c r="E1160">
        <v>59</v>
      </c>
      <c r="F1160" t="s">
        <v>1183</v>
      </c>
      <c r="G1160" t="s">
        <v>857</v>
      </c>
    </row>
    <row r="1161" spans="1:7" x14ac:dyDescent="0.3">
      <c r="A1161">
        <v>1159</v>
      </c>
      <c r="B1161" t="s">
        <v>1184</v>
      </c>
      <c r="C1161" t="s">
        <v>1184</v>
      </c>
      <c r="D1161">
        <v>90</v>
      </c>
      <c r="E1161">
        <v>59</v>
      </c>
      <c r="F1161" t="s">
        <v>1183</v>
      </c>
      <c r="G1161" t="s">
        <v>857</v>
      </c>
    </row>
    <row r="1162" spans="1:7" x14ac:dyDescent="0.3">
      <c r="A1162">
        <v>1160</v>
      </c>
      <c r="B1162" t="s">
        <v>1184</v>
      </c>
      <c r="C1162" t="s">
        <v>1184</v>
      </c>
      <c r="D1162">
        <v>38</v>
      </c>
      <c r="E1162">
        <v>33</v>
      </c>
      <c r="F1162" t="s">
        <v>1182</v>
      </c>
      <c r="G1162" t="s">
        <v>857</v>
      </c>
    </row>
    <row r="1163" spans="1:7" x14ac:dyDescent="0.3">
      <c r="A1163">
        <v>1161</v>
      </c>
      <c r="B1163" t="s">
        <v>1185</v>
      </c>
      <c r="C1163" t="s">
        <v>1180</v>
      </c>
      <c r="D1163">
        <v>160</v>
      </c>
      <c r="E1163">
        <v>145</v>
      </c>
      <c r="F1163" t="s">
        <v>1186</v>
      </c>
      <c r="G1163" t="s">
        <v>857</v>
      </c>
    </row>
    <row r="1164" spans="1:7" x14ac:dyDescent="0.3">
      <c r="A1164">
        <v>1162</v>
      </c>
      <c r="B1164" t="s">
        <v>1184</v>
      </c>
      <c r="C1164" t="s">
        <v>1184</v>
      </c>
      <c r="D1164">
        <v>160</v>
      </c>
      <c r="E1164">
        <v>135</v>
      </c>
      <c r="F1164" t="s">
        <v>1186</v>
      </c>
      <c r="G1164" t="s">
        <v>857</v>
      </c>
    </row>
    <row r="1165" spans="1:7" x14ac:dyDescent="0.3">
      <c r="A1165">
        <v>1163</v>
      </c>
      <c r="B1165" t="s">
        <v>1187</v>
      </c>
      <c r="C1165" t="s">
        <v>1188</v>
      </c>
      <c r="D1165">
        <v>160</v>
      </c>
      <c r="E1165">
        <v>130</v>
      </c>
      <c r="F1165" t="s">
        <v>1186</v>
      </c>
      <c r="G1165" t="s">
        <v>857</v>
      </c>
    </row>
    <row r="1166" spans="1:7" x14ac:dyDescent="0.3">
      <c r="A1166">
        <v>1164</v>
      </c>
      <c r="B1166" t="s">
        <v>1189</v>
      </c>
      <c r="C1166" t="s">
        <v>1189</v>
      </c>
      <c r="D1166">
        <v>99</v>
      </c>
      <c r="E1166">
        <v>66</v>
      </c>
      <c r="F1166" t="s">
        <v>1179</v>
      </c>
      <c r="G1166" t="s">
        <v>857</v>
      </c>
    </row>
    <row r="1167" spans="1:7" x14ac:dyDescent="0.3">
      <c r="A1167">
        <v>1165</v>
      </c>
      <c r="B1167" t="s">
        <v>1190</v>
      </c>
      <c r="C1167" t="s">
        <v>1191</v>
      </c>
      <c r="D1167">
        <v>99</v>
      </c>
      <c r="E1167">
        <v>74</v>
      </c>
      <c r="F1167" t="s">
        <v>1179</v>
      </c>
      <c r="G1167" t="s">
        <v>857</v>
      </c>
    </row>
    <row r="1168" spans="1:7" x14ac:dyDescent="0.3">
      <c r="A1168">
        <v>1166</v>
      </c>
      <c r="B1168" t="s">
        <v>1192</v>
      </c>
      <c r="C1168" t="s">
        <v>1193</v>
      </c>
      <c r="D1168">
        <v>20</v>
      </c>
      <c r="E1168">
        <v>10</v>
      </c>
      <c r="F1168" t="s">
        <v>1194</v>
      </c>
      <c r="G1168" t="s">
        <v>857</v>
      </c>
    </row>
    <row r="1169" spans="1:7" x14ac:dyDescent="0.3">
      <c r="A1169">
        <v>1167</v>
      </c>
      <c r="B1169" t="s">
        <v>1195</v>
      </c>
      <c r="C1169" t="s">
        <v>1195</v>
      </c>
      <c r="D1169">
        <v>99</v>
      </c>
      <c r="E1169">
        <v>66</v>
      </c>
      <c r="F1169" t="s">
        <v>1179</v>
      </c>
      <c r="G1169" t="s">
        <v>857</v>
      </c>
    </row>
    <row r="1170" spans="1:7" x14ac:dyDescent="0.3">
      <c r="A1170">
        <v>1168</v>
      </c>
      <c r="B1170" t="s">
        <v>1188</v>
      </c>
      <c r="C1170" t="s">
        <v>1188</v>
      </c>
      <c r="D1170">
        <v>90</v>
      </c>
      <c r="E1170">
        <v>59</v>
      </c>
      <c r="F1170" t="s">
        <v>1183</v>
      </c>
      <c r="G1170" t="s">
        <v>857</v>
      </c>
    </row>
    <row r="1171" spans="1:7" x14ac:dyDescent="0.3">
      <c r="A1171">
        <v>1169</v>
      </c>
      <c r="B1171" t="s">
        <v>1196</v>
      </c>
      <c r="C1171" t="s">
        <v>1196</v>
      </c>
      <c r="D1171">
        <v>99</v>
      </c>
      <c r="E1171">
        <v>74</v>
      </c>
      <c r="F1171" t="s">
        <v>1179</v>
      </c>
      <c r="G1171" t="s">
        <v>857</v>
      </c>
    </row>
    <row r="1172" spans="1:7" x14ac:dyDescent="0.3">
      <c r="A1172">
        <v>1170</v>
      </c>
      <c r="B1172" t="s">
        <v>1190</v>
      </c>
      <c r="C1172" t="s">
        <v>1191</v>
      </c>
      <c r="D1172">
        <v>160</v>
      </c>
      <c r="E1172">
        <v>135</v>
      </c>
      <c r="F1172" t="s">
        <v>1186</v>
      </c>
      <c r="G1172" t="s">
        <v>857</v>
      </c>
    </row>
    <row r="1173" spans="1:7" x14ac:dyDescent="0.3">
      <c r="A1173">
        <v>1171</v>
      </c>
      <c r="B1173" t="s">
        <v>1197</v>
      </c>
      <c r="C1173" t="s">
        <v>1198</v>
      </c>
      <c r="D1173">
        <v>60</v>
      </c>
      <c r="E1173">
        <v>45</v>
      </c>
      <c r="F1173" t="s">
        <v>246</v>
      </c>
      <c r="G1173" t="s">
        <v>857</v>
      </c>
    </row>
    <row r="1174" spans="1:7" x14ac:dyDescent="0.3">
      <c r="A1174">
        <v>1172</v>
      </c>
      <c r="B1174" t="s">
        <v>1197</v>
      </c>
      <c r="C1174" t="s">
        <v>1198</v>
      </c>
      <c r="D1174">
        <v>100</v>
      </c>
      <c r="E1174">
        <v>75</v>
      </c>
      <c r="F1174" t="s">
        <v>394</v>
      </c>
      <c r="G1174" t="s">
        <v>857</v>
      </c>
    </row>
    <row r="1175" spans="1:7" x14ac:dyDescent="0.3">
      <c r="A1175">
        <v>1173</v>
      </c>
      <c r="B1175" t="s">
        <v>1199</v>
      </c>
      <c r="C1175" t="s">
        <v>1188</v>
      </c>
      <c r="D1175">
        <v>40</v>
      </c>
      <c r="E1175">
        <v>36</v>
      </c>
      <c r="F1175" t="s">
        <v>1200</v>
      </c>
      <c r="G1175" t="s">
        <v>857</v>
      </c>
    </row>
    <row r="1176" spans="1:7" x14ac:dyDescent="0.3">
      <c r="A1176">
        <v>1174</v>
      </c>
      <c r="B1176" t="s">
        <v>1201</v>
      </c>
      <c r="C1176" t="s">
        <v>1202</v>
      </c>
      <c r="D1176">
        <v>20</v>
      </c>
      <c r="E1176">
        <v>17</v>
      </c>
      <c r="F1176" t="s">
        <v>1194</v>
      </c>
      <c r="G1176" t="s">
        <v>857</v>
      </c>
    </row>
    <row r="1177" spans="1:7" x14ac:dyDescent="0.3">
      <c r="A1177">
        <v>1175</v>
      </c>
      <c r="B1177" t="s">
        <v>1203</v>
      </c>
      <c r="C1177" t="s">
        <v>1204</v>
      </c>
      <c r="D1177">
        <v>474</v>
      </c>
      <c r="E1177">
        <v>317</v>
      </c>
      <c r="F1177" t="s">
        <v>1205</v>
      </c>
      <c r="G1177" t="s">
        <v>857</v>
      </c>
    </row>
    <row r="1178" spans="1:7" x14ac:dyDescent="0.3">
      <c r="A1178">
        <v>1176</v>
      </c>
      <c r="B1178" t="s">
        <v>1206</v>
      </c>
      <c r="C1178" t="s">
        <v>1207</v>
      </c>
      <c r="D1178">
        <v>90</v>
      </c>
      <c r="E1178">
        <v>55</v>
      </c>
      <c r="F1178" t="s">
        <v>1208</v>
      </c>
      <c r="G1178" t="s">
        <v>857</v>
      </c>
    </row>
    <row r="1179" spans="1:7" x14ac:dyDescent="0.3">
      <c r="A1179">
        <v>1177</v>
      </c>
      <c r="B1179" t="s">
        <v>1189</v>
      </c>
      <c r="C1179" t="s">
        <v>1189</v>
      </c>
      <c r="D1179">
        <v>40</v>
      </c>
      <c r="E1179">
        <v>35</v>
      </c>
      <c r="F1179" t="s">
        <v>1209</v>
      </c>
      <c r="G1179" t="s">
        <v>857</v>
      </c>
    </row>
    <row r="1180" spans="1:7" x14ac:dyDescent="0.3">
      <c r="A1180">
        <v>1178</v>
      </c>
      <c r="B1180" t="s">
        <v>1210</v>
      </c>
      <c r="C1180" t="s">
        <v>1211</v>
      </c>
      <c r="D1180">
        <v>50</v>
      </c>
      <c r="E1180">
        <v>25</v>
      </c>
      <c r="F1180" t="s">
        <v>1200</v>
      </c>
      <c r="G1180" t="s">
        <v>857</v>
      </c>
    </row>
    <row r="1181" spans="1:7" x14ac:dyDescent="0.3">
      <c r="A1181">
        <v>1179</v>
      </c>
      <c r="B1181" t="s">
        <v>1212</v>
      </c>
      <c r="C1181" t="s">
        <v>1204</v>
      </c>
      <c r="D1181">
        <v>474</v>
      </c>
      <c r="E1181">
        <v>317</v>
      </c>
      <c r="F1181" t="s">
        <v>1205</v>
      </c>
      <c r="G1181" t="s">
        <v>857</v>
      </c>
    </row>
    <row r="1182" spans="1:7" x14ac:dyDescent="0.3">
      <c r="A1182">
        <v>1180</v>
      </c>
      <c r="B1182" t="s">
        <v>1213</v>
      </c>
      <c r="C1182" t="s">
        <v>964</v>
      </c>
      <c r="D1182">
        <v>55</v>
      </c>
      <c r="E1182">
        <v>39</v>
      </c>
      <c r="F1182" t="s">
        <v>1118</v>
      </c>
      <c r="G1182" t="s">
        <v>867</v>
      </c>
    </row>
    <row r="1183" spans="1:7" x14ac:dyDescent="0.3">
      <c r="A1183">
        <v>1181</v>
      </c>
      <c r="B1183" t="s">
        <v>1212</v>
      </c>
      <c r="C1183" t="s">
        <v>1204</v>
      </c>
      <c r="D1183">
        <v>79</v>
      </c>
      <c r="E1183">
        <v>49</v>
      </c>
      <c r="F1183" t="s">
        <v>1208</v>
      </c>
      <c r="G1183" t="s">
        <v>857</v>
      </c>
    </row>
    <row r="1184" spans="1:7" x14ac:dyDescent="0.3">
      <c r="A1184">
        <v>1182</v>
      </c>
      <c r="B1184" t="s">
        <v>1214</v>
      </c>
      <c r="C1184" t="s">
        <v>1211</v>
      </c>
      <c r="D1184">
        <v>50</v>
      </c>
      <c r="E1184">
        <v>25</v>
      </c>
      <c r="F1184" t="s">
        <v>1200</v>
      </c>
      <c r="G1184" t="s">
        <v>857</v>
      </c>
    </row>
    <row r="1185" spans="1:7" x14ac:dyDescent="0.3">
      <c r="A1185">
        <v>1183</v>
      </c>
      <c r="B1185" t="s">
        <v>1215</v>
      </c>
      <c r="C1185" t="s">
        <v>964</v>
      </c>
      <c r="D1185">
        <v>55</v>
      </c>
      <c r="E1185">
        <v>35</v>
      </c>
      <c r="F1185" t="s">
        <v>1118</v>
      </c>
      <c r="G1185" t="s">
        <v>867</v>
      </c>
    </row>
    <row r="1186" spans="1:7" x14ac:dyDescent="0.3">
      <c r="A1186">
        <v>1184</v>
      </c>
      <c r="B1186" t="s">
        <v>1216</v>
      </c>
      <c r="C1186" t="s">
        <v>1211</v>
      </c>
      <c r="D1186">
        <v>50</v>
      </c>
      <c r="E1186">
        <v>25</v>
      </c>
      <c r="F1186" t="s">
        <v>1200</v>
      </c>
      <c r="G1186" t="s">
        <v>857</v>
      </c>
    </row>
    <row r="1187" spans="1:7" x14ac:dyDescent="0.3">
      <c r="A1187">
        <v>1185</v>
      </c>
      <c r="B1187" t="s">
        <v>1217</v>
      </c>
      <c r="C1187" t="s">
        <v>964</v>
      </c>
      <c r="D1187">
        <v>55</v>
      </c>
      <c r="E1187">
        <v>35</v>
      </c>
      <c r="F1187" t="s">
        <v>1118</v>
      </c>
      <c r="G1187" t="s">
        <v>867</v>
      </c>
    </row>
    <row r="1188" spans="1:7" x14ac:dyDescent="0.3">
      <c r="A1188">
        <v>1186</v>
      </c>
      <c r="B1188" t="s">
        <v>1218</v>
      </c>
      <c r="C1188" t="s">
        <v>1193</v>
      </c>
      <c r="D1188">
        <v>40</v>
      </c>
      <c r="E1188">
        <v>25</v>
      </c>
      <c r="F1188" t="s">
        <v>1182</v>
      </c>
      <c r="G1188" t="s">
        <v>857</v>
      </c>
    </row>
    <row r="1189" spans="1:7" x14ac:dyDescent="0.3">
      <c r="A1189">
        <v>1187</v>
      </c>
      <c r="B1189" t="s">
        <v>1219</v>
      </c>
      <c r="C1189" t="s">
        <v>1188</v>
      </c>
      <c r="D1189">
        <v>40</v>
      </c>
      <c r="E1189">
        <v>35</v>
      </c>
      <c r="F1189" t="s">
        <v>1200</v>
      </c>
      <c r="G1189" t="s">
        <v>857</v>
      </c>
    </row>
    <row r="1190" spans="1:7" x14ac:dyDescent="0.3">
      <c r="A1190">
        <v>1188</v>
      </c>
      <c r="B1190" t="s">
        <v>1220</v>
      </c>
      <c r="C1190" t="s">
        <v>1211</v>
      </c>
      <c r="D1190">
        <v>50</v>
      </c>
      <c r="E1190">
        <v>25</v>
      </c>
      <c r="F1190" t="s">
        <v>1200</v>
      </c>
      <c r="G1190" t="s">
        <v>857</v>
      </c>
    </row>
    <row r="1191" spans="1:7" x14ac:dyDescent="0.3">
      <c r="A1191">
        <v>1189</v>
      </c>
      <c r="B1191" t="s">
        <v>1221</v>
      </c>
      <c r="C1191" t="s">
        <v>1204</v>
      </c>
      <c r="D1191">
        <v>79</v>
      </c>
      <c r="E1191">
        <v>52</v>
      </c>
      <c r="F1191" t="s">
        <v>1208</v>
      </c>
      <c r="G1191" t="s">
        <v>857</v>
      </c>
    </row>
    <row r="1192" spans="1:7" x14ac:dyDescent="0.3">
      <c r="A1192">
        <v>1190</v>
      </c>
      <c r="B1192" t="s">
        <v>1222</v>
      </c>
      <c r="C1192" t="s">
        <v>964</v>
      </c>
      <c r="D1192">
        <v>55</v>
      </c>
      <c r="E1192">
        <v>40</v>
      </c>
      <c r="F1192" t="s">
        <v>1118</v>
      </c>
      <c r="G1192" t="s">
        <v>867</v>
      </c>
    </row>
    <row r="1193" spans="1:7" x14ac:dyDescent="0.3">
      <c r="A1193">
        <v>1191</v>
      </c>
      <c r="B1193" t="s">
        <v>1223</v>
      </c>
      <c r="C1193" t="s">
        <v>1211</v>
      </c>
      <c r="D1193">
        <v>50</v>
      </c>
      <c r="E1193">
        <v>25</v>
      </c>
      <c r="F1193" t="s">
        <v>1200</v>
      </c>
      <c r="G1193" t="s">
        <v>857</v>
      </c>
    </row>
    <row r="1194" spans="1:7" x14ac:dyDescent="0.3">
      <c r="A1194">
        <v>1192</v>
      </c>
      <c r="B1194" t="s">
        <v>1224</v>
      </c>
      <c r="C1194" t="s">
        <v>964</v>
      </c>
      <c r="D1194">
        <v>55</v>
      </c>
      <c r="E1194">
        <v>44</v>
      </c>
      <c r="F1194" t="s">
        <v>1118</v>
      </c>
      <c r="G1194" t="s">
        <v>867</v>
      </c>
    </row>
    <row r="1195" spans="1:7" x14ac:dyDescent="0.3">
      <c r="A1195">
        <v>1193</v>
      </c>
      <c r="B1195" t="s">
        <v>1225</v>
      </c>
      <c r="C1195" t="s">
        <v>17</v>
      </c>
      <c r="D1195">
        <v>40</v>
      </c>
      <c r="E1195">
        <v>36</v>
      </c>
      <c r="F1195" t="s">
        <v>1200</v>
      </c>
      <c r="G1195" t="s">
        <v>857</v>
      </c>
    </row>
    <row r="1196" spans="1:7" x14ac:dyDescent="0.3">
      <c r="A1196">
        <v>1194</v>
      </c>
      <c r="B1196" t="s">
        <v>1226</v>
      </c>
      <c r="C1196" t="s">
        <v>1204</v>
      </c>
      <c r="D1196">
        <v>79</v>
      </c>
      <c r="E1196">
        <v>52</v>
      </c>
      <c r="F1196" t="s">
        <v>1208</v>
      </c>
      <c r="G1196" t="s">
        <v>857</v>
      </c>
    </row>
    <row r="1197" spans="1:7" x14ac:dyDescent="0.3">
      <c r="A1197">
        <v>1195</v>
      </c>
      <c r="B1197" t="s">
        <v>1227</v>
      </c>
      <c r="C1197" t="s">
        <v>964</v>
      </c>
      <c r="D1197">
        <v>75</v>
      </c>
      <c r="E1197">
        <v>49</v>
      </c>
      <c r="F1197" t="s">
        <v>715</v>
      </c>
      <c r="G1197" t="s">
        <v>867</v>
      </c>
    </row>
    <row r="1198" spans="1:7" x14ac:dyDescent="0.3">
      <c r="A1198">
        <v>1196</v>
      </c>
      <c r="B1198" t="s">
        <v>1228</v>
      </c>
      <c r="C1198" t="s">
        <v>1193</v>
      </c>
      <c r="D1198">
        <v>40</v>
      </c>
      <c r="E1198">
        <v>25</v>
      </c>
      <c r="F1198" t="s">
        <v>1182</v>
      </c>
      <c r="G1198" t="s">
        <v>857</v>
      </c>
    </row>
    <row r="1199" spans="1:7" x14ac:dyDescent="0.3">
      <c r="A1199">
        <v>1197</v>
      </c>
      <c r="B1199" t="s">
        <v>1229</v>
      </c>
      <c r="C1199" t="s">
        <v>964</v>
      </c>
      <c r="D1199">
        <v>70</v>
      </c>
      <c r="E1199">
        <v>49</v>
      </c>
      <c r="F1199" t="s">
        <v>399</v>
      </c>
      <c r="G1199" t="s">
        <v>867</v>
      </c>
    </row>
    <row r="1200" spans="1:7" x14ac:dyDescent="0.3">
      <c r="A1200">
        <v>1198</v>
      </c>
      <c r="B1200" t="s">
        <v>1230</v>
      </c>
      <c r="C1200" t="s">
        <v>1204</v>
      </c>
      <c r="D1200">
        <v>79</v>
      </c>
      <c r="E1200">
        <v>52</v>
      </c>
      <c r="F1200" t="s">
        <v>1208</v>
      </c>
      <c r="G1200" t="s">
        <v>857</v>
      </c>
    </row>
    <row r="1201" spans="1:7" x14ac:dyDescent="0.3">
      <c r="A1201">
        <v>1199</v>
      </c>
      <c r="B1201" t="s">
        <v>1231</v>
      </c>
      <c r="C1201" t="s">
        <v>964</v>
      </c>
      <c r="D1201">
        <v>70</v>
      </c>
      <c r="E1201">
        <v>49</v>
      </c>
      <c r="F1201" t="s">
        <v>399</v>
      </c>
      <c r="G1201" t="s">
        <v>867</v>
      </c>
    </row>
    <row r="1202" spans="1:7" x14ac:dyDescent="0.3">
      <c r="A1202">
        <v>1200</v>
      </c>
      <c r="B1202" t="s">
        <v>1232</v>
      </c>
      <c r="C1202" t="s">
        <v>964</v>
      </c>
      <c r="D1202">
        <v>75</v>
      </c>
      <c r="E1202">
        <v>49</v>
      </c>
      <c r="F1202" t="s">
        <v>715</v>
      </c>
      <c r="G1202" t="s">
        <v>867</v>
      </c>
    </row>
    <row r="1203" spans="1:7" x14ac:dyDescent="0.3">
      <c r="A1203">
        <v>1201</v>
      </c>
      <c r="B1203" t="s">
        <v>1233</v>
      </c>
      <c r="C1203" t="s">
        <v>964</v>
      </c>
      <c r="D1203">
        <v>70</v>
      </c>
      <c r="E1203">
        <v>45</v>
      </c>
      <c r="F1203" t="s">
        <v>399</v>
      </c>
      <c r="G1203" t="s">
        <v>867</v>
      </c>
    </row>
    <row r="1204" spans="1:7" x14ac:dyDescent="0.3">
      <c r="A1204">
        <v>1202</v>
      </c>
      <c r="B1204" t="s">
        <v>1234</v>
      </c>
      <c r="C1204" t="s">
        <v>1235</v>
      </c>
      <c r="D1204">
        <v>50</v>
      </c>
      <c r="E1204">
        <v>40</v>
      </c>
      <c r="F1204" t="s">
        <v>1200</v>
      </c>
      <c r="G1204" t="s">
        <v>857</v>
      </c>
    </row>
    <row r="1205" spans="1:7" x14ac:dyDescent="0.3">
      <c r="A1205">
        <v>1203</v>
      </c>
      <c r="B1205" t="s">
        <v>1236</v>
      </c>
      <c r="C1205" t="s">
        <v>1235</v>
      </c>
      <c r="D1205">
        <v>50</v>
      </c>
      <c r="E1205">
        <v>40</v>
      </c>
      <c r="F1205" t="s">
        <v>1200</v>
      </c>
      <c r="G1205" t="s">
        <v>857</v>
      </c>
    </row>
    <row r="1206" spans="1:7" x14ac:dyDescent="0.3">
      <c r="A1206">
        <v>1204</v>
      </c>
      <c r="B1206" t="s">
        <v>1197</v>
      </c>
      <c r="C1206" t="s">
        <v>1237</v>
      </c>
      <c r="D1206">
        <v>20</v>
      </c>
      <c r="E1206">
        <v>17</v>
      </c>
      <c r="F1206" t="s">
        <v>1200</v>
      </c>
      <c r="G1206" t="s">
        <v>857</v>
      </c>
    </row>
    <row r="1207" spans="1:7" x14ac:dyDescent="0.3">
      <c r="A1207">
        <v>1205</v>
      </c>
      <c r="B1207" t="s">
        <v>1238</v>
      </c>
      <c r="C1207" t="s">
        <v>1239</v>
      </c>
      <c r="D1207">
        <v>50</v>
      </c>
      <c r="E1207">
        <v>25</v>
      </c>
      <c r="F1207" t="s">
        <v>391</v>
      </c>
      <c r="G1207" t="s">
        <v>857</v>
      </c>
    </row>
    <row r="1208" spans="1:7" x14ac:dyDescent="0.3">
      <c r="A1208">
        <v>1206</v>
      </c>
      <c r="B1208" t="s">
        <v>1240</v>
      </c>
      <c r="C1208" t="s">
        <v>1241</v>
      </c>
      <c r="D1208">
        <v>70</v>
      </c>
      <c r="E1208">
        <v>52</v>
      </c>
      <c r="F1208" t="s">
        <v>1242</v>
      </c>
      <c r="G1208" t="s">
        <v>857</v>
      </c>
    </row>
    <row r="1209" spans="1:7" x14ac:dyDescent="0.3">
      <c r="A1209">
        <v>1207</v>
      </c>
      <c r="B1209" t="s">
        <v>1243</v>
      </c>
      <c r="C1209" t="s">
        <v>1244</v>
      </c>
      <c r="D1209">
        <v>95</v>
      </c>
      <c r="E1209">
        <v>70</v>
      </c>
      <c r="F1209" t="s">
        <v>1183</v>
      </c>
      <c r="G1209" t="s">
        <v>857</v>
      </c>
    </row>
    <row r="1210" spans="1:7" x14ac:dyDescent="0.3">
      <c r="A1210">
        <v>1208</v>
      </c>
      <c r="B1210" t="s">
        <v>1245</v>
      </c>
      <c r="C1210" t="s">
        <v>1246</v>
      </c>
      <c r="D1210">
        <v>118</v>
      </c>
      <c r="E1210">
        <v>78</v>
      </c>
      <c r="F1210" t="s">
        <v>246</v>
      </c>
      <c r="G1210" t="s">
        <v>857</v>
      </c>
    </row>
    <row r="1211" spans="1:7" x14ac:dyDescent="0.3">
      <c r="A1211">
        <v>1209</v>
      </c>
      <c r="B1211" t="s">
        <v>1247</v>
      </c>
      <c r="C1211" t="s">
        <v>1248</v>
      </c>
      <c r="D1211">
        <v>80</v>
      </c>
      <c r="E1211">
        <v>65</v>
      </c>
      <c r="F1211" t="s">
        <v>246</v>
      </c>
      <c r="G1211" t="s">
        <v>857</v>
      </c>
    </row>
    <row r="1212" spans="1:7" x14ac:dyDescent="0.3">
      <c r="A1212">
        <v>1210</v>
      </c>
      <c r="B1212" t="s">
        <v>1249</v>
      </c>
      <c r="C1212" t="s">
        <v>1250</v>
      </c>
      <c r="D1212">
        <v>100</v>
      </c>
      <c r="E1212">
        <v>85</v>
      </c>
      <c r="F1212" t="s">
        <v>394</v>
      </c>
      <c r="G1212" t="s">
        <v>857</v>
      </c>
    </row>
    <row r="1213" spans="1:7" x14ac:dyDescent="0.3">
      <c r="A1213">
        <v>1211</v>
      </c>
      <c r="B1213" t="s">
        <v>1251</v>
      </c>
      <c r="C1213" t="s">
        <v>1252</v>
      </c>
      <c r="D1213">
        <v>65</v>
      </c>
      <c r="E1213">
        <v>40</v>
      </c>
      <c r="F1213" t="s">
        <v>1242</v>
      </c>
      <c r="G1213" t="s">
        <v>857</v>
      </c>
    </row>
    <row r="1214" spans="1:7" x14ac:dyDescent="0.3">
      <c r="A1214">
        <v>1212</v>
      </c>
      <c r="B1214" t="s">
        <v>1251</v>
      </c>
      <c r="C1214" t="s">
        <v>1252</v>
      </c>
      <c r="D1214">
        <v>95</v>
      </c>
      <c r="E1214">
        <v>66</v>
      </c>
      <c r="F1214" t="s">
        <v>394</v>
      </c>
      <c r="G1214" t="s">
        <v>857</v>
      </c>
    </row>
    <row r="1215" spans="1:7" x14ac:dyDescent="0.3">
      <c r="A1215">
        <v>1213</v>
      </c>
      <c r="B1215" t="s">
        <v>1253</v>
      </c>
      <c r="C1215" t="s">
        <v>1246</v>
      </c>
      <c r="D1215">
        <v>118</v>
      </c>
      <c r="E1215">
        <v>88</v>
      </c>
      <c r="F1215" t="s">
        <v>246</v>
      </c>
      <c r="G1215" t="s">
        <v>857</v>
      </c>
    </row>
    <row r="1216" spans="1:7" x14ac:dyDescent="0.3">
      <c r="A1216">
        <v>1214</v>
      </c>
      <c r="B1216" t="s">
        <v>1254</v>
      </c>
      <c r="C1216" t="s">
        <v>1255</v>
      </c>
      <c r="D1216">
        <v>130</v>
      </c>
      <c r="E1216">
        <v>65</v>
      </c>
      <c r="F1216" t="s">
        <v>246</v>
      </c>
      <c r="G1216" t="s">
        <v>857</v>
      </c>
    </row>
    <row r="1217" spans="1:7" x14ac:dyDescent="0.3">
      <c r="A1217">
        <v>1215</v>
      </c>
      <c r="B1217" t="s">
        <v>1256</v>
      </c>
      <c r="C1217" t="s">
        <v>1246</v>
      </c>
      <c r="D1217">
        <v>115</v>
      </c>
      <c r="E1217">
        <v>74</v>
      </c>
      <c r="F1217" t="s">
        <v>246</v>
      </c>
      <c r="G1217" t="s">
        <v>857</v>
      </c>
    </row>
    <row r="1218" spans="1:7" x14ac:dyDescent="0.3">
      <c r="A1218">
        <v>1216</v>
      </c>
      <c r="B1218" t="s">
        <v>1257</v>
      </c>
      <c r="C1218" t="s">
        <v>1255</v>
      </c>
      <c r="D1218">
        <v>130</v>
      </c>
      <c r="E1218">
        <v>65</v>
      </c>
      <c r="F1218" t="s">
        <v>246</v>
      </c>
      <c r="G1218" t="s">
        <v>857</v>
      </c>
    </row>
    <row r="1219" spans="1:7" x14ac:dyDescent="0.3">
      <c r="A1219">
        <v>1217</v>
      </c>
      <c r="B1219" t="s">
        <v>1258</v>
      </c>
      <c r="C1219" t="s">
        <v>1246</v>
      </c>
      <c r="D1219">
        <v>110</v>
      </c>
      <c r="E1219">
        <v>95</v>
      </c>
      <c r="F1219" t="s">
        <v>246</v>
      </c>
      <c r="G1219" t="s">
        <v>857</v>
      </c>
    </row>
    <row r="1220" spans="1:7" x14ac:dyDescent="0.3">
      <c r="A1220">
        <v>1218</v>
      </c>
      <c r="B1220" t="s">
        <v>1259</v>
      </c>
      <c r="C1220" t="s">
        <v>1260</v>
      </c>
      <c r="D1220">
        <v>115</v>
      </c>
      <c r="E1220">
        <v>95</v>
      </c>
      <c r="F1220" t="s">
        <v>246</v>
      </c>
      <c r="G1220" t="s">
        <v>857</v>
      </c>
    </row>
    <row r="1221" spans="1:7" x14ac:dyDescent="0.3">
      <c r="A1221">
        <v>1219</v>
      </c>
      <c r="B1221" t="s">
        <v>1261</v>
      </c>
      <c r="C1221" t="s">
        <v>1255</v>
      </c>
      <c r="D1221">
        <v>130</v>
      </c>
      <c r="E1221">
        <v>65</v>
      </c>
      <c r="F1221" t="s">
        <v>246</v>
      </c>
      <c r="G1221" t="s">
        <v>857</v>
      </c>
    </row>
    <row r="1222" spans="1:7" x14ac:dyDescent="0.3">
      <c r="A1222">
        <v>1220</v>
      </c>
      <c r="B1222" t="s">
        <v>1262</v>
      </c>
      <c r="C1222" t="s">
        <v>974</v>
      </c>
      <c r="D1222">
        <v>60</v>
      </c>
      <c r="E1222">
        <v>39</v>
      </c>
      <c r="F1222" t="s">
        <v>399</v>
      </c>
      <c r="G1222" t="s">
        <v>857</v>
      </c>
    </row>
    <row r="1223" spans="1:7" x14ac:dyDescent="0.3">
      <c r="A1223">
        <v>1221</v>
      </c>
      <c r="B1223" t="s">
        <v>1263</v>
      </c>
      <c r="C1223" t="s">
        <v>981</v>
      </c>
      <c r="D1223">
        <v>78</v>
      </c>
      <c r="E1223">
        <v>70</v>
      </c>
      <c r="F1223" t="s">
        <v>107</v>
      </c>
      <c r="G1223" t="s">
        <v>867</v>
      </c>
    </row>
    <row r="1224" spans="1:7" x14ac:dyDescent="0.3">
      <c r="A1224">
        <v>1222</v>
      </c>
      <c r="B1224" t="s">
        <v>1263</v>
      </c>
      <c r="C1224" t="s">
        <v>981</v>
      </c>
      <c r="D1224">
        <v>145</v>
      </c>
      <c r="E1224">
        <v>131</v>
      </c>
      <c r="F1224" t="s">
        <v>9</v>
      </c>
      <c r="G1224" t="s">
        <v>867</v>
      </c>
    </row>
    <row r="1225" spans="1:7" x14ac:dyDescent="0.3">
      <c r="A1225">
        <v>1223</v>
      </c>
      <c r="B1225" t="s">
        <v>1264</v>
      </c>
      <c r="C1225" t="s">
        <v>1265</v>
      </c>
      <c r="D1225">
        <v>130</v>
      </c>
      <c r="E1225">
        <v>89</v>
      </c>
      <c r="F1225" t="s">
        <v>246</v>
      </c>
      <c r="G1225" t="s">
        <v>857</v>
      </c>
    </row>
    <row r="1226" spans="1:7" x14ac:dyDescent="0.3">
      <c r="A1226">
        <v>1224</v>
      </c>
      <c r="B1226" t="s">
        <v>1266</v>
      </c>
      <c r="C1226" t="s">
        <v>1246</v>
      </c>
      <c r="D1226">
        <v>110</v>
      </c>
      <c r="E1226">
        <v>85</v>
      </c>
      <c r="F1226" t="s">
        <v>246</v>
      </c>
      <c r="G1226" t="s">
        <v>857</v>
      </c>
    </row>
    <row r="1227" spans="1:7" x14ac:dyDescent="0.3">
      <c r="A1227">
        <v>1225</v>
      </c>
      <c r="B1227" t="s">
        <v>1264</v>
      </c>
      <c r="C1227" t="s">
        <v>1265</v>
      </c>
      <c r="D1227">
        <v>35</v>
      </c>
      <c r="E1227">
        <v>29</v>
      </c>
      <c r="F1227" t="s">
        <v>399</v>
      </c>
      <c r="G1227" t="s">
        <v>857</v>
      </c>
    </row>
    <row r="1228" spans="1:7" x14ac:dyDescent="0.3">
      <c r="A1228">
        <v>1226</v>
      </c>
      <c r="B1228" t="s">
        <v>1267</v>
      </c>
      <c r="C1228" t="s">
        <v>1246</v>
      </c>
      <c r="D1228">
        <v>125</v>
      </c>
      <c r="E1228">
        <v>65</v>
      </c>
      <c r="F1228" t="s">
        <v>246</v>
      </c>
      <c r="G1228" t="s">
        <v>857</v>
      </c>
    </row>
    <row r="1229" spans="1:7" x14ac:dyDescent="0.3">
      <c r="A1229">
        <v>1227</v>
      </c>
      <c r="B1229" t="s">
        <v>1268</v>
      </c>
      <c r="C1229" t="s">
        <v>1246</v>
      </c>
      <c r="D1229">
        <v>130</v>
      </c>
      <c r="E1229">
        <v>65</v>
      </c>
      <c r="F1229" t="s">
        <v>246</v>
      </c>
      <c r="G1229" t="s">
        <v>857</v>
      </c>
    </row>
    <row r="1230" spans="1:7" x14ac:dyDescent="0.3">
      <c r="A1230">
        <v>1228</v>
      </c>
      <c r="B1230" t="s">
        <v>1269</v>
      </c>
      <c r="C1230" t="s">
        <v>438</v>
      </c>
      <c r="D1230">
        <v>47</v>
      </c>
      <c r="E1230">
        <v>43</v>
      </c>
      <c r="F1230" t="s">
        <v>12</v>
      </c>
      <c r="G1230" t="s">
        <v>867</v>
      </c>
    </row>
    <row r="1231" spans="1:7" x14ac:dyDescent="0.3">
      <c r="A1231">
        <v>1229</v>
      </c>
      <c r="B1231" t="s">
        <v>1269</v>
      </c>
      <c r="C1231" t="s">
        <v>438</v>
      </c>
      <c r="D1231">
        <v>105</v>
      </c>
      <c r="E1231">
        <v>97</v>
      </c>
      <c r="F1231" t="s">
        <v>9</v>
      </c>
      <c r="G1231" t="s">
        <v>867</v>
      </c>
    </row>
    <row r="1232" spans="1:7" x14ac:dyDescent="0.3">
      <c r="A1232">
        <v>1230</v>
      </c>
      <c r="B1232" t="s">
        <v>1270</v>
      </c>
      <c r="C1232" t="s">
        <v>438</v>
      </c>
      <c r="D1232">
        <v>52</v>
      </c>
      <c r="E1232">
        <v>48</v>
      </c>
      <c r="F1232" t="s">
        <v>12</v>
      </c>
      <c r="G1232" t="s">
        <v>867</v>
      </c>
    </row>
    <row r="1233" spans="1:7" x14ac:dyDescent="0.3">
      <c r="A1233">
        <v>1231</v>
      </c>
      <c r="B1233" t="s">
        <v>1270</v>
      </c>
      <c r="C1233" t="s">
        <v>438</v>
      </c>
      <c r="D1233">
        <v>120</v>
      </c>
      <c r="E1233">
        <v>110</v>
      </c>
      <c r="F1233" t="s">
        <v>9</v>
      </c>
      <c r="G1233" t="s">
        <v>867</v>
      </c>
    </row>
    <row r="1234" spans="1:7" x14ac:dyDescent="0.3">
      <c r="A1234">
        <v>1232</v>
      </c>
      <c r="B1234" t="s">
        <v>1271</v>
      </c>
      <c r="C1234" t="s">
        <v>1260</v>
      </c>
      <c r="D1234">
        <v>105</v>
      </c>
      <c r="E1234">
        <v>77</v>
      </c>
      <c r="F1234" t="s">
        <v>246</v>
      </c>
      <c r="G1234" t="s">
        <v>857</v>
      </c>
    </row>
    <row r="1235" spans="1:7" x14ac:dyDescent="0.3">
      <c r="A1235">
        <v>1233</v>
      </c>
      <c r="B1235" t="s">
        <v>1272</v>
      </c>
      <c r="C1235" t="s">
        <v>1265</v>
      </c>
      <c r="D1235">
        <v>35</v>
      </c>
      <c r="E1235">
        <v>25</v>
      </c>
      <c r="F1235" t="s">
        <v>399</v>
      </c>
      <c r="G1235" t="s">
        <v>857</v>
      </c>
    </row>
    <row r="1236" spans="1:7" x14ac:dyDescent="0.3">
      <c r="A1236">
        <v>1234</v>
      </c>
      <c r="B1236" t="s">
        <v>1273</v>
      </c>
      <c r="C1236" t="s">
        <v>1260</v>
      </c>
      <c r="D1236">
        <v>115</v>
      </c>
      <c r="E1236">
        <v>97</v>
      </c>
      <c r="F1236" t="s">
        <v>246</v>
      </c>
      <c r="G1236" t="s">
        <v>857</v>
      </c>
    </row>
    <row r="1237" spans="1:7" x14ac:dyDescent="0.3">
      <c r="A1237">
        <v>1235</v>
      </c>
      <c r="B1237" t="s">
        <v>1274</v>
      </c>
      <c r="C1237" t="s">
        <v>1260</v>
      </c>
      <c r="D1237">
        <v>110</v>
      </c>
      <c r="E1237">
        <v>90</v>
      </c>
      <c r="F1237" t="s">
        <v>246</v>
      </c>
      <c r="G1237" t="s">
        <v>857</v>
      </c>
    </row>
    <row r="1238" spans="1:7" x14ac:dyDescent="0.3">
      <c r="A1238">
        <v>1236</v>
      </c>
      <c r="B1238" t="s">
        <v>1275</v>
      </c>
      <c r="C1238" t="s">
        <v>1265</v>
      </c>
      <c r="D1238">
        <v>20</v>
      </c>
      <c r="E1238">
        <v>13</v>
      </c>
      <c r="F1238" t="s">
        <v>1109</v>
      </c>
      <c r="G1238" t="s">
        <v>857</v>
      </c>
    </row>
    <row r="1239" spans="1:7" x14ac:dyDescent="0.3">
      <c r="A1239">
        <v>1237</v>
      </c>
      <c r="B1239" t="s">
        <v>1276</v>
      </c>
      <c r="C1239" t="s">
        <v>438</v>
      </c>
      <c r="D1239">
        <v>105</v>
      </c>
      <c r="E1239">
        <v>97</v>
      </c>
      <c r="F1239" t="s">
        <v>9</v>
      </c>
      <c r="G1239" t="s">
        <v>867</v>
      </c>
    </row>
    <row r="1240" spans="1:7" x14ac:dyDescent="0.3">
      <c r="A1240">
        <v>1238</v>
      </c>
      <c r="B1240" t="s">
        <v>1277</v>
      </c>
      <c r="C1240" t="s">
        <v>438</v>
      </c>
      <c r="D1240">
        <v>47</v>
      </c>
      <c r="E1240">
        <v>43</v>
      </c>
      <c r="F1240" t="s">
        <v>12</v>
      </c>
      <c r="G1240" t="s">
        <v>867</v>
      </c>
    </row>
    <row r="1241" spans="1:7" x14ac:dyDescent="0.3">
      <c r="A1241">
        <v>1239</v>
      </c>
      <c r="B1241" t="s">
        <v>1277</v>
      </c>
      <c r="C1241" t="s">
        <v>438</v>
      </c>
      <c r="D1241">
        <v>105</v>
      </c>
      <c r="E1241">
        <v>97</v>
      </c>
      <c r="F1241" t="s">
        <v>9</v>
      </c>
      <c r="G1241" t="s">
        <v>867</v>
      </c>
    </row>
    <row r="1242" spans="1:7" x14ac:dyDescent="0.3">
      <c r="A1242">
        <v>1240</v>
      </c>
      <c r="B1242" t="s">
        <v>1278</v>
      </c>
      <c r="C1242" t="s">
        <v>1265</v>
      </c>
      <c r="D1242">
        <v>35</v>
      </c>
      <c r="E1242">
        <v>24</v>
      </c>
      <c r="F1242" t="s">
        <v>399</v>
      </c>
      <c r="G1242" t="s">
        <v>857</v>
      </c>
    </row>
    <row r="1243" spans="1:7" x14ac:dyDescent="0.3">
      <c r="A1243">
        <v>1241</v>
      </c>
      <c r="B1243" t="s">
        <v>1279</v>
      </c>
      <c r="C1243" t="s">
        <v>981</v>
      </c>
      <c r="D1243">
        <v>145</v>
      </c>
      <c r="E1243">
        <v>127</v>
      </c>
      <c r="F1243" t="s">
        <v>9</v>
      </c>
      <c r="G1243" t="s">
        <v>867</v>
      </c>
    </row>
    <row r="1244" spans="1:7" x14ac:dyDescent="0.3">
      <c r="A1244">
        <v>1242</v>
      </c>
      <c r="B1244" t="s">
        <v>1279</v>
      </c>
      <c r="C1244" t="s">
        <v>981</v>
      </c>
      <c r="D1244">
        <v>78</v>
      </c>
      <c r="E1244">
        <v>69</v>
      </c>
      <c r="F1244" t="s">
        <v>107</v>
      </c>
      <c r="G1244" t="s">
        <v>867</v>
      </c>
    </row>
    <row r="1245" spans="1:7" x14ac:dyDescent="0.3">
      <c r="A1245">
        <v>1243</v>
      </c>
      <c r="B1245" t="s">
        <v>1280</v>
      </c>
      <c r="C1245" t="s">
        <v>974</v>
      </c>
      <c r="D1245">
        <v>330</v>
      </c>
      <c r="E1245">
        <v>247</v>
      </c>
      <c r="F1245" t="s">
        <v>246</v>
      </c>
      <c r="G1245" t="s">
        <v>857</v>
      </c>
    </row>
    <row r="1246" spans="1:7" x14ac:dyDescent="0.3">
      <c r="A1246">
        <v>1244</v>
      </c>
      <c r="B1246" t="s">
        <v>1281</v>
      </c>
      <c r="C1246" t="s">
        <v>438</v>
      </c>
      <c r="D1246">
        <v>120</v>
      </c>
      <c r="E1246">
        <v>112</v>
      </c>
      <c r="F1246" t="s">
        <v>9</v>
      </c>
      <c r="G1246" t="s">
        <v>867</v>
      </c>
    </row>
    <row r="1247" spans="1:7" x14ac:dyDescent="0.3">
      <c r="A1247">
        <v>1245</v>
      </c>
      <c r="B1247" t="s">
        <v>1282</v>
      </c>
      <c r="C1247" t="s">
        <v>1265</v>
      </c>
      <c r="D1247">
        <v>150</v>
      </c>
      <c r="E1247">
        <v>75</v>
      </c>
      <c r="F1247" t="s">
        <v>246</v>
      </c>
      <c r="G1247" t="s">
        <v>857</v>
      </c>
    </row>
    <row r="1248" spans="1:7" x14ac:dyDescent="0.3">
      <c r="A1248">
        <v>1246</v>
      </c>
      <c r="B1248" t="s">
        <v>1283</v>
      </c>
      <c r="C1248" t="s">
        <v>981</v>
      </c>
      <c r="D1248">
        <v>78</v>
      </c>
      <c r="E1248">
        <v>71</v>
      </c>
      <c r="F1248" t="s">
        <v>107</v>
      </c>
      <c r="G1248" t="s">
        <v>867</v>
      </c>
    </row>
    <row r="1249" spans="1:7" x14ac:dyDescent="0.3">
      <c r="A1249">
        <v>1247</v>
      </c>
      <c r="B1249" t="s">
        <v>1283</v>
      </c>
      <c r="C1249" t="s">
        <v>981</v>
      </c>
      <c r="D1249">
        <v>145</v>
      </c>
      <c r="E1249">
        <v>134</v>
      </c>
      <c r="F1249" t="s">
        <v>9</v>
      </c>
      <c r="G1249" t="s">
        <v>867</v>
      </c>
    </row>
    <row r="1250" spans="1:7" x14ac:dyDescent="0.3">
      <c r="A1250">
        <v>1248</v>
      </c>
      <c r="B1250" t="s">
        <v>1284</v>
      </c>
      <c r="C1250" t="s">
        <v>1285</v>
      </c>
      <c r="D1250">
        <v>220</v>
      </c>
      <c r="E1250">
        <v>175</v>
      </c>
      <c r="F1250" t="s">
        <v>246</v>
      </c>
      <c r="G1250" t="s">
        <v>857</v>
      </c>
    </row>
    <row r="1251" spans="1:7" x14ac:dyDescent="0.3">
      <c r="A1251">
        <v>1249</v>
      </c>
      <c r="B1251" t="s">
        <v>1286</v>
      </c>
      <c r="C1251" t="s">
        <v>974</v>
      </c>
      <c r="D1251">
        <v>425</v>
      </c>
      <c r="E1251">
        <v>318</v>
      </c>
      <c r="F1251" t="s">
        <v>246</v>
      </c>
      <c r="G1251" t="s">
        <v>857</v>
      </c>
    </row>
    <row r="1252" spans="1:7" x14ac:dyDescent="0.3">
      <c r="A1252">
        <v>1250</v>
      </c>
      <c r="B1252" t="s">
        <v>1287</v>
      </c>
      <c r="C1252" t="s">
        <v>1285</v>
      </c>
      <c r="D1252">
        <v>250</v>
      </c>
      <c r="E1252">
        <v>200</v>
      </c>
      <c r="F1252" t="s">
        <v>246</v>
      </c>
      <c r="G1252" t="s">
        <v>857</v>
      </c>
    </row>
    <row r="1253" spans="1:7" x14ac:dyDescent="0.3">
      <c r="A1253">
        <v>1251</v>
      </c>
      <c r="B1253" t="s">
        <v>1288</v>
      </c>
      <c r="C1253" t="s">
        <v>974</v>
      </c>
      <c r="D1253">
        <v>220</v>
      </c>
      <c r="E1253">
        <v>165</v>
      </c>
      <c r="F1253" t="s">
        <v>246</v>
      </c>
      <c r="G1253" t="s">
        <v>857</v>
      </c>
    </row>
    <row r="1254" spans="1:7" x14ac:dyDescent="0.3">
      <c r="A1254">
        <v>1252</v>
      </c>
      <c r="B1254" t="s">
        <v>1289</v>
      </c>
      <c r="C1254" t="s">
        <v>1285</v>
      </c>
      <c r="D1254">
        <v>325</v>
      </c>
      <c r="E1254">
        <v>260</v>
      </c>
      <c r="F1254" t="s">
        <v>246</v>
      </c>
      <c r="G1254" t="s">
        <v>857</v>
      </c>
    </row>
    <row r="1255" spans="1:7" x14ac:dyDescent="0.3">
      <c r="A1255">
        <v>1253</v>
      </c>
      <c r="B1255" t="s">
        <v>1290</v>
      </c>
      <c r="C1255" t="s">
        <v>1285</v>
      </c>
      <c r="D1255">
        <v>250</v>
      </c>
      <c r="E1255">
        <v>170</v>
      </c>
      <c r="F1255" t="s">
        <v>246</v>
      </c>
      <c r="G1255" t="s">
        <v>857</v>
      </c>
    </row>
    <row r="1256" spans="1:7" x14ac:dyDescent="0.3">
      <c r="A1256">
        <v>1254</v>
      </c>
      <c r="B1256" t="s">
        <v>1291</v>
      </c>
      <c r="C1256" t="s">
        <v>1292</v>
      </c>
      <c r="D1256">
        <v>50</v>
      </c>
      <c r="E1256">
        <v>25</v>
      </c>
      <c r="F1256" t="s">
        <v>391</v>
      </c>
      <c r="G1256" t="s">
        <v>857</v>
      </c>
    </row>
    <row r="1257" spans="1:7" x14ac:dyDescent="0.3">
      <c r="A1257">
        <v>1255</v>
      </c>
      <c r="B1257" t="s">
        <v>1293</v>
      </c>
      <c r="C1257" t="s">
        <v>1294</v>
      </c>
      <c r="D1257">
        <v>173</v>
      </c>
      <c r="E1257">
        <v>147</v>
      </c>
      <c r="F1257" t="s">
        <v>201</v>
      </c>
      <c r="G1257" t="s">
        <v>857</v>
      </c>
    </row>
    <row r="1258" spans="1:7" x14ac:dyDescent="0.3">
      <c r="A1258">
        <v>1256</v>
      </c>
      <c r="B1258" t="s">
        <v>1293</v>
      </c>
      <c r="C1258" t="s">
        <v>1294</v>
      </c>
      <c r="D1258">
        <v>352</v>
      </c>
      <c r="E1258">
        <v>301</v>
      </c>
      <c r="F1258" t="s">
        <v>15</v>
      </c>
      <c r="G1258" t="s">
        <v>857</v>
      </c>
    </row>
    <row r="1259" spans="1:7" x14ac:dyDescent="0.3">
      <c r="A1259">
        <v>1257</v>
      </c>
      <c r="B1259" t="s">
        <v>1295</v>
      </c>
      <c r="C1259" t="s">
        <v>1296</v>
      </c>
      <c r="D1259">
        <v>650</v>
      </c>
      <c r="E1259">
        <v>552</v>
      </c>
      <c r="F1259" t="s">
        <v>1297</v>
      </c>
      <c r="G1259" t="s">
        <v>857</v>
      </c>
    </row>
    <row r="1260" spans="1:7" x14ac:dyDescent="0.3">
      <c r="A1260">
        <v>1258</v>
      </c>
      <c r="B1260" t="s">
        <v>1295</v>
      </c>
      <c r="C1260" t="s">
        <v>1296</v>
      </c>
      <c r="D1260">
        <v>440</v>
      </c>
      <c r="E1260">
        <v>350</v>
      </c>
      <c r="F1260" t="s">
        <v>1298</v>
      </c>
      <c r="G1260" t="s">
        <v>857</v>
      </c>
    </row>
    <row r="1261" spans="1:7" x14ac:dyDescent="0.3">
      <c r="A1261">
        <v>1259</v>
      </c>
      <c r="B1261" t="s">
        <v>1299</v>
      </c>
      <c r="C1261" t="s">
        <v>1294</v>
      </c>
      <c r="D1261">
        <v>173</v>
      </c>
      <c r="E1261">
        <v>147</v>
      </c>
      <c r="F1261" t="s">
        <v>201</v>
      </c>
      <c r="G1261" t="s">
        <v>857</v>
      </c>
    </row>
    <row r="1262" spans="1:7" x14ac:dyDescent="0.3">
      <c r="A1262">
        <v>1260</v>
      </c>
      <c r="B1262" t="s">
        <v>1299</v>
      </c>
      <c r="C1262" t="s">
        <v>1294</v>
      </c>
      <c r="D1262">
        <v>352</v>
      </c>
      <c r="E1262">
        <v>315</v>
      </c>
      <c r="F1262" t="s">
        <v>15</v>
      </c>
      <c r="G1262" t="s">
        <v>857</v>
      </c>
    </row>
    <row r="1263" spans="1:7" x14ac:dyDescent="0.3">
      <c r="A1263">
        <v>1261</v>
      </c>
      <c r="B1263" t="s">
        <v>1300</v>
      </c>
      <c r="C1263" t="s">
        <v>1301</v>
      </c>
      <c r="D1263">
        <v>110</v>
      </c>
      <c r="E1263">
        <v>80</v>
      </c>
      <c r="F1263" t="s">
        <v>1302</v>
      </c>
      <c r="G1263" t="s">
        <v>857</v>
      </c>
    </row>
    <row r="1264" spans="1:7" x14ac:dyDescent="0.3">
      <c r="A1264">
        <v>1262</v>
      </c>
      <c r="B1264" t="s">
        <v>1295</v>
      </c>
      <c r="C1264" t="s">
        <v>1296</v>
      </c>
      <c r="D1264">
        <v>145</v>
      </c>
      <c r="E1264">
        <v>120</v>
      </c>
      <c r="F1264" t="s">
        <v>1302</v>
      </c>
      <c r="G1264" t="s">
        <v>857</v>
      </c>
    </row>
    <row r="1265" spans="1:7" x14ac:dyDescent="0.3">
      <c r="A1265">
        <v>1263</v>
      </c>
      <c r="B1265" t="s">
        <v>1303</v>
      </c>
      <c r="C1265" t="s">
        <v>1294</v>
      </c>
      <c r="D1265">
        <v>118</v>
      </c>
      <c r="E1265">
        <v>97</v>
      </c>
      <c r="F1265" t="s">
        <v>201</v>
      </c>
      <c r="G1265" t="s">
        <v>857</v>
      </c>
    </row>
    <row r="1266" spans="1:7" x14ac:dyDescent="0.3">
      <c r="A1266">
        <v>1264</v>
      </c>
      <c r="B1266" t="s">
        <v>1303</v>
      </c>
      <c r="C1266" t="s">
        <v>1294</v>
      </c>
      <c r="D1266">
        <v>198</v>
      </c>
      <c r="E1266">
        <v>174</v>
      </c>
      <c r="F1266" t="s">
        <v>15</v>
      </c>
      <c r="G1266" t="s">
        <v>857</v>
      </c>
    </row>
    <row r="1267" spans="1:7" x14ac:dyDescent="0.3">
      <c r="A1267">
        <v>1265</v>
      </c>
      <c r="B1267" t="s">
        <v>1304</v>
      </c>
      <c r="C1267" t="s">
        <v>1239</v>
      </c>
      <c r="D1267">
        <v>75</v>
      </c>
      <c r="E1267">
        <v>37</v>
      </c>
      <c r="F1267" t="s">
        <v>401</v>
      </c>
      <c r="G1267" t="s">
        <v>857</v>
      </c>
    </row>
    <row r="1268" spans="1:7" x14ac:dyDescent="0.3">
      <c r="A1268">
        <v>1266</v>
      </c>
      <c r="B1268" t="s">
        <v>1305</v>
      </c>
      <c r="C1268" t="s">
        <v>1306</v>
      </c>
      <c r="D1268">
        <v>60</v>
      </c>
      <c r="E1268">
        <v>50</v>
      </c>
      <c r="F1268" t="s">
        <v>107</v>
      </c>
      <c r="G1268" t="s">
        <v>867</v>
      </c>
    </row>
    <row r="1269" spans="1:7" x14ac:dyDescent="0.3">
      <c r="A1269">
        <v>1267</v>
      </c>
      <c r="B1269" t="s">
        <v>1307</v>
      </c>
      <c r="C1269" t="s">
        <v>1308</v>
      </c>
      <c r="D1269">
        <v>90</v>
      </c>
      <c r="E1269">
        <v>55</v>
      </c>
      <c r="F1269" t="s">
        <v>401</v>
      </c>
      <c r="G1269" t="s">
        <v>857</v>
      </c>
    </row>
    <row r="1270" spans="1:7" x14ac:dyDescent="0.3">
      <c r="A1270">
        <v>1268</v>
      </c>
      <c r="B1270" t="s">
        <v>1309</v>
      </c>
      <c r="C1270" t="s">
        <v>1310</v>
      </c>
      <c r="D1270">
        <v>33</v>
      </c>
      <c r="E1270">
        <v>19</v>
      </c>
      <c r="F1270" t="s">
        <v>399</v>
      </c>
      <c r="G1270" t="s">
        <v>857</v>
      </c>
    </row>
    <row r="1271" spans="1:7" x14ac:dyDescent="0.3">
      <c r="A1271">
        <v>1269</v>
      </c>
      <c r="B1271" t="s">
        <v>1311</v>
      </c>
      <c r="C1271" t="s">
        <v>1310</v>
      </c>
      <c r="D1271">
        <v>33</v>
      </c>
      <c r="E1271">
        <v>20</v>
      </c>
      <c r="F1271" t="s">
        <v>399</v>
      </c>
      <c r="G1271" t="s">
        <v>857</v>
      </c>
    </row>
    <row r="1272" spans="1:7" x14ac:dyDescent="0.3">
      <c r="A1272">
        <v>1270</v>
      </c>
      <c r="B1272" t="s">
        <v>1312</v>
      </c>
      <c r="C1272" t="s">
        <v>1296</v>
      </c>
      <c r="D1272">
        <v>115</v>
      </c>
      <c r="E1272">
        <v>103</v>
      </c>
      <c r="F1272" t="s">
        <v>401</v>
      </c>
      <c r="G1272" t="s">
        <v>857</v>
      </c>
    </row>
    <row r="1273" spans="1:7" x14ac:dyDescent="0.3">
      <c r="A1273">
        <v>1271</v>
      </c>
      <c r="B1273" t="s">
        <v>1313</v>
      </c>
      <c r="C1273" t="s">
        <v>1314</v>
      </c>
      <c r="D1273">
        <v>160</v>
      </c>
      <c r="E1273">
        <v>140</v>
      </c>
      <c r="F1273" t="s">
        <v>1194</v>
      </c>
      <c r="G1273" t="s">
        <v>857</v>
      </c>
    </row>
    <row r="1274" spans="1:7" x14ac:dyDescent="0.3">
      <c r="A1274">
        <v>1272</v>
      </c>
      <c r="B1274" t="s">
        <v>1315</v>
      </c>
      <c r="C1274" t="s">
        <v>1316</v>
      </c>
      <c r="D1274">
        <v>252</v>
      </c>
      <c r="E1274">
        <v>192</v>
      </c>
      <c r="F1274" t="s">
        <v>246</v>
      </c>
      <c r="G1274" t="s">
        <v>857</v>
      </c>
    </row>
    <row r="1275" spans="1:7" x14ac:dyDescent="0.3">
      <c r="A1275">
        <v>1273</v>
      </c>
      <c r="B1275" t="s">
        <v>1317</v>
      </c>
      <c r="C1275" t="s">
        <v>1318</v>
      </c>
      <c r="D1275">
        <v>550</v>
      </c>
      <c r="E1275">
        <v>410</v>
      </c>
      <c r="F1275" t="s">
        <v>246</v>
      </c>
      <c r="G1275" t="s">
        <v>857</v>
      </c>
    </row>
    <row r="1276" spans="1:7" x14ac:dyDescent="0.3">
      <c r="A1276">
        <v>1274</v>
      </c>
      <c r="B1276" t="s">
        <v>1319</v>
      </c>
      <c r="C1276" t="s">
        <v>60</v>
      </c>
      <c r="D1276">
        <v>170</v>
      </c>
      <c r="E1276">
        <v>85</v>
      </c>
      <c r="F1276" t="s">
        <v>246</v>
      </c>
      <c r="G1276" t="s">
        <v>857</v>
      </c>
    </row>
    <row r="1277" spans="1:7" x14ac:dyDescent="0.3">
      <c r="A1277">
        <v>1275</v>
      </c>
      <c r="B1277" t="s">
        <v>1320</v>
      </c>
      <c r="C1277" t="s">
        <v>1321</v>
      </c>
      <c r="D1277">
        <v>230</v>
      </c>
      <c r="E1277">
        <v>129</v>
      </c>
      <c r="F1277" t="s">
        <v>246</v>
      </c>
      <c r="G1277" t="s">
        <v>857</v>
      </c>
    </row>
    <row r="1278" spans="1:7" x14ac:dyDescent="0.3">
      <c r="A1278">
        <v>1276</v>
      </c>
      <c r="B1278" t="s">
        <v>1322</v>
      </c>
      <c r="C1278" t="s">
        <v>1165</v>
      </c>
      <c r="D1278">
        <v>220</v>
      </c>
      <c r="E1278">
        <v>151</v>
      </c>
      <c r="F1278" t="s">
        <v>1323</v>
      </c>
      <c r="G1278" t="s">
        <v>857</v>
      </c>
    </row>
    <row r="1279" spans="1:7" x14ac:dyDescent="0.3">
      <c r="A1279">
        <v>1277</v>
      </c>
      <c r="B1279" t="s">
        <v>1322</v>
      </c>
      <c r="C1279" t="s">
        <v>1165</v>
      </c>
      <c r="D1279">
        <v>95</v>
      </c>
      <c r="E1279">
        <v>80</v>
      </c>
      <c r="F1279" t="s">
        <v>12</v>
      </c>
      <c r="G1279" t="s">
        <v>857</v>
      </c>
    </row>
    <row r="1280" spans="1:7" x14ac:dyDescent="0.3">
      <c r="A1280">
        <v>1278</v>
      </c>
      <c r="B1280" t="s">
        <v>1324</v>
      </c>
      <c r="C1280" t="s">
        <v>60</v>
      </c>
      <c r="D1280">
        <v>170</v>
      </c>
      <c r="E1280">
        <v>74</v>
      </c>
      <c r="F1280" t="s">
        <v>246</v>
      </c>
      <c r="G1280" t="s">
        <v>857</v>
      </c>
    </row>
    <row r="1281" spans="1:7" x14ac:dyDescent="0.3">
      <c r="A1281">
        <v>1279</v>
      </c>
      <c r="B1281" t="s">
        <v>1325</v>
      </c>
      <c r="C1281" t="s">
        <v>1316</v>
      </c>
      <c r="D1281">
        <v>999</v>
      </c>
      <c r="E1281">
        <v>649</v>
      </c>
      <c r="F1281" t="s">
        <v>1194</v>
      </c>
      <c r="G1281" t="s">
        <v>857</v>
      </c>
    </row>
    <row r="1282" spans="1:7" x14ac:dyDescent="0.3">
      <c r="A1282">
        <v>1280</v>
      </c>
      <c r="B1282" t="s">
        <v>1326</v>
      </c>
      <c r="C1282" t="s">
        <v>1327</v>
      </c>
      <c r="D1282">
        <v>190</v>
      </c>
      <c r="E1282">
        <v>130</v>
      </c>
      <c r="F1282" t="s">
        <v>1194</v>
      </c>
      <c r="G1282" t="s">
        <v>857</v>
      </c>
    </row>
    <row r="1283" spans="1:7" x14ac:dyDescent="0.3">
      <c r="A1283">
        <v>1281</v>
      </c>
      <c r="B1283" t="s">
        <v>1328</v>
      </c>
      <c r="C1283" t="s">
        <v>1329</v>
      </c>
      <c r="D1283">
        <v>99</v>
      </c>
      <c r="E1283">
        <v>79</v>
      </c>
      <c r="F1283" t="s">
        <v>401</v>
      </c>
      <c r="G1283" t="s">
        <v>857</v>
      </c>
    </row>
    <row r="1284" spans="1:7" x14ac:dyDescent="0.3">
      <c r="A1284">
        <v>1282</v>
      </c>
      <c r="B1284" t="s">
        <v>1330</v>
      </c>
      <c r="C1284" t="s">
        <v>1329</v>
      </c>
      <c r="D1284">
        <v>99</v>
      </c>
      <c r="E1284">
        <v>79</v>
      </c>
      <c r="F1284" t="s">
        <v>401</v>
      </c>
      <c r="G1284" t="s">
        <v>857</v>
      </c>
    </row>
    <row r="1285" spans="1:7" x14ac:dyDescent="0.3">
      <c r="A1285">
        <v>1283</v>
      </c>
      <c r="B1285" t="s">
        <v>1331</v>
      </c>
      <c r="C1285" t="s">
        <v>1329</v>
      </c>
      <c r="D1285">
        <v>99</v>
      </c>
      <c r="E1285">
        <v>79</v>
      </c>
      <c r="F1285" t="s">
        <v>401</v>
      </c>
      <c r="G1285" t="s">
        <v>857</v>
      </c>
    </row>
    <row r="1286" spans="1:7" x14ac:dyDescent="0.3">
      <c r="A1286">
        <v>1284</v>
      </c>
      <c r="B1286" t="s">
        <v>1332</v>
      </c>
      <c r="C1286" t="s">
        <v>1329</v>
      </c>
      <c r="D1286">
        <v>99</v>
      </c>
      <c r="E1286">
        <v>79</v>
      </c>
      <c r="F1286" t="s">
        <v>401</v>
      </c>
      <c r="G1286" t="s">
        <v>857</v>
      </c>
    </row>
    <row r="1287" spans="1:7" x14ac:dyDescent="0.3">
      <c r="A1287">
        <v>1285</v>
      </c>
      <c r="B1287" t="s">
        <v>1333</v>
      </c>
      <c r="C1287" t="s">
        <v>1329</v>
      </c>
      <c r="D1287">
        <v>99</v>
      </c>
      <c r="E1287">
        <v>79</v>
      </c>
      <c r="F1287" t="s">
        <v>401</v>
      </c>
      <c r="G1287" t="s">
        <v>857</v>
      </c>
    </row>
    <row r="1288" spans="1:7" x14ac:dyDescent="0.3">
      <c r="A1288">
        <v>1286</v>
      </c>
      <c r="B1288" t="s">
        <v>1334</v>
      </c>
      <c r="C1288" t="s">
        <v>1327</v>
      </c>
      <c r="D1288">
        <v>190</v>
      </c>
      <c r="E1288">
        <v>130</v>
      </c>
      <c r="F1288" t="s">
        <v>1194</v>
      </c>
      <c r="G1288" t="s">
        <v>857</v>
      </c>
    </row>
    <row r="1289" spans="1:7" x14ac:dyDescent="0.3">
      <c r="A1289">
        <v>1287</v>
      </c>
      <c r="B1289" t="s">
        <v>1335</v>
      </c>
      <c r="C1289" t="s">
        <v>1329</v>
      </c>
      <c r="D1289">
        <v>99</v>
      </c>
      <c r="E1289">
        <v>79</v>
      </c>
      <c r="F1289" t="s">
        <v>401</v>
      </c>
      <c r="G1289" t="s">
        <v>857</v>
      </c>
    </row>
    <row r="1290" spans="1:7" x14ac:dyDescent="0.3">
      <c r="A1290">
        <v>1288</v>
      </c>
      <c r="B1290" t="s">
        <v>1336</v>
      </c>
      <c r="C1290" t="s">
        <v>1327</v>
      </c>
      <c r="D1290">
        <v>190</v>
      </c>
      <c r="E1290">
        <v>130</v>
      </c>
      <c r="F1290" t="s">
        <v>1194</v>
      </c>
      <c r="G1290" t="s">
        <v>857</v>
      </c>
    </row>
    <row r="1291" spans="1:7" x14ac:dyDescent="0.3">
      <c r="A1291">
        <v>1289</v>
      </c>
      <c r="B1291" t="s">
        <v>1337</v>
      </c>
      <c r="C1291" t="s">
        <v>1327</v>
      </c>
      <c r="D1291">
        <v>160</v>
      </c>
      <c r="E1291">
        <v>89</v>
      </c>
      <c r="F1291" t="s">
        <v>1194</v>
      </c>
      <c r="G1291" t="s">
        <v>857</v>
      </c>
    </row>
    <row r="1292" spans="1:7" x14ac:dyDescent="0.3">
      <c r="A1292">
        <v>1290</v>
      </c>
      <c r="B1292" t="s">
        <v>1338</v>
      </c>
      <c r="C1292" t="s">
        <v>1339</v>
      </c>
      <c r="D1292">
        <v>395</v>
      </c>
      <c r="E1292">
        <v>349</v>
      </c>
      <c r="F1292" t="s">
        <v>401</v>
      </c>
      <c r="G1292" t="s">
        <v>857</v>
      </c>
    </row>
    <row r="1293" spans="1:7" x14ac:dyDescent="0.3">
      <c r="A1293">
        <v>1291</v>
      </c>
      <c r="B1293" t="s">
        <v>1340</v>
      </c>
      <c r="C1293" t="s">
        <v>1327</v>
      </c>
      <c r="D1293">
        <v>240</v>
      </c>
      <c r="E1293">
        <v>133</v>
      </c>
      <c r="F1293" t="s">
        <v>1194</v>
      </c>
      <c r="G1293" t="s">
        <v>857</v>
      </c>
    </row>
    <row r="1294" spans="1:7" x14ac:dyDescent="0.3">
      <c r="A1294">
        <v>1292</v>
      </c>
      <c r="B1294" t="s">
        <v>1341</v>
      </c>
      <c r="C1294" t="s">
        <v>1318</v>
      </c>
      <c r="D1294">
        <v>260</v>
      </c>
      <c r="E1294">
        <v>210</v>
      </c>
      <c r="F1294" t="s">
        <v>246</v>
      </c>
      <c r="G1294" t="s">
        <v>857</v>
      </c>
    </row>
    <row r="1295" spans="1:7" x14ac:dyDescent="0.3">
      <c r="A1295">
        <v>1293</v>
      </c>
      <c r="B1295" t="s">
        <v>1342</v>
      </c>
      <c r="C1295" t="s">
        <v>1339</v>
      </c>
      <c r="D1295">
        <v>395</v>
      </c>
      <c r="E1295">
        <v>325</v>
      </c>
      <c r="F1295" t="s">
        <v>401</v>
      </c>
      <c r="G1295" t="s">
        <v>857</v>
      </c>
    </row>
    <row r="1296" spans="1:7" x14ac:dyDescent="0.3">
      <c r="A1296">
        <v>1294</v>
      </c>
      <c r="B1296" t="s">
        <v>1343</v>
      </c>
      <c r="C1296" t="s">
        <v>1339</v>
      </c>
      <c r="D1296">
        <v>395</v>
      </c>
      <c r="E1296">
        <v>325</v>
      </c>
      <c r="F1296" t="s">
        <v>401</v>
      </c>
      <c r="G1296" t="s">
        <v>857</v>
      </c>
    </row>
    <row r="1297" spans="1:7" x14ac:dyDescent="0.3">
      <c r="A1297">
        <v>1295</v>
      </c>
      <c r="B1297" t="s">
        <v>1344</v>
      </c>
      <c r="C1297" t="s">
        <v>1339</v>
      </c>
      <c r="D1297">
        <v>395</v>
      </c>
      <c r="E1297">
        <v>349</v>
      </c>
      <c r="F1297" t="s">
        <v>401</v>
      </c>
      <c r="G1297" t="s">
        <v>857</v>
      </c>
    </row>
    <row r="1298" spans="1:7" x14ac:dyDescent="0.3">
      <c r="A1298">
        <v>1296</v>
      </c>
      <c r="B1298" t="s">
        <v>1345</v>
      </c>
      <c r="C1298" t="s">
        <v>1165</v>
      </c>
      <c r="D1298">
        <v>230</v>
      </c>
      <c r="E1298">
        <v>141</v>
      </c>
      <c r="F1298" t="s">
        <v>1323</v>
      </c>
      <c r="G1298" t="s">
        <v>857</v>
      </c>
    </row>
    <row r="1299" spans="1:7" x14ac:dyDescent="0.3">
      <c r="A1299">
        <v>1297</v>
      </c>
      <c r="B1299" t="s">
        <v>1346</v>
      </c>
      <c r="C1299" t="s">
        <v>994</v>
      </c>
      <c r="D1299">
        <v>50</v>
      </c>
      <c r="E1299">
        <v>37</v>
      </c>
      <c r="F1299" t="s">
        <v>12</v>
      </c>
      <c r="G1299" t="s">
        <v>1347</v>
      </c>
    </row>
    <row r="1300" spans="1:7" x14ac:dyDescent="0.3">
      <c r="A1300">
        <v>1298</v>
      </c>
      <c r="B1300" t="s">
        <v>1346</v>
      </c>
      <c r="C1300" t="s">
        <v>994</v>
      </c>
      <c r="D1300">
        <v>130</v>
      </c>
      <c r="E1300">
        <v>86</v>
      </c>
      <c r="F1300" t="s">
        <v>1002</v>
      </c>
      <c r="G1300" t="s">
        <v>1347</v>
      </c>
    </row>
    <row r="1301" spans="1:7" x14ac:dyDescent="0.3">
      <c r="A1301">
        <v>1299</v>
      </c>
      <c r="B1301" t="s">
        <v>1348</v>
      </c>
      <c r="C1301" t="s">
        <v>1349</v>
      </c>
      <c r="D1301">
        <v>140</v>
      </c>
      <c r="E1301">
        <v>90</v>
      </c>
      <c r="F1301" t="s">
        <v>652</v>
      </c>
      <c r="G1301" t="s">
        <v>1347</v>
      </c>
    </row>
    <row r="1302" spans="1:7" x14ac:dyDescent="0.3">
      <c r="A1302">
        <v>1300</v>
      </c>
      <c r="B1302" t="s">
        <v>1348</v>
      </c>
      <c r="C1302" t="s">
        <v>1349</v>
      </c>
      <c r="D1302">
        <v>30</v>
      </c>
      <c r="E1302">
        <v>27</v>
      </c>
      <c r="F1302" t="s">
        <v>11</v>
      </c>
      <c r="G1302" t="s">
        <v>1347</v>
      </c>
    </row>
    <row r="1303" spans="1:7" x14ac:dyDescent="0.3">
      <c r="A1303">
        <v>1301</v>
      </c>
      <c r="B1303" t="s">
        <v>1350</v>
      </c>
      <c r="C1303" t="s">
        <v>1351</v>
      </c>
      <c r="D1303">
        <v>170</v>
      </c>
      <c r="E1303">
        <v>130</v>
      </c>
      <c r="F1303" t="s">
        <v>76</v>
      </c>
      <c r="G1303" t="s">
        <v>1347</v>
      </c>
    </row>
    <row r="1304" spans="1:7" x14ac:dyDescent="0.3">
      <c r="A1304">
        <v>1302</v>
      </c>
      <c r="B1304" t="s">
        <v>1352</v>
      </c>
      <c r="C1304" t="s">
        <v>1349</v>
      </c>
      <c r="D1304">
        <v>250</v>
      </c>
      <c r="E1304">
        <v>125</v>
      </c>
      <c r="F1304" t="s">
        <v>15</v>
      </c>
      <c r="G1304" t="s">
        <v>1347</v>
      </c>
    </row>
    <row r="1305" spans="1:7" x14ac:dyDescent="0.3">
      <c r="A1305">
        <v>1303</v>
      </c>
      <c r="B1305" t="s">
        <v>1353</v>
      </c>
      <c r="C1305" t="s">
        <v>1354</v>
      </c>
      <c r="D1305">
        <v>150</v>
      </c>
      <c r="E1305">
        <v>75</v>
      </c>
      <c r="F1305" t="s">
        <v>1355</v>
      </c>
      <c r="G1305" t="s">
        <v>1347</v>
      </c>
    </row>
    <row r="1306" spans="1:7" x14ac:dyDescent="0.3">
      <c r="A1306">
        <v>1304</v>
      </c>
      <c r="B1306" t="s">
        <v>1356</v>
      </c>
      <c r="C1306" t="s">
        <v>994</v>
      </c>
      <c r="D1306">
        <v>140</v>
      </c>
      <c r="E1306">
        <v>70</v>
      </c>
      <c r="F1306" t="s">
        <v>76</v>
      </c>
      <c r="G1306" t="s">
        <v>1347</v>
      </c>
    </row>
    <row r="1307" spans="1:7" x14ac:dyDescent="0.3">
      <c r="A1307">
        <v>1305</v>
      </c>
      <c r="B1307" t="s">
        <v>1357</v>
      </c>
      <c r="C1307" t="s">
        <v>1358</v>
      </c>
      <c r="D1307">
        <v>40</v>
      </c>
      <c r="E1307">
        <v>24</v>
      </c>
      <c r="F1307" t="s">
        <v>11</v>
      </c>
      <c r="G1307" t="s">
        <v>1347</v>
      </c>
    </row>
    <row r="1308" spans="1:7" x14ac:dyDescent="0.3">
      <c r="A1308">
        <v>1306</v>
      </c>
      <c r="B1308" t="s">
        <v>1357</v>
      </c>
      <c r="C1308" t="s">
        <v>1358</v>
      </c>
      <c r="D1308">
        <v>190</v>
      </c>
      <c r="E1308">
        <v>95</v>
      </c>
      <c r="F1308" t="s">
        <v>9</v>
      </c>
      <c r="G1308" t="s">
        <v>1347</v>
      </c>
    </row>
    <row r="1309" spans="1:7" x14ac:dyDescent="0.3">
      <c r="A1309">
        <v>1307</v>
      </c>
      <c r="B1309" t="s">
        <v>1359</v>
      </c>
      <c r="C1309" t="s">
        <v>994</v>
      </c>
      <c r="D1309">
        <v>25</v>
      </c>
      <c r="E1309">
        <v>23</v>
      </c>
      <c r="F1309" t="s">
        <v>1360</v>
      </c>
      <c r="G1309" t="s">
        <v>1347</v>
      </c>
    </row>
    <row r="1310" spans="1:7" x14ac:dyDescent="0.3">
      <c r="A1310">
        <v>1308</v>
      </c>
      <c r="B1310" t="s">
        <v>1361</v>
      </c>
      <c r="C1310" t="s">
        <v>1362</v>
      </c>
      <c r="D1310">
        <v>120</v>
      </c>
      <c r="E1310">
        <v>85</v>
      </c>
      <c r="F1310" t="s">
        <v>1363</v>
      </c>
      <c r="G1310" t="s">
        <v>1347</v>
      </c>
    </row>
    <row r="1311" spans="1:7" x14ac:dyDescent="0.3">
      <c r="A1311">
        <v>1309</v>
      </c>
      <c r="B1311" t="s">
        <v>1364</v>
      </c>
      <c r="C1311" t="s">
        <v>1349</v>
      </c>
      <c r="D1311">
        <v>140</v>
      </c>
      <c r="E1311">
        <v>70</v>
      </c>
      <c r="F1311" t="s">
        <v>1002</v>
      </c>
      <c r="G1311" t="s">
        <v>1347</v>
      </c>
    </row>
    <row r="1312" spans="1:7" x14ac:dyDescent="0.3">
      <c r="A1312">
        <v>1310</v>
      </c>
      <c r="B1312" t="s">
        <v>1365</v>
      </c>
      <c r="C1312" t="s">
        <v>1358</v>
      </c>
      <c r="D1312">
        <v>55</v>
      </c>
      <c r="E1312">
        <v>37</v>
      </c>
      <c r="F1312" t="s">
        <v>188</v>
      </c>
      <c r="G1312" t="s">
        <v>1347</v>
      </c>
    </row>
    <row r="1313" spans="1:7" x14ac:dyDescent="0.3">
      <c r="A1313">
        <v>1311</v>
      </c>
      <c r="B1313" t="s">
        <v>1365</v>
      </c>
      <c r="C1313" t="s">
        <v>1358</v>
      </c>
      <c r="D1313">
        <v>190</v>
      </c>
      <c r="E1313">
        <v>95</v>
      </c>
      <c r="F1313" t="s">
        <v>9</v>
      </c>
      <c r="G1313" t="s">
        <v>1347</v>
      </c>
    </row>
    <row r="1314" spans="1:7" x14ac:dyDescent="0.3">
      <c r="A1314">
        <v>1312</v>
      </c>
      <c r="B1314" t="s">
        <v>1366</v>
      </c>
      <c r="C1314" t="s">
        <v>1358</v>
      </c>
      <c r="D1314">
        <v>150</v>
      </c>
      <c r="E1314">
        <v>60</v>
      </c>
      <c r="F1314" t="s">
        <v>9</v>
      </c>
      <c r="G1314" t="s">
        <v>1347</v>
      </c>
    </row>
    <row r="1315" spans="1:7" x14ac:dyDescent="0.3">
      <c r="A1315">
        <v>1313</v>
      </c>
      <c r="B1315" t="s">
        <v>1367</v>
      </c>
      <c r="C1315" t="s">
        <v>994</v>
      </c>
      <c r="D1315">
        <v>30</v>
      </c>
      <c r="E1315">
        <v>25</v>
      </c>
      <c r="F1315" t="s">
        <v>834</v>
      </c>
      <c r="G1315" t="s">
        <v>1347</v>
      </c>
    </row>
    <row r="1316" spans="1:7" x14ac:dyDescent="0.3">
      <c r="A1316">
        <v>1314</v>
      </c>
      <c r="B1316" t="s">
        <v>1368</v>
      </c>
      <c r="C1316" t="s">
        <v>994</v>
      </c>
      <c r="D1316">
        <v>140</v>
      </c>
      <c r="E1316">
        <v>70</v>
      </c>
      <c r="F1316" t="s">
        <v>1369</v>
      </c>
      <c r="G1316" t="s">
        <v>1347</v>
      </c>
    </row>
    <row r="1317" spans="1:7" x14ac:dyDescent="0.3">
      <c r="A1317">
        <v>1315</v>
      </c>
      <c r="B1317" t="s">
        <v>1370</v>
      </c>
      <c r="C1317" t="s">
        <v>410</v>
      </c>
      <c r="D1317">
        <v>40</v>
      </c>
      <c r="E1317">
        <v>37</v>
      </c>
      <c r="F1317" t="s">
        <v>1371</v>
      </c>
      <c r="G1317" t="s">
        <v>1347</v>
      </c>
    </row>
    <row r="1318" spans="1:7" x14ac:dyDescent="0.3">
      <c r="A1318">
        <v>1316</v>
      </c>
      <c r="B1318" t="s">
        <v>1372</v>
      </c>
      <c r="C1318" t="s">
        <v>1358</v>
      </c>
      <c r="D1318">
        <v>190</v>
      </c>
      <c r="E1318">
        <v>95</v>
      </c>
      <c r="F1318" t="s">
        <v>9</v>
      </c>
      <c r="G1318" t="s">
        <v>1347</v>
      </c>
    </row>
    <row r="1319" spans="1:7" x14ac:dyDescent="0.3">
      <c r="A1319">
        <v>1317</v>
      </c>
      <c r="B1319" t="s">
        <v>1373</v>
      </c>
      <c r="C1319" t="s">
        <v>1358</v>
      </c>
      <c r="D1319">
        <v>50</v>
      </c>
      <c r="E1319">
        <v>25</v>
      </c>
      <c r="F1319" t="s">
        <v>834</v>
      </c>
      <c r="G1319" t="s">
        <v>1347</v>
      </c>
    </row>
    <row r="1320" spans="1:7" x14ac:dyDescent="0.3">
      <c r="A1320">
        <v>1318</v>
      </c>
      <c r="B1320" t="s">
        <v>1373</v>
      </c>
      <c r="C1320" t="s">
        <v>1358</v>
      </c>
      <c r="D1320">
        <v>160</v>
      </c>
      <c r="E1320">
        <v>80</v>
      </c>
      <c r="F1320" t="s">
        <v>107</v>
      </c>
      <c r="G1320" t="s">
        <v>1347</v>
      </c>
    </row>
    <row r="1321" spans="1:7" x14ac:dyDescent="0.3">
      <c r="A1321">
        <v>1319</v>
      </c>
      <c r="B1321" t="s">
        <v>1374</v>
      </c>
      <c r="C1321" t="s">
        <v>1375</v>
      </c>
      <c r="D1321">
        <v>50</v>
      </c>
      <c r="E1321">
        <v>35</v>
      </c>
      <c r="F1321" t="s">
        <v>1376</v>
      </c>
      <c r="G1321" t="s">
        <v>1347</v>
      </c>
    </row>
    <row r="1322" spans="1:7" x14ac:dyDescent="0.3">
      <c r="A1322">
        <v>1320</v>
      </c>
      <c r="B1322" t="s">
        <v>1377</v>
      </c>
      <c r="C1322" t="s">
        <v>1375</v>
      </c>
      <c r="D1322">
        <v>50</v>
      </c>
      <c r="E1322">
        <v>35</v>
      </c>
      <c r="F1322" t="s">
        <v>1376</v>
      </c>
      <c r="G1322" t="s">
        <v>1347</v>
      </c>
    </row>
    <row r="1323" spans="1:7" x14ac:dyDescent="0.3">
      <c r="A1323">
        <v>1321</v>
      </c>
      <c r="B1323" t="s">
        <v>1378</v>
      </c>
      <c r="C1323" t="s">
        <v>1379</v>
      </c>
      <c r="D1323">
        <v>25</v>
      </c>
      <c r="E1323">
        <v>23</v>
      </c>
      <c r="F1323" t="s">
        <v>188</v>
      </c>
      <c r="G1323" t="s">
        <v>1347</v>
      </c>
    </row>
    <row r="1324" spans="1:7" x14ac:dyDescent="0.3">
      <c r="A1324">
        <v>1322</v>
      </c>
      <c r="B1324" t="s">
        <v>1380</v>
      </c>
      <c r="C1324" t="s">
        <v>1381</v>
      </c>
      <c r="D1324">
        <v>199</v>
      </c>
      <c r="E1324">
        <v>175</v>
      </c>
      <c r="F1324" t="s">
        <v>1371</v>
      </c>
      <c r="G1324" t="s">
        <v>1347</v>
      </c>
    </row>
    <row r="1325" spans="1:7" x14ac:dyDescent="0.3">
      <c r="A1325">
        <v>1323</v>
      </c>
      <c r="B1325" t="s">
        <v>1382</v>
      </c>
      <c r="C1325" t="s">
        <v>1381</v>
      </c>
      <c r="D1325">
        <v>199</v>
      </c>
      <c r="E1325">
        <v>165</v>
      </c>
      <c r="F1325" t="s">
        <v>1371</v>
      </c>
      <c r="G1325" t="s">
        <v>1347</v>
      </c>
    </row>
    <row r="1326" spans="1:7" x14ac:dyDescent="0.3">
      <c r="A1326">
        <v>1324</v>
      </c>
      <c r="B1326" t="s">
        <v>1383</v>
      </c>
      <c r="C1326" t="s">
        <v>1384</v>
      </c>
      <c r="D1326">
        <v>350</v>
      </c>
      <c r="E1326">
        <v>234</v>
      </c>
      <c r="F1326" t="s">
        <v>107</v>
      </c>
      <c r="G1326" t="s">
        <v>1347</v>
      </c>
    </row>
    <row r="1327" spans="1:7" x14ac:dyDescent="0.3">
      <c r="A1327">
        <v>1325</v>
      </c>
      <c r="B1327" t="s">
        <v>1385</v>
      </c>
      <c r="C1327" t="s">
        <v>1384</v>
      </c>
      <c r="D1327">
        <v>370</v>
      </c>
      <c r="E1327">
        <v>227</v>
      </c>
      <c r="F1327" t="s">
        <v>1371</v>
      </c>
      <c r="G1327" t="s">
        <v>1347</v>
      </c>
    </row>
    <row r="1328" spans="1:7" x14ac:dyDescent="0.3">
      <c r="A1328">
        <v>1326</v>
      </c>
      <c r="B1328" t="s">
        <v>1386</v>
      </c>
      <c r="C1328" t="s">
        <v>1384</v>
      </c>
      <c r="D1328">
        <v>49</v>
      </c>
      <c r="E1328">
        <v>33</v>
      </c>
      <c r="F1328" t="s">
        <v>11</v>
      </c>
      <c r="G1328" t="s">
        <v>1347</v>
      </c>
    </row>
    <row r="1329" spans="1:7" x14ac:dyDescent="0.3">
      <c r="A1329">
        <v>1327</v>
      </c>
      <c r="B1329" t="s">
        <v>1387</v>
      </c>
      <c r="C1329" t="s">
        <v>1354</v>
      </c>
      <c r="D1329">
        <v>35</v>
      </c>
      <c r="E1329">
        <v>30</v>
      </c>
      <c r="F1329" t="s">
        <v>12</v>
      </c>
      <c r="G1329" t="s">
        <v>1347</v>
      </c>
    </row>
    <row r="1330" spans="1:7" x14ac:dyDescent="0.3">
      <c r="A1330">
        <v>1328</v>
      </c>
      <c r="B1330" t="s">
        <v>1388</v>
      </c>
      <c r="C1330" t="s">
        <v>1381</v>
      </c>
      <c r="D1330">
        <v>199</v>
      </c>
      <c r="E1330">
        <v>165</v>
      </c>
      <c r="F1330" t="s">
        <v>1389</v>
      </c>
      <c r="G1330" t="s">
        <v>1347</v>
      </c>
    </row>
    <row r="1331" spans="1:7" x14ac:dyDescent="0.3">
      <c r="A1331">
        <v>1329</v>
      </c>
      <c r="B1331" t="s">
        <v>1390</v>
      </c>
      <c r="C1331" t="s">
        <v>1381</v>
      </c>
      <c r="D1331">
        <v>199</v>
      </c>
      <c r="E1331">
        <v>165</v>
      </c>
      <c r="F1331" t="s">
        <v>1371</v>
      </c>
      <c r="G1331" t="s">
        <v>1347</v>
      </c>
    </row>
    <row r="1332" spans="1:7" x14ac:dyDescent="0.3">
      <c r="A1332">
        <v>1330</v>
      </c>
      <c r="B1332" t="s">
        <v>1391</v>
      </c>
      <c r="C1332" t="s">
        <v>1384</v>
      </c>
      <c r="D1332">
        <v>250</v>
      </c>
      <c r="E1332">
        <v>165</v>
      </c>
      <c r="F1332" t="s">
        <v>12</v>
      </c>
      <c r="G1332" t="s">
        <v>1347</v>
      </c>
    </row>
    <row r="1333" spans="1:7" x14ac:dyDescent="0.3">
      <c r="A1333">
        <v>1331</v>
      </c>
      <c r="B1333" t="s">
        <v>1392</v>
      </c>
      <c r="C1333" t="s">
        <v>1393</v>
      </c>
      <c r="D1333">
        <v>299</v>
      </c>
      <c r="E1333">
        <v>240</v>
      </c>
      <c r="F1333" t="s">
        <v>107</v>
      </c>
      <c r="G1333" t="s">
        <v>472</v>
      </c>
    </row>
    <row r="1334" spans="1:7" x14ac:dyDescent="0.3">
      <c r="A1334">
        <v>1332</v>
      </c>
      <c r="B1334" t="s">
        <v>1392</v>
      </c>
      <c r="C1334" t="s">
        <v>1393</v>
      </c>
      <c r="D1334">
        <v>189</v>
      </c>
      <c r="E1334">
        <v>149</v>
      </c>
      <c r="F1334" t="s">
        <v>1394</v>
      </c>
      <c r="G1334" t="s">
        <v>472</v>
      </c>
    </row>
    <row r="1335" spans="1:7" x14ac:dyDescent="0.3">
      <c r="A1335">
        <v>1333</v>
      </c>
      <c r="B1335" t="s">
        <v>1395</v>
      </c>
      <c r="C1335" t="s">
        <v>1375</v>
      </c>
      <c r="D1335">
        <v>50</v>
      </c>
      <c r="E1335">
        <v>35</v>
      </c>
      <c r="F1335" t="s">
        <v>1396</v>
      </c>
      <c r="G1335" t="s">
        <v>1347</v>
      </c>
    </row>
    <row r="1336" spans="1:7" x14ac:dyDescent="0.3">
      <c r="A1336">
        <v>1334</v>
      </c>
      <c r="B1336" t="s">
        <v>1397</v>
      </c>
      <c r="C1336" t="s">
        <v>1384</v>
      </c>
      <c r="D1336">
        <v>90</v>
      </c>
      <c r="E1336">
        <v>50</v>
      </c>
      <c r="F1336" t="s">
        <v>715</v>
      </c>
      <c r="G1336" t="s">
        <v>1347</v>
      </c>
    </row>
    <row r="1337" spans="1:7" x14ac:dyDescent="0.3">
      <c r="A1337">
        <v>1335</v>
      </c>
      <c r="B1337" t="s">
        <v>1398</v>
      </c>
      <c r="C1337" t="s">
        <v>1384</v>
      </c>
      <c r="D1337">
        <v>49</v>
      </c>
      <c r="E1337">
        <v>33</v>
      </c>
      <c r="F1337" t="s">
        <v>11</v>
      </c>
      <c r="G1337" t="s">
        <v>1347</v>
      </c>
    </row>
    <row r="1338" spans="1:7" x14ac:dyDescent="0.3">
      <c r="A1338">
        <v>1336</v>
      </c>
      <c r="B1338" t="s">
        <v>1399</v>
      </c>
      <c r="C1338" t="s">
        <v>1400</v>
      </c>
      <c r="D1338">
        <v>100</v>
      </c>
      <c r="E1338">
        <v>70</v>
      </c>
      <c r="F1338" t="s">
        <v>12</v>
      </c>
      <c r="G1338" t="s">
        <v>1347</v>
      </c>
    </row>
    <row r="1339" spans="1:7" x14ac:dyDescent="0.3">
      <c r="A1339">
        <v>1337</v>
      </c>
      <c r="B1339" t="s">
        <v>1401</v>
      </c>
      <c r="C1339" t="s">
        <v>1400</v>
      </c>
      <c r="D1339">
        <v>170</v>
      </c>
      <c r="E1339">
        <v>119</v>
      </c>
      <c r="F1339" t="s">
        <v>12</v>
      </c>
      <c r="G1339" t="s">
        <v>1347</v>
      </c>
    </row>
    <row r="1340" spans="1:7" x14ac:dyDescent="0.3">
      <c r="A1340">
        <v>1338</v>
      </c>
      <c r="B1340" t="s">
        <v>1402</v>
      </c>
      <c r="C1340" t="s">
        <v>1400</v>
      </c>
      <c r="D1340">
        <v>60</v>
      </c>
      <c r="E1340">
        <v>42</v>
      </c>
      <c r="F1340" t="s">
        <v>188</v>
      </c>
      <c r="G1340" t="s">
        <v>1347</v>
      </c>
    </row>
    <row r="1341" spans="1:7" x14ac:dyDescent="0.3">
      <c r="A1341">
        <v>1339</v>
      </c>
      <c r="B1341" t="s">
        <v>1403</v>
      </c>
      <c r="C1341" t="s">
        <v>1358</v>
      </c>
      <c r="D1341">
        <v>150</v>
      </c>
      <c r="E1341">
        <v>75</v>
      </c>
      <c r="F1341" t="s">
        <v>1371</v>
      </c>
      <c r="G1341" t="s">
        <v>1347</v>
      </c>
    </row>
    <row r="1342" spans="1:7" x14ac:dyDescent="0.3">
      <c r="A1342">
        <v>1340</v>
      </c>
      <c r="B1342" t="s">
        <v>1404</v>
      </c>
      <c r="C1342" t="s">
        <v>1358</v>
      </c>
      <c r="D1342">
        <v>150</v>
      </c>
      <c r="E1342">
        <v>75</v>
      </c>
      <c r="F1342" t="s">
        <v>1371</v>
      </c>
      <c r="G1342" t="s">
        <v>1347</v>
      </c>
    </row>
    <row r="1343" spans="1:7" x14ac:dyDescent="0.3">
      <c r="A1343">
        <v>1341</v>
      </c>
      <c r="B1343" t="s">
        <v>1405</v>
      </c>
      <c r="C1343" t="s">
        <v>1358</v>
      </c>
      <c r="D1343">
        <v>50</v>
      </c>
      <c r="E1343">
        <v>25</v>
      </c>
      <c r="F1343" t="s">
        <v>834</v>
      </c>
      <c r="G1343" t="s">
        <v>1347</v>
      </c>
    </row>
    <row r="1344" spans="1:7" x14ac:dyDescent="0.3">
      <c r="A1344">
        <v>1342</v>
      </c>
      <c r="B1344" t="s">
        <v>1406</v>
      </c>
      <c r="C1344" t="s">
        <v>1358</v>
      </c>
      <c r="D1344">
        <v>50</v>
      </c>
      <c r="E1344">
        <v>25</v>
      </c>
      <c r="F1344" t="s">
        <v>834</v>
      </c>
      <c r="G1344" t="s">
        <v>1347</v>
      </c>
    </row>
    <row r="1345" spans="1:7" x14ac:dyDescent="0.3">
      <c r="A1345">
        <v>1343</v>
      </c>
      <c r="B1345" t="s">
        <v>1407</v>
      </c>
      <c r="C1345" t="s">
        <v>1408</v>
      </c>
      <c r="D1345">
        <v>140</v>
      </c>
      <c r="E1345">
        <v>112</v>
      </c>
      <c r="F1345" t="s">
        <v>1409</v>
      </c>
      <c r="G1345" t="s">
        <v>1347</v>
      </c>
    </row>
    <row r="1346" spans="1:7" x14ac:dyDescent="0.3">
      <c r="A1346">
        <v>1344</v>
      </c>
      <c r="B1346" t="s">
        <v>1410</v>
      </c>
      <c r="C1346" t="s">
        <v>1411</v>
      </c>
      <c r="D1346">
        <v>30</v>
      </c>
      <c r="E1346">
        <v>15</v>
      </c>
      <c r="F1346" t="s">
        <v>715</v>
      </c>
      <c r="G1346" t="s">
        <v>1347</v>
      </c>
    </row>
    <row r="1347" spans="1:7" x14ac:dyDescent="0.3">
      <c r="A1347">
        <v>1345</v>
      </c>
      <c r="B1347" t="s">
        <v>1412</v>
      </c>
      <c r="C1347" t="s">
        <v>1349</v>
      </c>
      <c r="D1347">
        <v>5</v>
      </c>
      <c r="E1347">
        <v>5</v>
      </c>
      <c r="F1347" t="s">
        <v>216</v>
      </c>
      <c r="G1347" t="s">
        <v>1347</v>
      </c>
    </row>
    <row r="1348" spans="1:7" x14ac:dyDescent="0.3">
      <c r="A1348">
        <v>1346</v>
      </c>
      <c r="B1348" t="s">
        <v>1412</v>
      </c>
      <c r="C1348" t="s">
        <v>1349</v>
      </c>
      <c r="D1348">
        <v>25</v>
      </c>
      <c r="E1348">
        <v>23</v>
      </c>
      <c r="F1348" t="s">
        <v>12</v>
      </c>
      <c r="G1348" t="s">
        <v>1347</v>
      </c>
    </row>
    <row r="1349" spans="1:7" x14ac:dyDescent="0.3">
      <c r="A1349">
        <v>1347</v>
      </c>
      <c r="B1349" t="s">
        <v>1412</v>
      </c>
      <c r="C1349" t="s">
        <v>1349</v>
      </c>
      <c r="D1349">
        <v>85</v>
      </c>
      <c r="E1349">
        <v>76</v>
      </c>
      <c r="F1349" t="s">
        <v>1413</v>
      </c>
      <c r="G1349" t="s">
        <v>1347</v>
      </c>
    </row>
    <row r="1350" spans="1:7" x14ac:dyDescent="0.3">
      <c r="A1350">
        <v>1348</v>
      </c>
      <c r="B1350" t="s">
        <v>1414</v>
      </c>
      <c r="C1350" t="s">
        <v>1349</v>
      </c>
      <c r="D1350">
        <v>75</v>
      </c>
      <c r="E1350">
        <v>69</v>
      </c>
      <c r="F1350" t="s">
        <v>9</v>
      </c>
      <c r="G1350" t="s">
        <v>1347</v>
      </c>
    </row>
    <row r="1351" spans="1:7" x14ac:dyDescent="0.3">
      <c r="A1351">
        <v>1349</v>
      </c>
      <c r="B1351" t="s">
        <v>1414</v>
      </c>
      <c r="C1351" t="s">
        <v>1349</v>
      </c>
      <c r="D1351">
        <v>140</v>
      </c>
      <c r="E1351">
        <v>114</v>
      </c>
      <c r="F1351" t="s">
        <v>15</v>
      </c>
      <c r="G1351" t="s">
        <v>1347</v>
      </c>
    </row>
    <row r="1352" spans="1:7" x14ac:dyDescent="0.3">
      <c r="A1352">
        <v>1350</v>
      </c>
      <c r="B1352" t="s">
        <v>1415</v>
      </c>
      <c r="C1352" t="s">
        <v>994</v>
      </c>
      <c r="D1352">
        <v>25</v>
      </c>
      <c r="E1352">
        <v>23</v>
      </c>
      <c r="F1352" t="s">
        <v>1416</v>
      </c>
      <c r="G1352" t="s">
        <v>1347</v>
      </c>
    </row>
    <row r="1353" spans="1:7" x14ac:dyDescent="0.3">
      <c r="A1353">
        <v>1351</v>
      </c>
      <c r="B1353" t="s">
        <v>1415</v>
      </c>
      <c r="C1353" t="s">
        <v>994</v>
      </c>
      <c r="D1353">
        <v>90</v>
      </c>
      <c r="E1353">
        <v>65</v>
      </c>
      <c r="F1353" t="s">
        <v>9</v>
      </c>
      <c r="G1353" t="s">
        <v>1347</v>
      </c>
    </row>
    <row r="1354" spans="1:7" x14ac:dyDescent="0.3">
      <c r="A1354">
        <v>1352</v>
      </c>
      <c r="B1354" t="s">
        <v>1417</v>
      </c>
      <c r="C1354" t="s">
        <v>994</v>
      </c>
      <c r="D1354">
        <v>140</v>
      </c>
      <c r="E1354">
        <v>115</v>
      </c>
      <c r="F1354" t="s">
        <v>15</v>
      </c>
      <c r="G1354" t="s">
        <v>1347</v>
      </c>
    </row>
    <row r="1355" spans="1:7" x14ac:dyDescent="0.3">
      <c r="A1355">
        <v>1353</v>
      </c>
      <c r="B1355" t="s">
        <v>1417</v>
      </c>
      <c r="C1355" t="s">
        <v>994</v>
      </c>
      <c r="D1355">
        <v>40</v>
      </c>
      <c r="E1355">
        <v>35</v>
      </c>
      <c r="F1355" t="s">
        <v>107</v>
      </c>
      <c r="G1355" t="s">
        <v>1347</v>
      </c>
    </row>
    <row r="1356" spans="1:7" x14ac:dyDescent="0.3">
      <c r="A1356">
        <v>1354</v>
      </c>
      <c r="B1356" t="s">
        <v>1418</v>
      </c>
      <c r="C1356" t="s">
        <v>994</v>
      </c>
      <c r="D1356">
        <v>126</v>
      </c>
      <c r="E1356">
        <v>106</v>
      </c>
      <c r="F1356" t="s">
        <v>254</v>
      </c>
      <c r="G1356" t="s">
        <v>1347</v>
      </c>
    </row>
    <row r="1357" spans="1:7" x14ac:dyDescent="0.3">
      <c r="A1357">
        <v>1355</v>
      </c>
      <c r="B1357" t="s">
        <v>1418</v>
      </c>
      <c r="C1357" t="s">
        <v>994</v>
      </c>
      <c r="D1357">
        <v>45</v>
      </c>
      <c r="E1357">
        <v>40</v>
      </c>
      <c r="F1357" t="s">
        <v>1419</v>
      </c>
      <c r="G1357" t="s">
        <v>1347</v>
      </c>
    </row>
    <row r="1358" spans="1:7" x14ac:dyDescent="0.3">
      <c r="A1358">
        <v>1356</v>
      </c>
      <c r="B1358" t="s">
        <v>1418</v>
      </c>
      <c r="C1358" t="s">
        <v>994</v>
      </c>
      <c r="D1358">
        <v>30</v>
      </c>
      <c r="E1358">
        <v>27</v>
      </c>
      <c r="F1358" t="s">
        <v>188</v>
      </c>
      <c r="G1358" t="s">
        <v>1347</v>
      </c>
    </row>
    <row r="1359" spans="1:7" x14ac:dyDescent="0.3">
      <c r="A1359">
        <v>1357</v>
      </c>
      <c r="B1359" t="s">
        <v>1420</v>
      </c>
      <c r="C1359" t="s">
        <v>1354</v>
      </c>
      <c r="D1359">
        <v>140</v>
      </c>
      <c r="E1359">
        <v>93</v>
      </c>
      <c r="F1359" t="s">
        <v>15</v>
      </c>
      <c r="G1359" t="s">
        <v>1347</v>
      </c>
    </row>
    <row r="1360" spans="1:7" x14ac:dyDescent="0.3">
      <c r="A1360">
        <v>1358</v>
      </c>
      <c r="B1360" t="s">
        <v>1421</v>
      </c>
      <c r="C1360" t="s">
        <v>1349</v>
      </c>
      <c r="D1360">
        <v>120</v>
      </c>
      <c r="E1360">
        <v>85</v>
      </c>
      <c r="F1360" t="s">
        <v>1413</v>
      </c>
      <c r="G1360" t="s">
        <v>1347</v>
      </c>
    </row>
    <row r="1361" spans="1:7" x14ac:dyDescent="0.3">
      <c r="A1361">
        <v>1359</v>
      </c>
      <c r="B1361" t="s">
        <v>1422</v>
      </c>
      <c r="C1361" t="s">
        <v>1423</v>
      </c>
      <c r="D1361">
        <v>40</v>
      </c>
      <c r="E1361">
        <v>32</v>
      </c>
      <c r="F1361" t="s">
        <v>12</v>
      </c>
      <c r="G1361" t="s">
        <v>1347</v>
      </c>
    </row>
    <row r="1362" spans="1:7" x14ac:dyDescent="0.3">
      <c r="A1362">
        <v>1360</v>
      </c>
      <c r="B1362" t="s">
        <v>1424</v>
      </c>
      <c r="C1362" t="s">
        <v>1349</v>
      </c>
      <c r="D1362">
        <v>120</v>
      </c>
      <c r="E1362">
        <v>85</v>
      </c>
      <c r="F1362" t="s">
        <v>791</v>
      </c>
      <c r="G1362" t="s">
        <v>1347</v>
      </c>
    </row>
    <row r="1363" spans="1:7" x14ac:dyDescent="0.3">
      <c r="A1363">
        <v>1361</v>
      </c>
      <c r="B1363" t="s">
        <v>1424</v>
      </c>
      <c r="C1363" t="s">
        <v>1349</v>
      </c>
      <c r="D1363">
        <v>70</v>
      </c>
      <c r="E1363">
        <v>65</v>
      </c>
      <c r="F1363" t="s">
        <v>76</v>
      </c>
      <c r="G1363" t="s">
        <v>1347</v>
      </c>
    </row>
    <row r="1364" spans="1:7" x14ac:dyDescent="0.3">
      <c r="A1364">
        <v>1362</v>
      </c>
      <c r="B1364" t="s">
        <v>1424</v>
      </c>
      <c r="C1364" t="s">
        <v>1349</v>
      </c>
      <c r="D1364">
        <v>35</v>
      </c>
      <c r="E1364">
        <v>32</v>
      </c>
      <c r="F1364" t="s">
        <v>12</v>
      </c>
      <c r="G1364" t="s">
        <v>1347</v>
      </c>
    </row>
    <row r="1365" spans="1:7" x14ac:dyDescent="0.3">
      <c r="A1365">
        <v>1363</v>
      </c>
      <c r="B1365" t="s">
        <v>1425</v>
      </c>
      <c r="C1365" t="s">
        <v>1349</v>
      </c>
      <c r="D1365">
        <v>120</v>
      </c>
      <c r="E1365">
        <v>90</v>
      </c>
      <c r="F1365" t="s">
        <v>791</v>
      </c>
      <c r="G1365" t="s">
        <v>1347</v>
      </c>
    </row>
    <row r="1366" spans="1:7" x14ac:dyDescent="0.3">
      <c r="A1366">
        <v>1364</v>
      </c>
      <c r="B1366" t="s">
        <v>1425</v>
      </c>
      <c r="C1366" t="s">
        <v>1349</v>
      </c>
      <c r="D1366">
        <v>70</v>
      </c>
      <c r="E1366">
        <v>65</v>
      </c>
      <c r="F1366" t="s">
        <v>76</v>
      </c>
      <c r="G1366" t="s">
        <v>1347</v>
      </c>
    </row>
    <row r="1367" spans="1:7" x14ac:dyDescent="0.3">
      <c r="A1367">
        <v>1365</v>
      </c>
      <c r="B1367" t="s">
        <v>1425</v>
      </c>
      <c r="C1367" t="s">
        <v>1349</v>
      </c>
      <c r="D1367">
        <v>35</v>
      </c>
      <c r="E1367">
        <v>32</v>
      </c>
      <c r="F1367" t="s">
        <v>12</v>
      </c>
      <c r="G1367" t="s">
        <v>1347</v>
      </c>
    </row>
    <row r="1368" spans="1:7" x14ac:dyDescent="0.3">
      <c r="A1368">
        <v>1366</v>
      </c>
      <c r="B1368" t="s">
        <v>1426</v>
      </c>
      <c r="C1368" t="s">
        <v>994</v>
      </c>
      <c r="D1368">
        <v>90</v>
      </c>
      <c r="E1368">
        <v>65</v>
      </c>
      <c r="F1368" t="s">
        <v>1371</v>
      </c>
      <c r="G1368" t="s">
        <v>1347</v>
      </c>
    </row>
    <row r="1369" spans="1:7" x14ac:dyDescent="0.3">
      <c r="A1369">
        <v>1367</v>
      </c>
      <c r="B1369" t="s">
        <v>1426</v>
      </c>
      <c r="C1369" t="s">
        <v>994</v>
      </c>
      <c r="D1369">
        <v>30</v>
      </c>
      <c r="E1369">
        <v>27</v>
      </c>
      <c r="F1369" t="s">
        <v>1427</v>
      </c>
      <c r="G1369" t="s">
        <v>1347</v>
      </c>
    </row>
    <row r="1370" spans="1:7" x14ac:dyDescent="0.3">
      <c r="A1370">
        <v>1368</v>
      </c>
      <c r="B1370" t="s">
        <v>1428</v>
      </c>
      <c r="C1370" t="s">
        <v>1349</v>
      </c>
      <c r="D1370">
        <v>140</v>
      </c>
      <c r="E1370">
        <v>110</v>
      </c>
      <c r="F1370" t="s">
        <v>1371</v>
      </c>
      <c r="G1370" t="s">
        <v>1347</v>
      </c>
    </row>
    <row r="1371" spans="1:7" x14ac:dyDescent="0.3">
      <c r="A1371">
        <v>1369</v>
      </c>
      <c r="B1371" t="s">
        <v>1429</v>
      </c>
      <c r="C1371" t="s">
        <v>1430</v>
      </c>
      <c r="D1371">
        <v>210</v>
      </c>
      <c r="E1371">
        <v>151</v>
      </c>
      <c r="F1371" t="s">
        <v>1371</v>
      </c>
      <c r="G1371" t="s">
        <v>1347</v>
      </c>
    </row>
    <row r="1372" spans="1:7" x14ac:dyDescent="0.3">
      <c r="A1372">
        <v>1370</v>
      </c>
      <c r="B1372" t="s">
        <v>1431</v>
      </c>
      <c r="C1372" t="s">
        <v>1432</v>
      </c>
      <c r="D1372">
        <v>40</v>
      </c>
      <c r="E1372">
        <v>30</v>
      </c>
      <c r="F1372" t="s">
        <v>834</v>
      </c>
      <c r="G1372" t="s">
        <v>1347</v>
      </c>
    </row>
    <row r="1373" spans="1:7" x14ac:dyDescent="0.3">
      <c r="A1373">
        <v>1371</v>
      </c>
      <c r="B1373" t="s">
        <v>1431</v>
      </c>
      <c r="C1373" t="s">
        <v>1432</v>
      </c>
      <c r="D1373">
        <v>170</v>
      </c>
      <c r="E1373">
        <v>110</v>
      </c>
      <c r="F1373" t="s">
        <v>1371</v>
      </c>
      <c r="G1373" t="s">
        <v>1347</v>
      </c>
    </row>
    <row r="1374" spans="1:7" x14ac:dyDescent="0.3">
      <c r="A1374">
        <v>1372</v>
      </c>
      <c r="B1374" t="s">
        <v>1433</v>
      </c>
      <c r="C1374" t="s">
        <v>1433</v>
      </c>
      <c r="D1374">
        <v>210</v>
      </c>
      <c r="E1374">
        <v>145</v>
      </c>
      <c r="F1374" t="s">
        <v>1434</v>
      </c>
      <c r="G1374" t="s">
        <v>1347</v>
      </c>
    </row>
    <row r="1375" spans="1:7" x14ac:dyDescent="0.3">
      <c r="A1375">
        <v>1373</v>
      </c>
      <c r="B1375" t="s">
        <v>1433</v>
      </c>
      <c r="C1375" t="s">
        <v>1433</v>
      </c>
      <c r="D1375">
        <v>150</v>
      </c>
      <c r="E1375">
        <v>99</v>
      </c>
      <c r="F1375" t="s">
        <v>1371</v>
      </c>
      <c r="G1375" t="s">
        <v>1347</v>
      </c>
    </row>
    <row r="1376" spans="1:7" x14ac:dyDescent="0.3">
      <c r="A1376">
        <v>1374</v>
      </c>
      <c r="B1376" t="s">
        <v>1433</v>
      </c>
      <c r="C1376" t="s">
        <v>1433</v>
      </c>
      <c r="D1376">
        <v>80</v>
      </c>
      <c r="E1376">
        <v>70</v>
      </c>
      <c r="F1376" t="s">
        <v>928</v>
      </c>
      <c r="G1376" t="s">
        <v>1347</v>
      </c>
    </row>
    <row r="1377" spans="1:7" x14ac:dyDescent="0.3">
      <c r="A1377">
        <v>1375</v>
      </c>
      <c r="B1377" t="s">
        <v>1435</v>
      </c>
      <c r="C1377" t="s">
        <v>1436</v>
      </c>
      <c r="D1377">
        <v>85</v>
      </c>
      <c r="E1377">
        <v>56</v>
      </c>
      <c r="F1377" t="s">
        <v>1371</v>
      </c>
      <c r="G1377" t="s">
        <v>1347</v>
      </c>
    </row>
    <row r="1378" spans="1:7" x14ac:dyDescent="0.3">
      <c r="A1378">
        <v>1376</v>
      </c>
      <c r="B1378" t="s">
        <v>1435</v>
      </c>
      <c r="C1378" t="s">
        <v>1436</v>
      </c>
      <c r="D1378">
        <v>145</v>
      </c>
      <c r="E1378">
        <v>95</v>
      </c>
      <c r="F1378" t="s">
        <v>9</v>
      </c>
      <c r="G1378" t="s">
        <v>1347</v>
      </c>
    </row>
    <row r="1379" spans="1:7" x14ac:dyDescent="0.3">
      <c r="A1379">
        <v>1377</v>
      </c>
      <c r="B1379" t="s">
        <v>1435</v>
      </c>
      <c r="C1379" t="s">
        <v>1436</v>
      </c>
      <c r="D1379">
        <v>30</v>
      </c>
      <c r="E1379">
        <v>27</v>
      </c>
      <c r="F1379" t="s">
        <v>715</v>
      </c>
      <c r="G1379" t="s">
        <v>1347</v>
      </c>
    </row>
    <row r="1380" spans="1:7" x14ac:dyDescent="0.3">
      <c r="A1380">
        <v>1378</v>
      </c>
      <c r="B1380" t="s">
        <v>1437</v>
      </c>
      <c r="C1380" t="s">
        <v>1438</v>
      </c>
      <c r="D1380">
        <v>76</v>
      </c>
      <c r="E1380">
        <v>47</v>
      </c>
      <c r="F1380" t="s">
        <v>1371</v>
      </c>
      <c r="G1380" t="s">
        <v>1347</v>
      </c>
    </row>
    <row r="1381" spans="1:7" x14ac:dyDescent="0.3">
      <c r="A1381">
        <v>1379</v>
      </c>
      <c r="B1381" t="s">
        <v>1439</v>
      </c>
      <c r="C1381" t="s">
        <v>994</v>
      </c>
      <c r="D1381">
        <v>35</v>
      </c>
      <c r="E1381">
        <v>23</v>
      </c>
      <c r="F1381" t="s">
        <v>188</v>
      </c>
      <c r="G1381" t="s">
        <v>1347</v>
      </c>
    </row>
    <row r="1382" spans="1:7" x14ac:dyDescent="0.3">
      <c r="A1382">
        <v>1380</v>
      </c>
      <c r="B1382" t="s">
        <v>1440</v>
      </c>
      <c r="C1382" t="s">
        <v>994</v>
      </c>
      <c r="D1382">
        <v>40</v>
      </c>
      <c r="E1382">
        <v>31</v>
      </c>
      <c r="F1382" t="s">
        <v>188</v>
      </c>
      <c r="G1382" t="s">
        <v>1347</v>
      </c>
    </row>
    <row r="1383" spans="1:7" x14ac:dyDescent="0.3">
      <c r="A1383">
        <v>1381</v>
      </c>
      <c r="B1383" t="s">
        <v>1440</v>
      </c>
      <c r="C1383" t="s">
        <v>994</v>
      </c>
      <c r="D1383">
        <v>10</v>
      </c>
      <c r="E1383">
        <v>9</v>
      </c>
      <c r="F1383" t="s">
        <v>216</v>
      </c>
      <c r="G1383" t="s">
        <v>1347</v>
      </c>
    </row>
    <row r="1384" spans="1:7" x14ac:dyDescent="0.3">
      <c r="A1384">
        <v>1382</v>
      </c>
      <c r="B1384" t="s">
        <v>1441</v>
      </c>
      <c r="C1384" t="s">
        <v>1442</v>
      </c>
      <c r="D1384">
        <v>85</v>
      </c>
      <c r="E1384">
        <v>56</v>
      </c>
      <c r="F1384" t="s">
        <v>1371</v>
      </c>
      <c r="G1384" t="s">
        <v>1347</v>
      </c>
    </row>
    <row r="1385" spans="1:7" x14ac:dyDescent="0.3">
      <c r="A1385">
        <v>1383</v>
      </c>
      <c r="B1385" t="s">
        <v>1441</v>
      </c>
      <c r="C1385" t="s">
        <v>1442</v>
      </c>
      <c r="D1385">
        <v>30</v>
      </c>
      <c r="E1385">
        <v>27</v>
      </c>
      <c r="F1385" t="s">
        <v>715</v>
      </c>
      <c r="G1385" t="s">
        <v>1347</v>
      </c>
    </row>
    <row r="1386" spans="1:7" x14ac:dyDescent="0.3">
      <c r="A1386">
        <v>1384</v>
      </c>
      <c r="B1386" t="s">
        <v>1443</v>
      </c>
      <c r="C1386" t="s">
        <v>1438</v>
      </c>
      <c r="D1386">
        <v>76</v>
      </c>
      <c r="E1386">
        <v>47</v>
      </c>
      <c r="F1386" t="s">
        <v>1371</v>
      </c>
      <c r="G1386" t="s">
        <v>1347</v>
      </c>
    </row>
    <row r="1387" spans="1:7" x14ac:dyDescent="0.3">
      <c r="A1387">
        <v>1385</v>
      </c>
      <c r="B1387" t="s">
        <v>1444</v>
      </c>
      <c r="C1387" t="s">
        <v>1438</v>
      </c>
      <c r="D1387">
        <v>34</v>
      </c>
      <c r="E1387">
        <v>22</v>
      </c>
      <c r="F1387" t="s">
        <v>188</v>
      </c>
      <c r="G1387" t="s">
        <v>1347</v>
      </c>
    </row>
    <row r="1388" spans="1:7" x14ac:dyDescent="0.3">
      <c r="A1388">
        <v>1386</v>
      </c>
      <c r="B1388" t="s">
        <v>1445</v>
      </c>
      <c r="C1388" t="s">
        <v>1432</v>
      </c>
      <c r="D1388">
        <v>30</v>
      </c>
      <c r="E1388">
        <v>15</v>
      </c>
      <c r="F1388" t="s">
        <v>11</v>
      </c>
      <c r="G1388" t="s">
        <v>1347</v>
      </c>
    </row>
    <row r="1389" spans="1:7" x14ac:dyDescent="0.3">
      <c r="A1389">
        <v>1387</v>
      </c>
      <c r="B1389" t="s">
        <v>1446</v>
      </c>
      <c r="C1389" t="s">
        <v>1432</v>
      </c>
      <c r="D1389">
        <v>30</v>
      </c>
      <c r="E1389">
        <v>15</v>
      </c>
      <c r="F1389" t="s">
        <v>11</v>
      </c>
      <c r="G1389" t="s">
        <v>1347</v>
      </c>
    </row>
    <row r="1390" spans="1:7" x14ac:dyDescent="0.3">
      <c r="A1390">
        <v>1388</v>
      </c>
      <c r="B1390" t="s">
        <v>1447</v>
      </c>
      <c r="C1390" t="s">
        <v>17</v>
      </c>
      <c r="D1390">
        <v>36</v>
      </c>
      <c r="E1390">
        <v>18</v>
      </c>
      <c r="F1390" t="s">
        <v>1396</v>
      </c>
      <c r="G1390" t="s">
        <v>1347</v>
      </c>
    </row>
    <row r="1391" spans="1:7" x14ac:dyDescent="0.3">
      <c r="A1391">
        <v>1389</v>
      </c>
      <c r="B1391" t="s">
        <v>1448</v>
      </c>
      <c r="C1391" t="s">
        <v>1436</v>
      </c>
      <c r="D1391">
        <v>70</v>
      </c>
      <c r="E1391">
        <v>50</v>
      </c>
      <c r="F1391" t="s">
        <v>188</v>
      </c>
      <c r="G1391" t="s">
        <v>1347</v>
      </c>
    </row>
    <row r="1392" spans="1:7" x14ac:dyDescent="0.3">
      <c r="A1392">
        <v>1390</v>
      </c>
      <c r="B1392" t="s">
        <v>1449</v>
      </c>
      <c r="C1392" t="s">
        <v>1349</v>
      </c>
      <c r="D1392">
        <v>30</v>
      </c>
      <c r="E1392">
        <v>27</v>
      </c>
      <c r="F1392" t="s">
        <v>11</v>
      </c>
      <c r="G1392" t="s">
        <v>1347</v>
      </c>
    </row>
    <row r="1393" spans="1:7" x14ac:dyDescent="0.3">
      <c r="A1393">
        <v>1391</v>
      </c>
      <c r="B1393" t="s">
        <v>1450</v>
      </c>
      <c r="C1393" t="s">
        <v>1451</v>
      </c>
      <c r="D1393">
        <v>99</v>
      </c>
      <c r="E1393">
        <v>69</v>
      </c>
      <c r="F1393" t="s">
        <v>76</v>
      </c>
      <c r="G1393" t="s">
        <v>1347</v>
      </c>
    </row>
    <row r="1394" spans="1:7" x14ac:dyDescent="0.3">
      <c r="A1394">
        <v>1392</v>
      </c>
      <c r="B1394" t="s">
        <v>1450</v>
      </c>
      <c r="C1394" t="s">
        <v>1451</v>
      </c>
      <c r="D1394">
        <v>30</v>
      </c>
      <c r="E1394">
        <v>27</v>
      </c>
      <c r="F1394" t="s">
        <v>715</v>
      </c>
      <c r="G1394" t="s">
        <v>1347</v>
      </c>
    </row>
    <row r="1395" spans="1:7" x14ac:dyDescent="0.3">
      <c r="A1395">
        <v>1393</v>
      </c>
      <c r="B1395" t="s">
        <v>1452</v>
      </c>
      <c r="C1395" t="s">
        <v>1430</v>
      </c>
      <c r="D1395">
        <v>210</v>
      </c>
      <c r="E1395">
        <v>175</v>
      </c>
      <c r="F1395" t="s">
        <v>1453</v>
      </c>
      <c r="G1395" t="s">
        <v>1347</v>
      </c>
    </row>
    <row r="1396" spans="1:7" x14ac:dyDescent="0.3">
      <c r="A1396">
        <v>1394</v>
      </c>
      <c r="B1396" t="s">
        <v>1454</v>
      </c>
      <c r="C1396" t="s">
        <v>1455</v>
      </c>
      <c r="D1396">
        <v>30</v>
      </c>
      <c r="E1396">
        <v>15</v>
      </c>
      <c r="F1396" t="s">
        <v>715</v>
      </c>
      <c r="G1396" t="s">
        <v>1347</v>
      </c>
    </row>
    <row r="1397" spans="1:7" x14ac:dyDescent="0.3">
      <c r="A1397">
        <v>1395</v>
      </c>
      <c r="B1397" t="s">
        <v>1456</v>
      </c>
      <c r="C1397" t="s">
        <v>1442</v>
      </c>
      <c r="D1397">
        <v>145</v>
      </c>
      <c r="E1397">
        <v>89</v>
      </c>
      <c r="F1397" t="s">
        <v>9</v>
      </c>
      <c r="G1397" t="s">
        <v>1347</v>
      </c>
    </row>
    <row r="1398" spans="1:7" x14ac:dyDescent="0.3">
      <c r="A1398">
        <v>1396</v>
      </c>
      <c r="B1398" t="s">
        <v>1457</v>
      </c>
      <c r="C1398" t="s">
        <v>1430</v>
      </c>
      <c r="D1398">
        <v>210</v>
      </c>
      <c r="E1398">
        <v>151</v>
      </c>
      <c r="F1398" t="s">
        <v>1453</v>
      </c>
      <c r="G1398" t="s">
        <v>1347</v>
      </c>
    </row>
    <row r="1399" spans="1:7" x14ac:dyDescent="0.3">
      <c r="A1399">
        <v>1397</v>
      </c>
      <c r="B1399" t="s">
        <v>1458</v>
      </c>
      <c r="C1399" t="s">
        <v>1436</v>
      </c>
      <c r="D1399">
        <v>40</v>
      </c>
      <c r="E1399">
        <v>30</v>
      </c>
      <c r="F1399" t="s">
        <v>715</v>
      </c>
      <c r="G1399" t="s">
        <v>1347</v>
      </c>
    </row>
    <row r="1400" spans="1:7" x14ac:dyDescent="0.3">
      <c r="A1400">
        <v>1398</v>
      </c>
      <c r="B1400" t="s">
        <v>1459</v>
      </c>
      <c r="C1400" t="s">
        <v>994</v>
      </c>
      <c r="D1400">
        <v>199</v>
      </c>
      <c r="E1400">
        <v>170</v>
      </c>
      <c r="F1400" t="s">
        <v>15</v>
      </c>
      <c r="G1400" t="s">
        <v>1347</v>
      </c>
    </row>
    <row r="1401" spans="1:7" x14ac:dyDescent="0.3">
      <c r="A1401">
        <v>1399</v>
      </c>
      <c r="B1401" t="s">
        <v>1459</v>
      </c>
      <c r="C1401" t="s">
        <v>994</v>
      </c>
      <c r="D1401">
        <v>50</v>
      </c>
      <c r="E1401">
        <v>45</v>
      </c>
      <c r="F1401" t="s">
        <v>188</v>
      </c>
      <c r="G1401" t="s">
        <v>1347</v>
      </c>
    </row>
    <row r="1402" spans="1:7" x14ac:dyDescent="0.3">
      <c r="A1402">
        <v>1400</v>
      </c>
      <c r="B1402" t="s">
        <v>1459</v>
      </c>
      <c r="C1402" t="s">
        <v>994</v>
      </c>
      <c r="D1402">
        <v>20</v>
      </c>
      <c r="E1402">
        <v>19</v>
      </c>
      <c r="F1402" t="s">
        <v>11</v>
      </c>
      <c r="G1402" t="s">
        <v>1347</v>
      </c>
    </row>
    <row r="1403" spans="1:7" x14ac:dyDescent="0.3">
      <c r="A1403">
        <v>1401</v>
      </c>
      <c r="B1403" t="s">
        <v>1460</v>
      </c>
      <c r="C1403" t="s">
        <v>1354</v>
      </c>
      <c r="D1403">
        <v>200</v>
      </c>
      <c r="E1403">
        <v>100</v>
      </c>
      <c r="F1403" t="s">
        <v>1413</v>
      </c>
      <c r="G1403" t="s">
        <v>1347</v>
      </c>
    </row>
    <row r="1404" spans="1:7" x14ac:dyDescent="0.3">
      <c r="A1404">
        <v>1402</v>
      </c>
      <c r="B1404" t="s">
        <v>1461</v>
      </c>
      <c r="C1404" t="s">
        <v>1462</v>
      </c>
      <c r="D1404">
        <v>199</v>
      </c>
      <c r="E1404">
        <v>139</v>
      </c>
      <c r="F1404" t="s">
        <v>15</v>
      </c>
      <c r="G1404" t="s">
        <v>1347</v>
      </c>
    </row>
    <row r="1405" spans="1:7" x14ac:dyDescent="0.3">
      <c r="A1405">
        <v>1403</v>
      </c>
      <c r="B1405" t="s">
        <v>1461</v>
      </c>
      <c r="C1405" t="s">
        <v>1462</v>
      </c>
      <c r="D1405">
        <v>50</v>
      </c>
      <c r="E1405">
        <v>35</v>
      </c>
      <c r="F1405" t="s">
        <v>12</v>
      </c>
      <c r="G1405" t="s">
        <v>1347</v>
      </c>
    </row>
    <row r="1406" spans="1:7" x14ac:dyDescent="0.3">
      <c r="A1406">
        <v>1404</v>
      </c>
      <c r="B1406" t="s">
        <v>1463</v>
      </c>
      <c r="C1406" t="s">
        <v>994</v>
      </c>
      <c r="D1406">
        <v>110</v>
      </c>
      <c r="E1406">
        <v>90</v>
      </c>
      <c r="F1406" t="s">
        <v>1464</v>
      </c>
      <c r="G1406" t="s">
        <v>1465</v>
      </c>
    </row>
    <row r="1407" spans="1:7" x14ac:dyDescent="0.3">
      <c r="A1407">
        <v>1405</v>
      </c>
      <c r="B1407" t="s">
        <v>1463</v>
      </c>
      <c r="C1407" t="s">
        <v>994</v>
      </c>
      <c r="D1407">
        <v>70</v>
      </c>
      <c r="E1407">
        <v>55</v>
      </c>
      <c r="F1407" t="s">
        <v>76</v>
      </c>
      <c r="G1407" t="s">
        <v>1465</v>
      </c>
    </row>
    <row r="1408" spans="1:7" x14ac:dyDescent="0.3">
      <c r="A1408">
        <v>1406</v>
      </c>
      <c r="B1408" t="s">
        <v>1463</v>
      </c>
      <c r="C1408" t="s">
        <v>994</v>
      </c>
      <c r="D1408">
        <v>50</v>
      </c>
      <c r="E1408">
        <v>42</v>
      </c>
      <c r="F1408" t="s">
        <v>1466</v>
      </c>
      <c r="G1408" t="s">
        <v>1465</v>
      </c>
    </row>
    <row r="1409" spans="1:7" x14ac:dyDescent="0.3">
      <c r="A1409">
        <v>1407</v>
      </c>
      <c r="B1409" t="s">
        <v>1467</v>
      </c>
      <c r="C1409" t="s">
        <v>1349</v>
      </c>
      <c r="D1409">
        <v>55</v>
      </c>
      <c r="E1409">
        <v>44</v>
      </c>
      <c r="F1409" t="s">
        <v>1466</v>
      </c>
      <c r="G1409" t="s">
        <v>1465</v>
      </c>
    </row>
    <row r="1410" spans="1:7" x14ac:dyDescent="0.3">
      <c r="A1410">
        <v>1408</v>
      </c>
      <c r="B1410" t="s">
        <v>1467</v>
      </c>
      <c r="C1410" t="s">
        <v>1349</v>
      </c>
      <c r="D1410">
        <v>70</v>
      </c>
      <c r="E1410">
        <v>52</v>
      </c>
      <c r="F1410" t="s">
        <v>76</v>
      </c>
      <c r="G1410" t="s">
        <v>1465</v>
      </c>
    </row>
    <row r="1411" spans="1:7" x14ac:dyDescent="0.3">
      <c r="A1411">
        <v>1409</v>
      </c>
      <c r="B1411" t="s">
        <v>1468</v>
      </c>
      <c r="C1411" t="s">
        <v>17</v>
      </c>
      <c r="D1411">
        <v>59</v>
      </c>
      <c r="E1411">
        <v>46</v>
      </c>
      <c r="F1411" t="s">
        <v>76</v>
      </c>
      <c r="G1411" t="s">
        <v>1465</v>
      </c>
    </row>
    <row r="1412" spans="1:7" x14ac:dyDescent="0.3">
      <c r="A1412">
        <v>1410</v>
      </c>
      <c r="B1412" t="s">
        <v>1469</v>
      </c>
      <c r="C1412" t="s">
        <v>1470</v>
      </c>
      <c r="D1412">
        <v>50</v>
      </c>
      <c r="E1412">
        <v>43</v>
      </c>
      <c r="F1412" t="s">
        <v>1015</v>
      </c>
      <c r="G1412" t="s">
        <v>1465</v>
      </c>
    </row>
    <row r="1413" spans="1:7" x14ac:dyDescent="0.3">
      <c r="A1413">
        <v>1411</v>
      </c>
      <c r="B1413" t="s">
        <v>1471</v>
      </c>
      <c r="C1413" t="s">
        <v>1472</v>
      </c>
      <c r="D1413">
        <v>59</v>
      </c>
      <c r="E1413">
        <v>45</v>
      </c>
      <c r="F1413" t="s">
        <v>12</v>
      </c>
      <c r="G1413" t="s">
        <v>1465</v>
      </c>
    </row>
    <row r="1414" spans="1:7" x14ac:dyDescent="0.3">
      <c r="A1414">
        <v>1412</v>
      </c>
      <c r="B1414" t="s">
        <v>1473</v>
      </c>
      <c r="C1414" t="s">
        <v>1470</v>
      </c>
      <c r="D1414">
        <v>40</v>
      </c>
      <c r="E1414">
        <v>32</v>
      </c>
      <c r="F1414" t="s">
        <v>1015</v>
      </c>
      <c r="G1414" t="s">
        <v>1465</v>
      </c>
    </row>
    <row r="1415" spans="1:7" x14ac:dyDescent="0.3">
      <c r="A1415">
        <v>1413</v>
      </c>
      <c r="B1415" t="s">
        <v>1474</v>
      </c>
      <c r="C1415" t="s">
        <v>1400</v>
      </c>
      <c r="D1415">
        <v>90</v>
      </c>
      <c r="E1415">
        <v>59</v>
      </c>
      <c r="F1415" t="s">
        <v>12</v>
      </c>
      <c r="G1415" t="s">
        <v>1465</v>
      </c>
    </row>
    <row r="1416" spans="1:7" x14ac:dyDescent="0.3">
      <c r="A1416">
        <v>1414</v>
      </c>
      <c r="B1416" t="s">
        <v>1475</v>
      </c>
      <c r="C1416" t="s">
        <v>1400</v>
      </c>
      <c r="D1416">
        <v>115</v>
      </c>
      <c r="E1416">
        <v>80</v>
      </c>
      <c r="F1416" t="s">
        <v>12</v>
      </c>
      <c r="G1416" t="s">
        <v>1465</v>
      </c>
    </row>
    <row r="1417" spans="1:7" x14ac:dyDescent="0.3">
      <c r="A1417">
        <v>1415</v>
      </c>
      <c r="B1417" t="s">
        <v>1476</v>
      </c>
      <c r="C1417" t="s">
        <v>1400</v>
      </c>
      <c r="D1417">
        <v>80</v>
      </c>
      <c r="E1417">
        <v>56</v>
      </c>
      <c r="F1417" t="s">
        <v>12</v>
      </c>
      <c r="G1417" t="s">
        <v>1465</v>
      </c>
    </row>
    <row r="1418" spans="1:7" x14ac:dyDescent="0.3">
      <c r="A1418">
        <v>1416</v>
      </c>
      <c r="B1418" t="s">
        <v>1477</v>
      </c>
      <c r="C1418" t="s">
        <v>1400</v>
      </c>
      <c r="D1418">
        <v>90</v>
      </c>
      <c r="E1418">
        <v>63</v>
      </c>
      <c r="F1418" t="s">
        <v>188</v>
      </c>
      <c r="G1418" t="s">
        <v>1465</v>
      </c>
    </row>
    <row r="1419" spans="1:7" x14ac:dyDescent="0.3">
      <c r="A1419">
        <v>1417</v>
      </c>
      <c r="B1419" t="s">
        <v>1478</v>
      </c>
      <c r="C1419" t="s">
        <v>1400</v>
      </c>
      <c r="D1419">
        <v>115</v>
      </c>
      <c r="E1419">
        <v>80</v>
      </c>
      <c r="F1419" t="s">
        <v>12</v>
      </c>
      <c r="G1419" t="s">
        <v>1465</v>
      </c>
    </row>
    <row r="1420" spans="1:7" x14ac:dyDescent="0.3">
      <c r="A1420">
        <v>1418</v>
      </c>
      <c r="B1420" t="s">
        <v>1479</v>
      </c>
      <c r="C1420" t="s">
        <v>1400</v>
      </c>
      <c r="D1420">
        <v>110</v>
      </c>
      <c r="E1420">
        <v>77</v>
      </c>
      <c r="F1420" t="s">
        <v>12</v>
      </c>
      <c r="G1420" t="s">
        <v>1465</v>
      </c>
    </row>
    <row r="1421" spans="1:7" x14ac:dyDescent="0.3">
      <c r="A1421">
        <v>1419</v>
      </c>
      <c r="B1421" t="s">
        <v>1480</v>
      </c>
      <c r="C1421" t="s">
        <v>1400</v>
      </c>
      <c r="D1421">
        <v>110</v>
      </c>
      <c r="E1421">
        <v>77</v>
      </c>
      <c r="F1421" t="s">
        <v>12</v>
      </c>
      <c r="G1421" t="s">
        <v>1465</v>
      </c>
    </row>
    <row r="1422" spans="1:7" x14ac:dyDescent="0.3">
      <c r="A1422">
        <v>1420</v>
      </c>
      <c r="B1422" t="s">
        <v>1481</v>
      </c>
      <c r="C1422" t="s">
        <v>1400</v>
      </c>
      <c r="D1422">
        <v>85</v>
      </c>
      <c r="E1422">
        <v>56</v>
      </c>
      <c r="F1422" t="s">
        <v>12</v>
      </c>
      <c r="G1422" t="s">
        <v>1465</v>
      </c>
    </row>
    <row r="1423" spans="1:7" x14ac:dyDescent="0.3">
      <c r="A1423">
        <v>1421</v>
      </c>
      <c r="B1423" t="s">
        <v>1482</v>
      </c>
      <c r="C1423" t="s">
        <v>1400</v>
      </c>
      <c r="D1423">
        <v>85</v>
      </c>
      <c r="E1423">
        <v>63</v>
      </c>
      <c r="F1423" t="s">
        <v>12</v>
      </c>
      <c r="G1423" t="s">
        <v>1465</v>
      </c>
    </row>
    <row r="1424" spans="1:7" x14ac:dyDescent="0.3">
      <c r="A1424">
        <v>1422</v>
      </c>
      <c r="B1424" t="s">
        <v>1483</v>
      </c>
      <c r="C1424" t="s">
        <v>1400</v>
      </c>
      <c r="D1424">
        <v>90</v>
      </c>
      <c r="E1424">
        <v>59</v>
      </c>
      <c r="F1424" t="s">
        <v>12</v>
      </c>
      <c r="G1424" t="s">
        <v>1465</v>
      </c>
    </row>
    <row r="1425" spans="1:7" x14ac:dyDescent="0.3">
      <c r="A1425">
        <v>1423</v>
      </c>
      <c r="B1425" t="s">
        <v>1484</v>
      </c>
      <c r="C1425" t="s">
        <v>1400</v>
      </c>
      <c r="D1425">
        <v>85</v>
      </c>
      <c r="E1425">
        <v>59</v>
      </c>
      <c r="F1425" t="s">
        <v>188</v>
      </c>
      <c r="G1425" t="s">
        <v>1465</v>
      </c>
    </row>
    <row r="1426" spans="1:7" x14ac:dyDescent="0.3">
      <c r="A1426">
        <v>1424</v>
      </c>
      <c r="B1426" t="s">
        <v>1485</v>
      </c>
      <c r="C1426" t="s">
        <v>1400</v>
      </c>
      <c r="D1426">
        <v>85</v>
      </c>
      <c r="E1426">
        <v>59</v>
      </c>
      <c r="F1426" t="s">
        <v>188</v>
      </c>
      <c r="G1426" t="s">
        <v>1465</v>
      </c>
    </row>
    <row r="1427" spans="1:7" x14ac:dyDescent="0.3">
      <c r="A1427">
        <v>1425</v>
      </c>
      <c r="B1427" t="s">
        <v>1486</v>
      </c>
      <c r="C1427" t="s">
        <v>1400</v>
      </c>
      <c r="D1427">
        <v>85</v>
      </c>
      <c r="E1427">
        <v>59</v>
      </c>
      <c r="F1427" t="s">
        <v>188</v>
      </c>
      <c r="G1427" t="s">
        <v>1465</v>
      </c>
    </row>
    <row r="1428" spans="1:7" x14ac:dyDescent="0.3">
      <c r="A1428">
        <v>1426</v>
      </c>
      <c r="B1428" t="s">
        <v>1487</v>
      </c>
      <c r="C1428" t="s">
        <v>1400</v>
      </c>
      <c r="D1428">
        <v>70</v>
      </c>
      <c r="E1428">
        <v>49</v>
      </c>
      <c r="F1428" t="s">
        <v>188</v>
      </c>
      <c r="G1428" t="s">
        <v>1465</v>
      </c>
    </row>
    <row r="1429" spans="1:7" x14ac:dyDescent="0.3">
      <c r="A1429">
        <v>1427</v>
      </c>
      <c r="B1429" t="s">
        <v>1488</v>
      </c>
      <c r="C1429" t="s">
        <v>1489</v>
      </c>
      <c r="D1429">
        <v>180</v>
      </c>
      <c r="E1429">
        <v>90</v>
      </c>
      <c r="F1429" t="s">
        <v>107</v>
      </c>
      <c r="G1429" t="s">
        <v>1347</v>
      </c>
    </row>
    <row r="1430" spans="1:7" x14ac:dyDescent="0.3">
      <c r="A1430">
        <v>1428</v>
      </c>
      <c r="B1430" t="s">
        <v>1490</v>
      </c>
      <c r="C1430" t="s">
        <v>1489</v>
      </c>
      <c r="D1430">
        <v>50</v>
      </c>
      <c r="E1430">
        <v>25</v>
      </c>
      <c r="F1430" t="s">
        <v>709</v>
      </c>
      <c r="G1430" t="s">
        <v>1347</v>
      </c>
    </row>
    <row r="1431" spans="1:7" x14ac:dyDescent="0.3">
      <c r="A1431">
        <v>1429</v>
      </c>
      <c r="B1431" t="s">
        <v>1491</v>
      </c>
      <c r="C1431" t="s">
        <v>1492</v>
      </c>
      <c r="D1431">
        <v>60</v>
      </c>
      <c r="E1431">
        <v>27</v>
      </c>
      <c r="F1431" t="s">
        <v>834</v>
      </c>
      <c r="G1431" t="s">
        <v>1347</v>
      </c>
    </row>
    <row r="1432" spans="1:7" x14ac:dyDescent="0.3">
      <c r="A1432">
        <v>1430</v>
      </c>
      <c r="B1432" t="s">
        <v>1493</v>
      </c>
      <c r="C1432" t="s">
        <v>1489</v>
      </c>
      <c r="D1432">
        <v>50</v>
      </c>
      <c r="E1432">
        <v>25</v>
      </c>
      <c r="F1432" t="s">
        <v>709</v>
      </c>
      <c r="G1432" t="s">
        <v>1347</v>
      </c>
    </row>
    <row r="1433" spans="1:7" x14ac:dyDescent="0.3">
      <c r="A1433">
        <v>1431</v>
      </c>
      <c r="B1433" t="s">
        <v>1494</v>
      </c>
      <c r="C1433" t="s">
        <v>1489</v>
      </c>
      <c r="D1433">
        <v>50</v>
      </c>
      <c r="E1433">
        <v>25</v>
      </c>
      <c r="F1433" t="s">
        <v>709</v>
      </c>
      <c r="G1433" t="s">
        <v>1347</v>
      </c>
    </row>
    <row r="1434" spans="1:7" x14ac:dyDescent="0.3">
      <c r="A1434">
        <v>1432</v>
      </c>
      <c r="B1434" t="s">
        <v>1495</v>
      </c>
      <c r="C1434" t="s">
        <v>1489</v>
      </c>
      <c r="D1434">
        <v>180</v>
      </c>
      <c r="E1434">
        <v>90</v>
      </c>
      <c r="F1434" t="s">
        <v>107</v>
      </c>
      <c r="G1434" t="s">
        <v>1347</v>
      </c>
    </row>
    <row r="1435" spans="1:7" x14ac:dyDescent="0.3">
      <c r="A1435">
        <v>1433</v>
      </c>
      <c r="B1435" t="s">
        <v>1496</v>
      </c>
      <c r="C1435" t="s">
        <v>1492</v>
      </c>
      <c r="D1435">
        <v>60</v>
      </c>
      <c r="E1435">
        <v>30</v>
      </c>
      <c r="F1435" t="s">
        <v>834</v>
      </c>
      <c r="G1435" t="s">
        <v>1347</v>
      </c>
    </row>
    <row r="1436" spans="1:7" x14ac:dyDescent="0.3">
      <c r="A1436">
        <v>1434</v>
      </c>
      <c r="B1436" t="s">
        <v>1497</v>
      </c>
      <c r="C1436" t="s">
        <v>1489</v>
      </c>
      <c r="D1436">
        <v>50</v>
      </c>
      <c r="E1436">
        <v>25</v>
      </c>
      <c r="F1436" t="s">
        <v>709</v>
      </c>
      <c r="G1436" t="s">
        <v>1347</v>
      </c>
    </row>
    <row r="1437" spans="1:7" x14ac:dyDescent="0.3">
      <c r="A1437">
        <v>1435</v>
      </c>
      <c r="B1437" t="s">
        <v>1498</v>
      </c>
      <c r="C1437" t="s">
        <v>1492</v>
      </c>
      <c r="D1437">
        <v>60</v>
      </c>
      <c r="E1437">
        <v>30</v>
      </c>
      <c r="F1437" t="s">
        <v>834</v>
      </c>
      <c r="G1437" t="s">
        <v>1347</v>
      </c>
    </row>
    <row r="1438" spans="1:7" x14ac:dyDescent="0.3">
      <c r="A1438">
        <v>1436</v>
      </c>
      <c r="B1438" t="s">
        <v>1499</v>
      </c>
      <c r="C1438" t="s">
        <v>1500</v>
      </c>
      <c r="D1438">
        <v>199</v>
      </c>
      <c r="E1438">
        <v>175</v>
      </c>
      <c r="F1438" t="s">
        <v>1501</v>
      </c>
      <c r="G1438" t="s">
        <v>472</v>
      </c>
    </row>
    <row r="1439" spans="1:7" x14ac:dyDescent="0.3">
      <c r="A1439">
        <v>1437</v>
      </c>
      <c r="B1439" t="s">
        <v>1502</v>
      </c>
      <c r="C1439" t="s">
        <v>1500</v>
      </c>
      <c r="D1439">
        <v>199</v>
      </c>
      <c r="E1439">
        <v>175</v>
      </c>
      <c r="F1439" t="s">
        <v>1501</v>
      </c>
      <c r="G1439" t="s">
        <v>472</v>
      </c>
    </row>
    <row r="1440" spans="1:7" x14ac:dyDescent="0.3">
      <c r="A1440">
        <v>1438</v>
      </c>
      <c r="B1440" t="s">
        <v>1503</v>
      </c>
      <c r="C1440" t="s">
        <v>1500</v>
      </c>
      <c r="D1440">
        <v>199</v>
      </c>
      <c r="E1440">
        <v>175</v>
      </c>
      <c r="F1440" t="s">
        <v>1501</v>
      </c>
      <c r="G1440" t="s">
        <v>472</v>
      </c>
    </row>
    <row r="1441" spans="1:7" x14ac:dyDescent="0.3">
      <c r="A1441">
        <v>1439</v>
      </c>
      <c r="B1441" t="s">
        <v>1504</v>
      </c>
      <c r="C1441" t="s">
        <v>1500</v>
      </c>
      <c r="D1441">
        <v>199</v>
      </c>
      <c r="E1441">
        <v>175</v>
      </c>
      <c r="F1441" t="s">
        <v>1501</v>
      </c>
      <c r="G1441" t="s">
        <v>472</v>
      </c>
    </row>
    <row r="1442" spans="1:7" x14ac:dyDescent="0.3">
      <c r="A1442">
        <v>1440</v>
      </c>
      <c r="B1442" t="s">
        <v>1505</v>
      </c>
      <c r="C1442" t="s">
        <v>1506</v>
      </c>
      <c r="D1442">
        <v>120</v>
      </c>
      <c r="E1442">
        <v>90</v>
      </c>
      <c r="F1442" t="s">
        <v>1118</v>
      </c>
      <c r="G1442" t="s">
        <v>1347</v>
      </c>
    </row>
    <row r="1443" spans="1:7" x14ac:dyDescent="0.3">
      <c r="A1443">
        <v>1441</v>
      </c>
      <c r="B1443" t="s">
        <v>1507</v>
      </c>
      <c r="C1443" t="s">
        <v>1506</v>
      </c>
      <c r="D1443">
        <v>120</v>
      </c>
      <c r="E1443">
        <v>90</v>
      </c>
      <c r="F1443" t="s">
        <v>1118</v>
      </c>
      <c r="G1443" t="s">
        <v>1347</v>
      </c>
    </row>
    <row r="1444" spans="1:7" x14ac:dyDescent="0.3">
      <c r="A1444">
        <v>1442</v>
      </c>
      <c r="B1444" t="s">
        <v>1508</v>
      </c>
      <c r="C1444" t="s">
        <v>1509</v>
      </c>
      <c r="D1444">
        <v>1675</v>
      </c>
      <c r="E1444">
        <v>1299</v>
      </c>
      <c r="F1444" t="s">
        <v>15</v>
      </c>
      <c r="G1444" t="s">
        <v>1510</v>
      </c>
    </row>
    <row r="1445" spans="1:7" x14ac:dyDescent="0.3">
      <c r="A1445">
        <v>1443</v>
      </c>
      <c r="B1445" t="s">
        <v>1511</v>
      </c>
      <c r="C1445" t="s">
        <v>1509</v>
      </c>
      <c r="D1445">
        <v>465</v>
      </c>
      <c r="E1445">
        <v>385</v>
      </c>
      <c r="F1445" t="s">
        <v>1512</v>
      </c>
      <c r="G1445" t="s">
        <v>1510</v>
      </c>
    </row>
    <row r="1446" spans="1:7" x14ac:dyDescent="0.3">
      <c r="A1446">
        <v>1444</v>
      </c>
      <c r="B1446" t="s">
        <v>1513</v>
      </c>
      <c r="C1446" t="s">
        <v>1509</v>
      </c>
      <c r="D1446">
        <v>465</v>
      </c>
      <c r="E1446">
        <v>385</v>
      </c>
      <c r="F1446" t="s">
        <v>1512</v>
      </c>
      <c r="G1446" t="s">
        <v>1347</v>
      </c>
    </row>
    <row r="1447" spans="1:7" x14ac:dyDescent="0.3">
      <c r="A1447">
        <v>1445</v>
      </c>
      <c r="B1447" t="s">
        <v>1514</v>
      </c>
      <c r="C1447" t="s">
        <v>820</v>
      </c>
      <c r="D1447">
        <v>80</v>
      </c>
      <c r="E1447">
        <v>64</v>
      </c>
      <c r="F1447" t="s">
        <v>188</v>
      </c>
      <c r="G1447" t="s">
        <v>1347</v>
      </c>
    </row>
    <row r="1448" spans="1:7" x14ac:dyDescent="0.3">
      <c r="A1448">
        <v>1446</v>
      </c>
      <c r="B1448" t="s">
        <v>1515</v>
      </c>
      <c r="C1448" t="s">
        <v>820</v>
      </c>
      <c r="D1448">
        <v>80</v>
      </c>
      <c r="E1448">
        <v>59</v>
      </c>
      <c r="F1448" t="s">
        <v>188</v>
      </c>
      <c r="G1448" t="s">
        <v>1347</v>
      </c>
    </row>
    <row r="1449" spans="1:7" x14ac:dyDescent="0.3">
      <c r="A1449">
        <v>1447</v>
      </c>
      <c r="B1449" t="s">
        <v>1516</v>
      </c>
      <c r="C1449" t="s">
        <v>1517</v>
      </c>
      <c r="D1449">
        <v>55</v>
      </c>
      <c r="E1449">
        <v>49</v>
      </c>
      <c r="F1449" t="s">
        <v>188</v>
      </c>
      <c r="G1449" t="s">
        <v>855</v>
      </c>
    </row>
    <row r="1450" spans="1:7" x14ac:dyDescent="0.3">
      <c r="A1450">
        <v>1448</v>
      </c>
      <c r="B1450" t="s">
        <v>1516</v>
      </c>
      <c r="C1450" t="s">
        <v>1517</v>
      </c>
      <c r="D1450">
        <v>105</v>
      </c>
      <c r="E1450">
        <v>87</v>
      </c>
      <c r="F1450" t="s">
        <v>652</v>
      </c>
      <c r="G1450" t="s">
        <v>855</v>
      </c>
    </row>
    <row r="1451" spans="1:7" x14ac:dyDescent="0.3">
      <c r="A1451">
        <v>1449</v>
      </c>
      <c r="B1451" t="s">
        <v>1516</v>
      </c>
      <c r="C1451" t="s">
        <v>1517</v>
      </c>
      <c r="D1451">
        <v>260</v>
      </c>
      <c r="E1451">
        <v>209</v>
      </c>
      <c r="F1451" t="s">
        <v>15</v>
      </c>
      <c r="G1451" t="s">
        <v>855</v>
      </c>
    </row>
    <row r="1452" spans="1:7" x14ac:dyDescent="0.3">
      <c r="A1452">
        <v>1450</v>
      </c>
      <c r="B1452" t="s">
        <v>1518</v>
      </c>
      <c r="C1452" t="s">
        <v>1517</v>
      </c>
      <c r="D1452">
        <v>52</v>
      </c>
      <c r="E1452">
        <v>44</v>
      </c>
      <c r="F1452" t="s">
        <v>188</v>
      </c>
      <c r="G1452" t="s">
        <v>855</v>
      </c>
    </row>
    <row r="1453" spans="1:7" x14ac:dyDescent="0.3">
      <c r="A1453">
        <v>1451</v>
      </c>
      <c r="B1453" t="s">
        <v>1518</v>
      </c>
      <c r="C1453" t="s">
        <v>1517</v>
      </c>
      <c r="D1453">
        <v>90</v>
      </c>
      <c r="E1453">
        <v>78</v>
      </c>
      <c r="F1453" t="s">
        <v>652</v>
      </c>
      <c r="G1453" t="s">
        <v>855</v>
      </c>
    </row>
    <row r="1454" spans="1:7" x14ac:dyDescent="0.3">
      <c r="A1454">
        <v>1452</v>
      </c>
      <c r="B1454" t="s">
        <v>1518</v>
      </c>
      <c r="C1454" t="s">
        <v>1517</v>
      </c>
      <c r="D1454">
        <v>225</v>
      </c>
      <c r="E1454">
        <v>164</v>
      </c>
      <c r="F1454" t="s">
        <v>15</v>
      </c>
      <c r="G1454" t="s">
        <v>855</v>
      </c>
    </row>
    <row r="1455" spans="1:7" x14ac:dyDescent="0.3">
      <c r="A1455">
        <v>1453</v>
      </c>
      <c r="B1455" t="s">
        <v>1519</v>
      </c>
      <c r="C1455" t="s">
        <v>1520</v>
      </c>
      <c r="D1455">
        <v>180</v>
      </c>
      <c r="E1455">
        <v>99</v>
      </c>
      <c r="F1455" t="s">
        <v>9</v>
      </c>
      <c r="G1455" t="s">
        <v>855</v>
      </c>
    </row>
    <row r="1456" spans="1:7" x14ac:dyDescent="0.3">
      <c r="A1456">
        <v>1454</v>
      </c>
      <c r="B1456" t="s">
        <v>1521</v>
      </c>
      <c r="C1456" t="s">
        <v>1522</v>
      </c>
      <c r="D1456">
        <v>199</v>
      </c>
      <c r="E1456">
        <v>129</v>
      </c>
      <c r="F1456" t="s">
        <v>1413</v>
      </c>
      <c r="G1456" t="s">
        <v>855</v>
      </c>
    </row>
    <row r="1457" spans="1:7" x14ac:dyDescent="0.3">
      <c r="A1457">
        <v>1455</v>
      </c>
      <c r="B1457" t="s">
        <v>1523</v>
      </c>
      <c r="C1457" t="s">
        <v>1517</v>
      </c>
      <c r="D1457">
        <v>75</v>
      </c>
      <c r="E1457">
        <v>65</v>
      </c>
      <c r="F1457" t="s">
        <v>652</v>
      </c>
      <c r="G1457" t="s">
        <v>855</v>
      </c>
    </row>
    <row r="1458" spans="1:7" x14ac:dyDescent="0.3">
      <c r="A1458">
        <v>1456</v>
      </c>
      <c r="B1458" t="s">
        <v>1523</v>
      </c>
      <c r="C1458" t="s">
        <v>1517</v>
      </c>
      <c r="D1458">
        <v>200</v>
      </c>
      <c r="E1458">
        <v>160</v>
      </c>
      <c r="F1458" t="s">
        <v>15</v>
      </c>
      <c r="G1458" t="s">
        <v>855</v>
      </c>
    </row>
    <row r="1459" spans="1:7" x14ac:dyDescent="0.3">
      <c r="A1459">
        <v>1457</v>
      </c>
      <c r="B1459" t="s">
        <v>1524</v>
      </c>
      <c r="C1459" t="s">
        <v>1525</v>
      </c>
      <c r="D1459">
        <v>320</v>
      </c>
      <c r="E1459">
        <v>219</v>
      </c>
      <c r="F1459" t="s">
        <v>15</v>
      </c>
      <c r="G1459" t="s">
        <v>855</v>
      </c>
    </row>
    <row r="1460" spans="1:7" x14ac:dyDescent="0.3">
      <c r="A1460">
        <v>1458</v>
      </c>
      <c r="B1460" t="s">
        <v>1526</v>
      </c>
      <c r="C1460" t="s">
        <v>1520</v>
      </c>
      <c r="D1460">
        <v>85</v>
      </c>
      <c r="E1460">
        <v>49</v>
      </c>
      <c r="F1460" t="s">
        <v>1527</v>
      </c>
      <c r="G1460" t="s">
        <v>855</v>
      </c>
    </row>
    <row r="1461" spans="1:7" x14ac:dyDescent="0.3">
      <c r="A1461">
        <v>1459</v>
      </c>
      <c r="B1461" t="s">
        <v>1528</v>
      </c>
      <c r="C1461" t="s">
        <v>1517</v>
      </c>
      <c r="D1461">
        <v>55</v>
      </c>
      <c r="E1461">
        <v>49</v>
      </c>
      <c r="F1461" t="s">
        <v>188</v>
      </c>
      <c r="G1461" t="s">
        <v>855</v>
      </c>
    </row>
    <row r="1462" spans="1:7" x14ac:dyDescent="0.3">
      <c r="A1462">
        <v>1460</v>
      </c>
      <c r="B1462" t="s">
        <v>1528</v>
      </c>
      <c r="C1462" t="s">
        <v>1517</v>
      </c>
      <c r="D1462">
        <v>105</v>
      </c>
      <c r="E1462">
        <v>93</v>
      </c>
      <c r="F1462" t="s">
        <v>652</v>
      </c>
      <c r="G1462" t="s">
        <v>855</v>
      </c>
    </row>
    <row r="1463" spans="1:7" x14ac:dyDescent="0.3">
      <c r="A1463">
        <v>1461</v>
      </c>
      <c r="B1463" t="s">
        <v>1528</v>
      </c>
      <c r="C1463" t="s">
        <v>1517</v>
      </c>
      <c r="D1463">
        <v>260</v>
      </c>
      <c r="E1463">
        <v>234</v>
      </c>
      <c r="F1463" t="s">
        <v>15</v>
      </c>
      <c r="G1463" t="s">
        <v>855</v>
      </c>
    </row>
    <row r="1464" spans="1:7" x14ac:dyDescent="0.3">
      <c r="A1464">
        <v>1462</v>
      </c>
      <c r="B1464" t="s">
        <v>1529</v>
      </c>
      <c r="C1464" t="s">
        <v>1525</v>
      </c>
      <c r="D1464">
        <v>65</v>
      </c>
      <c r="E1464">
        <v>32</v>
      </c>
      <c r="F1464" t="s">
        <v>12</v>
      </c>
      <c r="G1464" t="s">
        <v>855</v>
      </c>
    </row>
    <row r="1465" spans="1:7" x14ac:dyDescent="0.3">
      <c r="A1465">
        <v>1463</v>
      </c>
      <c r="B1465" t="s">
        <v>1530</v>
      </c>
      <c r="C1465" t="s">
        <v>1517</v>
      </c>
      <c r="D1465">
        <v>74</v>
      </c>
      <c r="E1465">
        <v>59</v>
      </c>
      <c r="F1465" t="s">
        <v>652</v>
      </c>
      <c r="G1465" t="s">
        <v>855</v>
      </c>
    </row>
    <row r="1466" spans="1:7" x14ac:dyDescent="0.3">
      <c r="A1466">
        <v>1464</v>
      </c>
      <c r="B1466" t="s">
        <v>1531</v>
      </c>
      <c r="C1466" t="s">
        <v>1532</v>
      </c>
      <c r="D1466">
        <v>60</v>
      </c>
      <c r="E1466">
        <v>30</v>
      </c>
      <c r="F1466" t="s">
        <v>709</v>
      </c>
      <c r="G1466" t="s">
        <v>855</v>
      </c>
    </row>
    <row r="1467" spans="1:7" x14ac:dyDescent="0.3">
      <c r="A1467">
        <v>1465</v>
      </c>
      <c r="B1467" t="s">
        <v>1533</v>
      </c>
      <c r="C1467" t="s">
        <v>1532</v>
      </c>
      <c r="D1467">
        <v>60</v>
      </c>
      <c r="E1467">
        <v>30</v>
      </c>
      <c r="F1467" t="s">
        <v>709</v>
      </c>
      <c r="G1467" t="s">
        <v>855</v>
      </c>
    </row>
    <row r="1468" spans="1:7" x14ac:dyDescent="0.3">
      <c r="A1468">
        <v>1466</v>
      </c>
      <c r="B1468" t="s">
        <v>1534</v>
      </c>
      <c r="C1468" t="s">
        <v>1517</v>
      </c>
      <c r="D1468">
        <v>40</v>
      </c>
      <c r="E1468">
        <v>36</v>
      </c>
      <c r="F1468" t="s">
        <v>188</v>
      </c>
      <c r="G1468" t="s">
        <v>855</v>
      </c>
    </row>
    <row r="1469" spans="1:7" x14ac:dyDescent="0.3">
      <c r="A1469">
        <v>1467</v>
      </c>
      <c r="B1469" t="s">
        <v>1535</v>
      </c>
      <c r="C1469" t="s">
        <v>1536</v>
      </c>
      <c r="D1469">
        <v>340</v>
      </c>
      <c r="E1469">
        <v>165</v>
      </c>
      <c r="F1469" t="s">
        <v>15</v>
      </c>
      <c r="G1469" t="s">
        <v>855</v>
      </c>
    </row>
    <row r="1470" spans="1:7" x14ac:dyDescent="0.3">
      <c r="A1470">
        <v>1468</v>
      </c>
      <c r="B1470" t="s">
        <v>1537</v>
      </c>
      <c r="C1470" t="s">
        <v>1538</v>
      </c>
      <c r="D1470">
        <v>155</v>
      </c>
      <c r="E1470">
        <v>77</v>
      </c>
      <c r="F1470" t="s">
        <v>9</v>
      </c>
      <c r="G1470" t="s">
        <v>855</v>
      </c>
    </row>
    <row r="1471" spans="1:7" x14ac:dyDescent="0.3">
      <c r="A1471">
        <v>1469</v>
      </c>
      <c r="B1471" t="s">
        <v>1539</v>
      </c>
      <c r="C1471" t="s">
        <v>1520</v>
      </c>
      <c r="D1471">
        <v>180</v>
      </c>
      <c r="E1471">
        <v>99</v>
      </c>
      <c r="F1471" t="s">
        <v>9</v>
      </c>
      <c r="G1471" t="s">
        <v>855</v>
      </c>
    </row>
    <row r="1472" spans="1:7" x14ac:dyDescent="0.3">
      <c r="A1472">
        <v>1470</v>
      </c>
      <c r="B1472" t="s">
        <v>1540</v>
      </c>
      <c r="C1472" t="s">
        <v>1541</v>
      </c>
      <c r="D1472">
        <v>216</v>
      </c>
      <c r="E1472">
        <v>172</v>
      </c>
      <c r="F1472" t="s">
        <v>9</v>
      </c>
      <c r="G1472" t="s">
        <v>855</v>
      </c>
    </row>
    <row r="1473" spans="1:7" x14ac:dyDescent="0.3">
      <c r="A1473">
        <v>1471</v>
      </c>
      <c r="B1473" t="s">
        <v>1542</v>
      </c>
      <c r="C1473" t="s">
        <v>1522</v>
      </c>
      <c r="D1473">
        <v>107</v>
      </c>
      <c r="E1473">
        <v>79</v>
      </c>
      <c r="F1473" t="s">
        <v>1371</v>
      </c>
      <c r="G1473" t="s">
        <v>855</v>
      </c>
    </row>
    <row r="1474" spans="1:7" x14ac:dyDescent="0.3">
      <c r="A1474">
        <v>1472</v>
      </c>
      <c r="B1474" t="s">
        <v>1542</v>
      </c>
      <c r="C1474" t="s">
        <v>1522</v>
      </c>
      <c r="D1474">
        <v>58</v>
      </c>
      <c r="E1474">
        <v>49</v>
      </c>
      <c r="F1474" t="s">
        <v>188</v>
      </c>
      <c r="G1474" t="s">
        <v>855</v>
      </c>
    </row>
    <row r="1475" spans="1:7" x14ac:dyDescent="0.3">
      <c r="A1475">
        <v>1473</v>
      </c>
      <c r="B1475" t="s">
        <v>1543</v>
      </c>
      <c r="C1475" t="s">
        <v>1520</v>
      </c>
      <c r="D1475">
        <v>65</v>
      </c>
      <c r="E1475">
        <v>32</v>
      </c>
      <c r="F1475" t="s">
        <v>1527</v>
      </c>
      <c r="G1475" t="s">
        <v>855</v>
      </c>
    </row>
    <row r="1476" spans="1:7" x14ac:dyDescent="0.3">
      <c r="A1476">
        <v>1474</v>
      </c>
      <c r="B1476" t="s">
        <v>1544</v>
      </c>
      <c r="C1476" t="s">
        <v>1517</v>
      </c>
      <c r="D1476">
        <v>60</v>
      </c>
      <c r="E1476">
        <v>53</v>
      </c>
      <c r="F1476" t="s">
        <v>188</v>
      </c>
      <c r="G1476" t="s">
        <v>855</v>
      </c>
    </row>
    <row r="1477" spans="1:7" x14ac:dyDescent="0.3">
      <c r="A1477">
        <v>1475</v>
      </c>
      <c r="B1477" t="s">
        <v>1545</v>
      </c>
      <c r="C1477" t="s">
        <v>1546</v>
      </c>
      <c r="D1477">
        <v>143</v>
      </c>
      <c r="E1477">
        <v>71</v>
      </c>
      <c r="F1477" t="s">
        <v>76</v>
      </c>
      <c r="G1477" t="s">
        <v>855</v>
      </c>
    </row>
    <row r="1478" spans="1:7" x14ac:dyDescent="0.3">
      <c r="A1478">
        <v>1476</v>
      </c>
      <c r="B1478" t="s">
        <v>1547</v>
      </c>
      <c r="C1478" t="s">
        <v>1541</v>
      </c>
      <c r="D1478">
        <v>108</v>
      </c>
      <c r="E1478">
        <v>88</v>
      </c>
      <c r="F1478" t="s">
        <v>107</v>
      </c>
      <c r="G1478" t="s">
        <v>855</v>
      </c>
    </row>
    <row r="1479" spans="1:7" x14ac:dyDescent="0.3">
      <c r="A1479">
        <v>1477</v>
      </c>
      <c r="B1479" t="s">
        <v>1548</v>
      </c>
      <c r="C1479" t="s">
        <v>1520</v>
      </c>
      <c r="D1479">
        <v>55</v>
      </c>
      <c r="E1479">
        <v>39</v>
      </c>
      <c r="F1479" t="s">
        <v>1527</v>
      </c>
      <c r="G1479" t="s">
        <v>855</v>
      </c>
    </row>
    <row r="1480" spans="1:7" x14ac:dyDescent="0.3">
      <c r="A1480">
        <v>1478</v>
      </c>
      <c r="B1480" t="s">
        <v>1549</v>
      </c>
      <c r="C1480" t="s">
        <v>1546</v>
      </c>
      <c r="D1480">
        <v>143</v>
      </c>
      <c r="E1480">
        <v>71</v>
      </c>
      <c r="F1480" t="s">
        <v>76</v>
      </c>
      <c r="G1480" t="s">
        <v>855</v>
      </c>
    </row>
    <row r="1481" spans="1:7" x14ac:dyDescent="0.3">
      <c r="A1481">
        <v>1479</v>
      </c>
      <c r="B1481" t="s">
        <v>1550</v>
      </c>
      <c r="C1481" t="s">
        <v>1551</v>
      </c>
      <c r="D1481">
        <v>55</v>
      </c>
      <c r="E1481">
        <v>35</v>
      </c>
      <c r="F1481" t="s">
        <v>913</v>
      </c>
      <c r="G1481" t="s">
        <v>855</v>
      </c>
    </row>
    <row r="1482" spans="1:7" x14ac:dyDescent="0.3">
      <c r="A1482">
        <v>1480</v>
      </c>
      <c r="B1482" t="s">
        <v>1552</v>
      </c>
      <c r="C1482" t="s">
        <v>1517</v>
      </c>
      <c r="D1482">
        <v>47</v>
      </c>
      <c r="E1482">
        <v>39</v>
      </c>
      <c r="F1482" t="s">
        <v>188</v>
      </c>
      <c r="G1482" t="s">
        <v>855</v>
      </c>
    </row>
    <row r="1483" spans="1:7" x14ac:dyDescent="0.3">
      <c r="A1483">
        <v>1481</v>
      </c>
      <c r="B1483" t="s">
        <v>1553</v>
      </c>
      <c r="C1483" t="s">
        <v>1551</v>
      </c>
      <c r="D1483">
        <v>60</v>
      </c>
      <c r="E1483">
        <v>45</v>
      </c>
      <c r="F1483" t="s">
        <v>913</v>
      </c>
      <c r="G1483" t="s">
        <v>855</v>
      </c>
    </row>
    <row r="1484" spans="1:7" x14ac:dyDescent="0.3">
      <c r="A1484">
        <v>1482</v>
      </c>
      <c r="B1484" t="s">
        <v>1554</v>
      </c>
      <c r="C1484" t="s">
        <v>1551</v>
      </c>
      <c r="D1484">
        <v>55</v>
      </c>
      <c r="E1484">
        <v>38</v>
      </c>
      <c r="F1484" t="s">
        <v>913</v>
      </c>
      <c r="G1484" t="s">
        <v>855</v>
      </c>
    </row>
    <row r="1485" spans="1:7" x14ac:dyDescent="0.3">
      <c r="A1485">
        <v>1483</v>
      </c>
      <c r="B1485" t="s">
        <v>1555</v>
      </c>
      <c r="C1485" t="s">
        <v>1556</v>
      </c>
      <c r="D1485">
        <v>20</v>
      </c>
      <c r="E1485">
        <v>18</v>
      </c>
      <c r="F1485" t="s">
        <v>1557</v>
      </c>
      <c r="G1485" t="s">
        <v>855</v>
      </c>
    </row>
    <row r="1486" spans="1:7" x14ac:dyDescent="0.3">
      <c r="A1486">
        <v>1484</v>
      </c>
      <c r="B1486" t="s">
        <v>1558</v>
      </c>
      <c r="C1486" t="s">
        <v>1541</v>
      </c>
      <c r="D1486">
        <v>114</v>
      </c>
      <c r="E1486">
        <v>99</v>
      </c>
      <c r="F1486" t="s">
        <v>107</v>
      </c>
      <c r="G1486" t="s">
        <v>855</v>
      </c>
    </row>
    <row r="1487" spans="1:7" x14ac:dyDescent="0.3">
      <c r="A1487">
        <v>1485</v>
      </c>
      <c r="B1487" t="s">
        <v>1559</v>
      </c>
      <c r="C1487" t="s">
        <v>1560</v>
      </c>
      <c r="D1487">
        <v>250</v>
      </c>
      <c r="E1487">
        <v>125</v>
      </c>
      <c r="F1487" t="s">
        <v>254</v>
      </c>
      <c r="G1487" t="s">
        <v>855</v>
      </c>
    </row>
    <row r="1488" spans="1:7" x14ac:dyDescent="0.3">
      <c r="A1488">
        <v>1486</v>
      </c>
      <c r="B1488" t="s">
        <v>1561</v>
      </c>
      <c r="C1488" t="s">
        <v>1556</v>
      </c>
      <c r="D1488">
        <v>20</v>
      </c>
      <c r="E1488">
        <v>18</v>
      </c>
      <c r="F1488" t="s">
        <v>1557</v>
      </c>
      <c r="G1488" t="s">
        <v>855</v>
      </c>
    </row>
    <row r="1489" spans="1:7" x14ac:dyDescent="0.3">
      <c r="A1489">
        <v>1487</v>
      </c>
      <c r="B1489" t="s">
        <v>1562</v>
      </c>
      <c r="C1489" t="s">
        <v>1563</v>
      </c>
      <c r="D1489">
        <v>74</v>
      </c>
      <c r="E1489">
        <v>37</v>
      </c>
      <c r="F1489" t="s">
        <v>11</v>
      </c>
      <c r="G1489" t="s">
        <v>855</v>
      </c>
    </row>
    <row r="1490" spans="1:7" x14ac:dyDescent="0.3">
      <c r="A1490">
        <v>1488</v>
      </c>
      <c r="B1490" t="s">
        <v>1564</v>
      </c>
      <c r="C1490" t="s">
        <v>1551</v>
      </c>
      <c r="D1490">
        <v>55</v>
      </c>
      <c r="E1490">
        <v>35</v>
      </c>
      <c r="F1490" t="s">
        <v>913</v>
      </c>
      <c r="G1490" t="s">
        <v>855</v>
      </c>
    </row>
    <row r="1491" spans="1:7" x14ac:dyDescent="0.3">
      <c r="A1491">
        <v>1489</v>
      </c>
      <c r="B1491" t="s">
        <v>1565</v>
      </c>
      <c r="C1491" t="s">
        <v>1556</v>
      </c>
      <c r="D1491">
        <v>20</v>
      </c>
      <c r="E1491">
        <v>18</v>
      </c>
      <c r="F1491" t="s">
        <v>1566</v>
      </c>
      <c r="G1491" t="s">
        <v>855</v>
      </c>
    </row>
    <row r="1492" spans="1:7" x14ac:dyDescent="0.3">
      <c r="A1492">
        <v>1490</v>
      </c>
      <c r="B1492" t="s">
        <v>1567</v>
      </c>
      <c r="C1492" t="s">
        <v>1568</v>
      </c>
      <c r="D1492">
        <v>79</v>
      </c>
      <c r="E1492">
        <v>39</v>
      </c>
      <c r="F1492" t="s">
        <v>1569</v>
      </c>
      <c r="G1492" t="s">
        <v>855</v>
      </c>
    </row>
    <row r="1493" spans="1:7" x14ac:dyDescent="0.3">
      <c r="A1493">
        <v>1491</v>
      </c>
      <c r="B1493" t="s">
        <v>1570</v>
      </c>
      <c r="C1493" t="s">
        <v>1568</v>
      </c>
      <c r="D1493">
        <v>79</v>
      </c>
      <c r="E1493">
        <v>39</v>
      </c>
      <c r="F1493" t="s">
        <v>1569</v>
      </c>
      <c r="G1493" t="s">
        <v>855</v>
      </c>
    </row>
    <row r="1494" spans="1:7" x14ac:dyDescent="0.3">
      <c r="A1494">
        <v>1492</v>
      </c>
      <c r="B1494" t="s">
        <v>1571</v>
      </c>
      <c r="C1494" t="s">
        <v>1560</v>
      </c>
      <c r="D1494">
        <v>60</v>
      </c>
      <c r="E1494">
        <v>30</v>
      </c>
      <c r="F1494" t="s">
        <v>188</v>
      </c>
      <c r="G1494" t="s">
        <v>855</v>
      </c>
    </row>
    <row r="1495" spans="1:7" x14ac:dyDescent="0.3">
      <c r="A1495">
        <v>1493</v>
      </c>
      <c r="B1495" t="s">
        <v>1572</v>
      </c>
      <c r="C1495" t="s">
        <v>1573</v>
      </c>
      <c r="D1495">
        <v>62</v>
      </c>
      <c r="E1495">
        <v>31</v>
      </c>
      <c r="F1495" t="s">
        <v>11</v>
      </c>
      <c r="G1495" t="s">
        <v>855</v>
      </c>
    </row>
    <row r="1496" spans="1:7" x14ac:dyDescent="0.3">
      <c r="A1496">
        <v>1494</v>
      </c>
      <c r="B1496" t="s">
        <v>1574</v>
      </c>
      <c r="C1496" t="s">
        <v>1560</v>
      </c>
      <c r="D1496">
        <v>60</v>
      </c>
      <c r="E1496">
        <v>30</v>
      </c>
      <c r="F1496" t="s">
        <v>188</v>
      </c>
      <c r="G1496" t="s">
        <v>855</v>
      </c>
    </row>
    <row r="1497" spans="1:7" x14ac:dyDescent="0.3">
      <c r="A1497">
        <v>1495</v>
      </c>
      <c r="B1497" t="s">
        <v>1575</v>
      </c>
      <c r="C1497" t="s">
        <v>1522</v>
      </c>
      <c r="D1497">
        <v>167</v>
      </c>
      <c r="E1497">
        <v>83</v>
      </c>
      <c r="F1497" t="s">
        <v>76</v>
      </c>
      <c r="G1497" t="s">
        <v>855</v>
      </c>
    </row>
    <row r="1498" spans="1:7" x14ac:dyDescent="0.3">
      <c r="A1498">
        <v>1496</v>
      </c>
      <c r="B1498" t="s">
        <v>1576</v>
      </c>
      <c r="C1498" t="s">
        <v>1568</v>
      </c>
      <c r="D1498">
        <v>79</v>
      </c>
      <c r="E1498">
        <v>39</v>
      </c>
      <c r="F1498" t="s">
        <v>1569</v>
      </c>
      <c r="G1498" t="s">
        <v>855</v>
      </c>
    </row>
    <row r="1499" spans="1:7" x14ac:dyDescent="0.3">
      <c r="A1499">
        <v>1497</v>
      </c>
      <c r="B1499" t="s">
        <v>1577</v>
      </c>
      <c r="C1499" t="s">
        <v>1568</v>
      </c>
      <c r="D1499">
        <v>79</v>
      </c>
      <c r="E1499">
        <v>39</v>
      </c>
      <c r="F1499" t="s">
        <v>1569</v>
      </c>
      <c r="G1499" t="s">
        <v>855</v>
      </c>
    </row>
    <row r="1500" spans="1:7" x14ac:dyDescent="0.3">
      <c r="A1500">
        <v>1498</v>
      </c>
      <c r="B1500" t="s">
        <v>1578</v>
      </c>
      <c r="C1500" t="s">
        <v>1560</v>
      </c>
      <c r="D1500">
        <v>60</v>
      </c>
      <c r="E1500">
        <v>30</v>
      </c>
      <c r="F1500" t="s">
        <v>188</v>
      </c>
      <c r="G1500" t="s">
        <v>855</v>
      </c>
    </row>
    <row r="1501" spans="1:7" x14ac:dyDescent="0.3">
      <c r="A1501">
        <v>1499</v>
      </c>
      <c r="B1501" t="s">
        <v>1579</v>
      </c>
      <c r="C1501" t="s">
        <v>1573</v>
      </c>
      <c r="D1501">
        <v>60</v>
      </c>
      <c r="E1501">
        <v>30</v>
      </c>
      <c r="F1501" t="s">
        <v>188</v>
      </c>
      <c r="G1501" t="s">
        <v>855</v>
      </c>
    </row>
    <row r="1502" spans="1:7" x14ac:dyDescent="0.3">
      <c r="A1502">
        <v>1500</v>
      </c>
      <c r="B1502" t="s">
        <v>1580</v>
      </c>
      <c r="C1502" t="s">
        <v>1520</v>
      </c>
      <c r="D1502">
        <v>100</v>
      </c>
      <c r="E1502">
        <v>65</v>
      </c>
      <c r="F1502" t="s">
        <v>1527</v>
      </c>
      <c r="G1502" t="s">
        <v>855</v>
      </c>
    </row>
    <row r="1503" spans="1:7" x14ac:dyDescent="0.3">
      <c r="A1503">
        <v>1501</v>
      </c>
      <c r="B1503" t="s">
        <v>1581</v>
      </c>
      <c r="C1503" t="s">
        <v>1520</v>
      </c>
      <c r="D1503">
        <v>85</v>
      </c>
      <c r="E1503">
        <v>49</v>
      </c>
      <c r="F1503" t="s">
        <v>1527</v>
      </c>
      <c r="G1503" t="s">
        <v>855</v>
      </c>
    </row>
    <row r="1504" spans="1:7" x14ac:dyDescent="0.3">
      <c r="A1504">
        <v>1502</v>
      </c>
      <c r="B1504" t="s">
        <v>1582</v>
      </c>
      <c r="C1504" t="s">
        <v>1583</v>
      </c>
      <c r="D1504">
        <v>30</v>
      </c>
      <c r="E1504">
        <v>26</v>
      </c>
      <c r="F1504" t="s">
        <v>1584</v>
      </c>
      <c r="G1504" t="s">
        <v>855</v>
      </c>
    </row>
    <row r="1505" spans="1:7" x14ac:dyDescent="0.3">
      <c r="A1505">
        <v>1503</v>
      </c>
      <c r="B1505" t="s">
        <v>1582</v>
      </c>
      <c r="C1505" t="s">
        <v>1583</v>
      </c>
      <c r="D1505">
        <v>50</v>
      </c>
      <c r="E1505">
        <v>33</v>
      </c>
      <c r="F1505" t="s">
        <v>1585</v>
      </c>
      <c r="G1505" t="s">
        <v>855</v>
      </c>
    </row>
    <row r="1506" spans="1:7" x14ac:dyDescent="0.3">
      <c r="A1506">
        <v>1504</v>
      </c>
      <c r="B1506" t="s">
        <v>1582</v>
      </c>
      <c r="C1506" t="s">
        <v>1583</v>
      </c>
      <c r="D1506">
        <v>78</v>
      </c>
      <c r="E1506">
        <v>60</v>
      </c>
      <c r="F1506" t="s">
        <v>1586</v>
      </c>
      <c r="G1506" t="s">
        <v>855</v>
      </c>
    </row>
    <row r="1507" spans="1:7" x14ac:dyDescent="0.3">
      <c r="A1507">
        <v>1505</v>
      </c>
      <c r="B1507" t="s">
        <v>1587</v>
      </c>
      <c r="C1507" t="s">
        <v>1583</v>
      </c>
      <c r="D1507">
        <v>50</v>
      </c>
      <c r="E1507">
        <v>29</v>
      </c>
      <c r="F1507" t="s">
        <v>1585</v>
      </c>
      <c r="G1507" t="s">
        <v>855</v>
      </c>
    </row>
    <row r="1508" spans="1:7" x14ac:dyDescent="0.3">
      <c r="A1508">
        <v>1506</v>
      </c>
      <c r="B1508" t="s">
        <v>1587</v>
      </c>
      <c r="C1508" t="s">
        <v>1583</v>
      </c>
      <c r="D1508">
        <v>78</v>
      </c>
      <c r="E1508">
        <v>65</v>
      </c>
      <c r="F1508" t="s">
        <v>1586</v>
      </c>
      <c r="G1508" t="s">
        <v>855</v>
      </c>
    </row>
    <row r="1509" spans="1:7" x14ac:dyDescent="0.3">
      <c r="A1509">
        <v>1507</v>
      </c>
      <c r="B1509" t="s">
        <v>1587</v>
      </c>
      <c r="C1509" t="s">
        <v>1583</v>
      </c>
      <c r="D1509">
        <v>30</v>
      </c>
      <c r="E1509">
        <v>26</v>
      </c>
      <c r="F1509" t="s">
        <v>1584</v>
      </c>
      <c r="G1509" t="s">
        <v>855</v>
      </c>
    </row>
    <row r="1510" spans="1:7" x14ac:dyDescent="0.3">
      <c r="A1510">
        <v>1508</v>
      </c>
      <c r="B1510" t="s">
        <v>1588</v>
      </c>
      <c r="C1510" t="s">
        <v>1520</v>
      </c>
      <c r="D1510">
        <v>85</v>
      </c>
      <c r="E1510">
        <v>55</v>
      </c>
      <c r="F1510" t="s">
        <v>1527</v>
      </c>
      <c r="G1510" t="s">
        <v>855</v>
      </c>
    </row>
    <row r="1511" spans="1:7" x14ac:dyDescent="0.3">
      <c r="A1511">
        <v>1509</v>
      </c>
      <c r="B1511" t="s">
        <v>1589</v>
      </c>
      <c r="C1511" t="s">
        <v>1520</v>
      </c>
      <c r="D1511">
        <v>75</v>
      </c>
      <c r="E1511">
        <v>49</v>
      </c>
      <c r="F1511" t="s">
        <v>1527</v>
      </c>
      <c r="G1511" t="s">
        <v>855</v>
      </c>
    </row>
    <row r="1512" spans="1:7" x14ac:dyDescent="0.3">
      <c r="A1512">
        <v>1510</v>
      </c>
      <c r="B1512" t="s">
        <v>1590</v>
      </c>
      <c r="C1512" t="s">
        <v>1591</v>
      </c>
      <c r="D1512">
        <v>115</v>
      </c>
      <c r="E1512">
        <v>87</v>
      </c>
      <c r="F1512" t="s">
        <v>1592</v>
      </c>
      <c r="G1512" t="s">
        <v>855</v>
      </c>
    </row>
    <row r="1513" spans="1:7" x14ac:dyDescent="0.3">
      <c r="A1513">
        <v>1511</v>
      </c>
      <c r="B1513" t="s">
        <v>1593</v>
      </c>
      <c r="C1513" t="s">
        <v>1591</v>
      </c>
      <c r="D1513">
        <v>115</v>
      </c>
      <c r="E1513">
        <v>89</v>
      </c>
      <c r="F1513" t="s">
        <v>1592</v>
      </c>
      <c r="G1513" t="s">
        <v>855</v>
      </c>
    </row>
    <row r="1514" spans="1:7" x14ac:dyDescent="0.3">
      <c r="A1514">
        <v>1512</v>
      </c>
      <c r="B1514" t="s">
        <v>1594</v>
      </c>
      <c r="C1514" t="s">
        <v>1595</v>
      </c>
      <c r="D1514">
        <v>90</v>
      </c>
      <c r="E1514">
        <v>80</v>
      </c>
      <c r="F1514" t="s">
        <v>12</v>
      </c>
      <c r="G1514" t="s">
        <v>855</v>
      </c>
    </row>
    <row r="1515" spans="1:7" x14ac:dyDescent="0.3">
      <c r="A1515">
        <v>1513</v>
      </c>
      <c r="B1515" t="s">
        <v>1596</v>
      </c>
      <c r="C1515" t="s">
        <v>1583</v>
      </c>
      <c r="D1515">
        <v>50</v>
      </c>
      <c r="E1515">
        <v>40</v>
      </c>
      <c r="F1515" t="s">
        <v>1585</v>
      </c>
      <c r="G1515" t="s">
        <v>855</v>
      </c>
    </row>
    <row r="1516" spans="1:7" x14ac:dyDescent="0.3">
      <c r="A1516">
        <v>1514</v>
      </c>
      <c r="B1516" t="s">
        <v>1597</v>
      </c>
      <c r="C1516" t="s">
        <v>1583</v>
      </c>
      <c r="D1516">
        <v>50</v>
      </c>
      <c r="E1516">
        <v>32</v>
      </c>
      <c r="F1516" t="s">
        <v>1585</v>
      </c>
      <c r="G1516" t="s">
        <v>855</v>
      </c>
    </row>
    <row r="1517" spans="1:7" x14ac:dyDescent="0.3">
      <c r="A1517">
        <v>1515</v>
      </c>
      <c r="B1517" t="s">
        <v>1598</v>
      </c>
      <c r="C1517" t="s">
        <v>1520</v>
      </c>
      <c r="D1517">
        <v>75</v>
      </c>
      <c r="E1517">
        <v>50</v>
      </c>
      <c r="F1517" t="s">
        <v>1527</v>
      </c>
      <c r="G1517" t="s">
        <v>855</v>
      </c>
    </row>
    <row r="1518" spans="1:7" x14ac:dyDescent="0.3">
      <c r="A1518">
        <v>1516</v>
      </c>
      <c r="B1518" t="s">
        <v>1599</v>
      </c>
      <c r="C1518" t="s">
        <v>994</v>
      </c>
      <c r="D1518">
        <v>25</v>
      </c>
      <c r="E1518">
        <v>17</v>
      </c>
      <c r="F1518" t="s">
        <v>1600</v>
      </c>
      <c r="G1518" t="s">
        <v>855</v>
      </c>
    </row>
    <row r="1519" spans="1:7" x14ac:dyDescent="0.3">
      <c r="A1519">
        <v>1517</v>
      </c>
      <c r="B1519" t="s">
        <v>1601</v>
      </c>
      <c r="C1519" t="s">
        <v>1602</v>
      </c>
      <c r="D1519">
        <v>85</v>
      </c>
      <c r="E1519">
        <v>70</v>
      </c>
      <c r="F1519" t="s">
        <v>1603</v>
      </c>
      <c r="G1519" t="s">
        <v>855</v>
      </c>
    </row>
    <row r="1520" spans="1:7" x14ac:dyDescent="0.3">
      <c r="A1520">
        <v>1518</v>
      </c>
      <c r="B1520" t="s">
        <v>1604</v>
      </c>
      <c r="C1520" t="s">
        <v>1522</v>
      </c>
      <c r="D1520">
        <v>159</v>
      </c>
      <c r="E1520">
        <v>119</v>
      </c>
      <c r="F1520" t="s">
        <v>1371</v>
      </c>
      <c r="G1520" t="s">
        <v>855</v>
      </c>
    </row>
    <row r="1521" spans="1:7" x14ac:dyDescent="0.3">
      <c r="A1521">
        <v>1519</v>
      </c>
      <c r="B1521" t="s">
        <v>1605</v>
      </c>
      <c r="C1521" t="s">
        <v>1591</v>
      </c>
      <c r="D1521">
        <v>115</v>
      </c>
      <c r="E1521">
        <v>94</v>
      </c>
      <c r="F1521" t="s">
        <v>1592</v>
      </c>
      <c r="G1521" t="s">
        <v>855</v>
      </c>
    </row>
    <row r="1522" spans="1:7" x14ac:dyDescent="0.3">
      <c r="A1522">
        <v>1520</v>
      </c>
      <c r="B1522" t="s">
        <v>1606</v>
      </c>
      <c r="C1522" t="s">
        <v>1607</v>
      </c>
      <c r="D1522">
        <v>40</v>
      </c>
      <c r="E1522">
        <v>35</v>
      </c>
      <c r="F1522" t="s">
        <v>1396</v>
      </c>
      <c r="G1522" t="s">
        <v>855</v>
      </c>
    </row>
    <row r="1523" spans="1:7" x14ac:dyDescent="0.3">
      <c r="A1523">
        <v>1521</v>
      </c>
      <c r="B1523" t="s">
        <v>1608</v>
      </c>
      <c r="C1523" t="s">
        <v>1607</v>
      </c>
      <c r="D1523">
        <v>40</v>
      </c>
      <c r="E1523">
        <v>36</v>
      </c>
      <c r="F1523" t="s">
        <v>188</v>
      </c>
      <c r="G1523" t="s">
        <v>855</v>
      </c>
    </row>
    <row r="1524" spans="1:7" x14ac:dyDescent="0.3">
      <c r="A1524">
        <v>1522</v>
      </c>
      <c r="B1524" t="s">
        <v>1609</v>
      </c>
      <c r="C1524" t="s">
        <v>1607</v>
      </c>
      <c r="D1524">
        <v>35</v>
      </c>
      <c r="E1524">
        <v>30</v>
      </c>
      <c r="F1524" t="s">
        <v>709</v>
      </c>
      <c r="G1524" t="s">
        <v>855</v>
      </c>
    </row>
    <row r="1525" spans="1:7" x14ac:dyDescent="0.3">
      <c r="A1525">
        <v>1523</v>
      </c>
      <c r="B1525" t="s">
        <v>1610</v>
      </c>
      <c r="C1525" t="s">
        <v>1583</v>
      </c>
      <c r="D1525">
        <v>30</v>
      </c>
      <c r="E1525">
        <v>26</v>
      </c>
      <c r="F1525" t="s">
        <v>1611</v>
      </c>
      <c r="G1525" t="s">
        <v>855</v>
      </c>
    </row>
    <row r="1526" spans="1:7" x14ac:dyDescent="0.3">
      <c r="A1526">
        <v>1524</v>
      </c>
      <c r="B1526" t="s">
        <v>1612</v>
      </c>
      <c r="C1526" t="s">
        <v>1591</v>
      </c>
      <c r="D1526">
        <v>115</v>
      </c>
      <c r="E1526">
        <v>99</v>
      </c>
      <c r="F1526" t="s">
        <v>1592</v>
      </c>
      <c r="G1526" t="s">
        <v>855</v>
      </c>
    </row>
    <row r="1527" spans="1:7" x14ac:dyDescent="0.3">
      <c r="A1527">
        <v>1525</v>
      </c>
      <c r="B1527" t="s">
        <v>1613</v>
      </c>
      <c r="C1527" t="s">
        <v>1614</v>
      </c>
      <c r="D1527">
        <v>90</v>
      </c>
      <c r="E1527">
        <v>60</v>
      </c>
      <c r="F1527" t="s">
        <v>188</v>
      </c>
      <c r="G1527" t="s">
        <v>855</v>
      </c>
    </row>
    <row r="1528" spans="1:7" x14ac:dyDescent="0.3">
      <c r="A1528">
        <v>1526</v>
      </c>
      <c r="B1528" t="s">
        <v>1615</v>
      </c>
      <c r="C1528" t="s">
        <v>1602</v>
      </c>
      <c r="D1528">
        <v>85</v>
      </c>
      <c r="E1528">
        <v>63</v>
      </c>
      <c r="F1528" t="s">
        <v>1603</v>
      </c>
      <c r="G1528" t="s">
        <v>855</v>
      </c>
    </row>
    <row r="1529" spans="1:7" x14ac:dyDescent="0.3">
      <c r="A1529">
        <v>1527</v>
      </c>
      <c r="B1529" t="s">
        <v>1616</v>
      </c>
      <c r="C1529" t="s">
        <v>1551</v>
      </c>
      <c r="D1529">
        <v>75</v>
      </c>
      <c r="E1529">
        <v>50</v>
      </c>
      <c r="F1529" t="s">
        <v>1527</v>
      </c>
      <c r="G1529" t="s">
        <v>855</v>
      </c>
    </row>
    <row r="1530" spans="1:7" x14ac:dyDescent="0.3">
      <c r="A1530">
        <v>1528</v>
      </c>
      <c r="B1530" t="s">
        <v>1617</v>
      </c>
      <c r="C1530" t="s">
        <v>1618</v>
      </c>
      <c r="D1530">
        <v>50</v>
      </c>
      <c r="E1530">
        <v>40</v>
      </c>
      <c r="F1530" t="s">
        <v>1619</v>
      </c>
      <c r="G1530" t="s">
        <v>855</v>
      </c>
    </row>
    <row r="1531" spans="1:7" x14ac:dyDescent="0.3">
      <c r="A1531">
        <v>1529</v>
      </c>
      <c r="B1531" t="s">
        <v>1620</v>
      </c>
      <c r="C1531" t="s">
        <v>1607</v>
      </c>
      <c r="D1531">
        <v>35</v>
      </c>
      <c r="E1531">
        <v>30</v>
      </c>
      <c r="F1531" t="s">
        <v>709</v>
      </c>
      <c r="G1531" t="s">
        <v>855</v>
      </c>
    </row>
    <row r="1532" spans="1:7" x14ac:dyDescent="0.3">
      <c r="A1532">
        <v>1530</v>
      </c>
      <c r="B1532" t="s">
        <v>1621</v>
      </c>
      <c r="C1532" t="s">
        <v>1622</v>
      </c>
      <c r="D1532">
        <v>90</v>
      </c>
      <c r="E1532">
        <v>45</v>
      </c>
      <c r="F1532" t="s">
        <v>188</v>
      </c>
      <c r="G1532" t="s">
        <v>855</v>
      </c>
    </row>
    <row r="1533" spans="1:7" x14ac:dyDescent="0.3">
      <c r="A1533">
        <v>1531</v>
      </c>
      <c r="B1533" t="s">
        <v>1623</v>
      </c>
      <c r="C1533" t="s">
        <v>1624</v>
      </c>
      <c r="D1533">
        <v>90</v>
      </c>
      <c r="E1533">
        <v>45</v>
      </c>
      <c r="F1533" t="s">
        <v>188</v>
      </c>
      <c r="G1533" t="s">
        <v>855</v>
      </c>
    </row>
    <row r="1534" spans="1:7" x14ac:dyDescent="0.3">
      <c r="A1534">
        <v>1532</v>
      </c>
      <c r="B1534" t="s">
        <v>1625</v>
      </c>
      <c r="C1534" t="s">
        <v>1626</v>
      </c>
      <c r="D1534">
        <v>120</v>
      </c>
      <c r="E1534">
        <v>96</v>
      </c>
      <c r="F1534" t="s">
        <v>188</v>
      </c>
      <c r="G1534" t="s">
        <v>855</v>
      </c>
    </row>
    <row r="1535" spans="1:7" x14ac:dyDescent="0.3">
      <c r="A1535">
        <v>1533</v>
      </c>
      <c r="B1535" t="s">
        <v>1627</v>
      </c>
      <c r="C1535" t="s">
        <v>17</v>
      </c>
      <c r="D1535">
        <v>50</v>
      </c>
      <c r="E1535">
        <v>35</v>
      </c>
      <c r="F1535" t="s">
        <v>11</v>
      </c>
      <c r="G1535" t="s">
        <v>855</v>
      </c>
    </row>
    <row r="1536" spans="1:7" x14ac:dyDescent="0.3">
      <c r="A1536">
        <v>1534</v>
      </c>
      <c r="B1536" t="s">
        <v>1628</v>
      </c>
      <c r="C1536" t="s">
        <v>1614</v>
      </c>
      <c r="D1536">
        <v>90</v>
      </c>
      <c r="E1536">
        <v>60</v>
      </c>
      <c r="F1536" t="s">
        <v>188</v>
      </c>
      <c r="G1536" t="s">
        <v>855</v>
      </c>
    </row>
    <row r="1537" spans="1:7" x14ac:dyDescent="0.3">
      <c r="A1537">
        <v>1535</v>
      </c>
      <c r="B1537" t="s">
        <v>1629</v>
      </c>
      <c r="C1537" t="s">
        <v>1630</v>
      </c>
      <c r="D1537">
        <v>20</v>
      </c>
      <c r="E1537">
        <v>16</v>
      </c>
      <c r="F1537" t="s">
        <v>216</v>
      </c>
      <c r="G1537" t="s">
        <v>855</v>
      </c>
    </row>
    <row r="1538" spans="1:7" x14ac:dyDescent="0.3">
      <c r="A1538">
        <v>1536</v>
      </c>
      <c r="B1538" t="s">
        <v>1631</v>
      </c>
      <c r="C1538" t="s">
        <v>1607</v>
      </c>
      <c r="D1538">
        <v>40</v>
      </c>
      <c r="E1538">
        <v>36</v>
      </c>
      <c r="F1538" t="s">
        <v>1396</v>
      </c>
      <c r="G1538" t="s">
        <v>855</v>
      </c>
    </row>
    <row r="1539" spans="1:7" x14ac:dyDescent="0.3">
      <c r="A1539">
        <v>1537</v>
      </c>
      <c r="B1539" t="s">
        <v>1632</v>
      </c>
      <c r="C1539" t="s">
        <v>1633</v>
      </c>
      <c r="D1539">
        <v>30</v>
      </c>
      <c r="E1539">
        <v>27</v>
      </c>
      <c r="F1539" t="s">
        <v>1634</v>
      </c>
      <c r="G1539" t="s">
        <v>855</v>
      </c>
    </row>
    <row r="1540" spans="1:7" x14ac:dyDescent="0.3">
      <c r="A1540">
        <v>1538</v>
      </c>
      <c r="B1540" t="s">
        <v>1635</v>
      </c>
      <c r="C1540" t="s">
        <v>1624</v>
      </c>
      <c r="D1540">
        <v>90</v>
      </c>
      <c r="E1540">
        <v>45</v>
      </c>
      <c r="F1540" t="s">
        <v>188</v>
      </c>
      <c r="G1540" t="s">
        <v>855</v>
      </c>
    </row>
    <row r="1541" spans="1:7" x14ac:dyDescent="0.3">
      <c r="A1541">
        <v>1539</v>
      </c>
      <c r="B1541" t="s">
        <v>1636</v>
      </c>
      <c r="C1541" t="s">
        <v>1622</v>
      </c>
      <c r="D1541">
        <v>90</v>
      </c>
      <c r="E1541">
        <v>45</v>
      </c>
      <c r="F1541" t="s">
        <v>188</v>
      </c>
      <c r="G1541" t="s">
        <v>855</v>
      </c>
    </row>
    <row r="1542" spans="1:7" x14ac:dyDescent="0.3">
      <c r="A1542">
        <v>1540</v>
      </c>
      <c r="B1542" t="s">
        <v>1637</v>
      </c>
      <c r="C1542" t="s">
        <v>1638</v>
      </c>
      <c r="D1542">
        <v>20</v>
      </c>
      <c r="E1542">
        <v>16</v>
      </c>
      <c r="F1542" t="s">
        <v>1639</v>
      </c>
      <c r="G1542" t="s">
        <v>855</v>
      </c>
    </row>
    <row r="1543" spans="1:7" x14ac:dyDescent="0.3">
      <c r="A1543">
        <v>1541</v>
      </c>
      <c r="B1543" t="s">
        <v>1640</v>
      </c>
      <c r="C1543" t="s">
        <v>1641</v>
      </c>
      <c r="D1543">
        <v>50</v>
      </c>
      <c r="E1543">
        <v>35</v>
      </c>
      <c r="F1543" t="s">
        <v>1619</v>
      </c>
      <c r="G1543" t="s">
        <v>855</v>
      </c>
    </row>
    <row r="1544" spans="1:7" x14ac:dyDescent="0.3">
      <c r="A1544">
        <v>1542</v>
      </c>
      <c r="B1544" t="s">
        <v>1642</v>
      </c>
      <c r="C1544" t="s">
        <v>1626</v>
      </c>
      <c r="D1544">
        <v>120</v>
      </c>
      <c r="E1544">
        <v>96</v>
      </c>
      <c r="F1544" t="s">
        <v>188</v>
      </c>
      <c r="G1544" t="s">
        <v>855</v>
      </c>
    </row>
    <row r="1545" spans="1:7" x14ac:dyDescent="0.3">
      <c r="A1545">
        <v>1543</v>
      </c>
      <c r="B1545" t="s">
        <v>1643</v>
      </c>
      <c r="C1545" t="s">
        <v>1626</v>
      </c>
      <c r="D1545">
        <v>120</v>
      </c>
      <c r="E1545">
        <v>96</v>
      </c>
      <c r="F1545" t="s">
        <v>188</v>
      </c>
      <c r="G1545" t="s">
        <v>855</v>
      </c>
    </row>
    <row r="1546" spans="1:7" x14ac:dyDescent="0.3">
      <c r="A1546">
        <v>1544</v>
      </c>
      <c r="B1546" t="s">
        <v>1644</v>
      </c>
      <c r="C1546" t="s">
        <v>1556</v>
      </c>
      <c r="D1546">
        <v>20</v>
      </c>
      <c r="E1546">
        <v>17</v>
      </c>
      <c r="F1546" t="s">
        <v>1645</v>
      </c>
      <c r="G1546" t="s">
        <v>855</v>
      </c>
    </row>
    <row r="1547" spans="1:7" x14ac:dyDescent="0.3">
      <c r="A1547">
        <v>1545</v>
      </c>
      <c r="B1547" t="s">
        <v>1646</v>
      </c>
      <c r="C1547" t="s">
        <v>1626</v>
      </c>
      <c r="D1547">
        <v>120</v>
      </c>
      <c r="E1547">
        <v>65</v>
      </c>
      <c r="F1547" t="s">
        <v>188</v>
      </c>
      <c r="G1547" t="s">
        <v>855</v>
      </c>
    </row>
    <row r="1548" spans="1:7" x14ac:dyDescent="0.3">
      <c r="A1548">
        <v>1546</v>
      </c>
      <c r="B1548" t="s">
        <v>1647</v>
      </c>
      <c r="C1548" t="s">
        <v>1638</v>
      </c>
      <c r="D1548">
        <v>20</v>
      </c>
      <c r="E1548">
        <v>15</v>
      </c>
      <c r="F1548" t="s">
        <v>1058</v>
      </c>
      <c r="G1548" t="s">
        <v>855</v>
      </c>
    </row>
    <row r="1549" spans="1:7" x14ac:dyDescent="0.3">
      <c r="A1549">
        <v>1547</v>
      </c>
      <c r="B1549" t="s">
        <v>1648</v>
      </c>
      <c r="C1549" t="s">
        <v>1624</v>
      </c>
      <c r="D1549">
        <v>40</v>
      </c>
      <c r="E1549">
        <v>20</v>
      </c>
      <c r="F1549" t="s">
        <v>709</v>
      </c>
      <c r="G1549" t="s">
        <v>855</v>
      </c>
    </row>
    <row r="1550" spans="1:7" x14ac:dyDescent="0.3">
      <c r="A1550">
        <v>1548</v>
      </c>
      <c r="B1550" t="s">
        <v>1649</v>
      </c>
      <c r="C1550" t="s">
        <v>1624</v>
      </c>
      <c r="D1550">
        <v>40</v>
      </c>
      <c r="E1550">
        <v>20</v>
      </c>
      <c r="F1550" t="s">
        <v>709</v>
      </c>
      <c r="G1550" t="s">
        <v>855</v>
      </c>
    </row>
    <row r="1551" spans="1:7" x14ac:dyDescent="0.3">
      <c r="A1551">
        <v>1549</v>
      </c>
      <c r="B1551" t="s">
        <v>1650</v>
      </c>
      <c r="C1551" t="s">
        <v>1622</v>
      </c>
      <c r="D1551">
        <v>90</v>
      </c>
      <c r="E1551">
        <v>45</v>
      </c>
      <c r="F1551" t="s">
        <v>188</v>
      </c>
      <c r="G1551" t="s">
        <v>855</v>
      </c>
    </row>
    <row r="1552" spans="1:7" x14ac:dyDescent="0.3">
      <c r="A1552">
        <v>1550</v>
      </c>
      <c r="B1552" t="s">
        <v>1651</v>
      </c>
      <c r="C1552" t="s">
        <v>1626</v>
      </c>
      <c r="D1552">
        <v>120</v>
      </c>
      <c r="E1552">
        <v>65</v>
      </c>
      <c r="F1552" t="s">
        <v>188</v>
      </c>
      <c r="G1552" t="s">
        <v>855</v>
      </c>
    </row>
    <row r="1553" spans="1:7" x14ac:dyDescent="0.3">
      <c r="A1553">
        <v>1551</v>
      </c>
      <c r="B1553" t="s">
        <v>1652</v>
      </c>
      <c r="C1553" t="s">
        <v>1653</v>
      </c>
      <c r="D1553">
        <v>40</v>
      </c>
      <c r="E1553">
        <v>20</v>
      </c>
      <c r="F1553" t="s">
        <v>709</v>
      </c>
      <c r="G1553" t="s">
        <v>855</v>
      </c>
    </row>
    <row r="1554" spans="1:7" x14ac:dyDescent="0.3">
      <c r="A1554">
        <v>1552</v>
      </c>
      <c r="B1554" t="s">
        <v>1654</v>
      </c>
      <c r="C1554" t="s">
        <v>1624</v>
      </c>
      <c r="D1554">
        <v>40</v>
      </c>
      <c r="E1554">
        <v>20</v>
      </c>
      <c r="F1554" t="s">
        <v>709</v>
      </c>
      <c r="G1554" t="s">
        <v>855</v>
      </c>
    </row>
    <row r="1555" spans="1:7" x14ac:dyDescent="0.3">
      <c r="A1555">
        <v>1553</v>
      </c>
      <c r="B1555" t="s">
        <v>1655</v>
      </c>
      <c r="C1555" t="s">
        <v>1614</v>
      </c>
      <c r="D1555">
        <v>90</v>
      </c>
      <c r="E1555">
        <v>60</v>
      </c>
      <c r="F1555" t="s">
        <v>188</v>
      </c>
      <c r="G1555" t="s">
        <v>855</v>
      </c>
    </row>
    <row r="1556" spans="1:7" x14ac:dyDescent="0.3">
      <c r="A1556">
        <v>1554</v>
      </c>
      <c r="B1556" t="s">
        <v>1656</v>
      </c>
      <c r="C1556" t="s">
        <v>1624</v>
      </c>
      <c r="D1556">
        <v>40</v>
      </c>
      <c r="E1556">
        <v>17</v>
      </c>
      <c r="F1556" t="s">
        <v>709</v>
      </c>
      <c r="G1556" t="s">
        <v>855</v>
      </c>
    </row>
    <row r="1557" spans="1:7" x14ac:dyDescent="0.3">
      <c r="A1557">
        <v>1555</v>
      </c>
      <c r="B1557" t="s">
        <v>1657</v>
      </c>
      <c r="C1557" t="s">
        <v>1622</v>
      </c>
      <c r="D1557">
        <v>35</v>
      </c>
      <c r="E1557">
        <v>19</v>
      </c>
      <c r="F1557" t="s">
        <v>709</v>
      </c>
      <c r="G1557" t="s">
        <v>855</v>
      </c>
    </row>
    <row r="1558" spans="1:7" x14ac:dyDescent="0.3">
      <c r="A1558">
        <v>1556</v>
      </c>
      <c r="B1558" t="s">
        <v>1658</v>
      </c>
      <c r="C1558" t="s">
        <v>1622</v>
      </c>
      <c r="D1558">
        <v>90</v>
      </c>
      <c r="E1558">
        <v>45</v>
      </c>
      <c r="F1558" t="s">
        <v>188</v>
      </c>
      <c r="G1558" t="s">
        <v>855</v>
      </c>
    </row>
    <row r="1559" spans="1:7" x14ac:dyDescent="0.3">
      <c r="A1559">
        <v>1557</v>
      </c>
      <c r="B1559" t="s">
        <v>1659</v>
      </c>
      <c r="C1559" t="s">
        <v>1626</v>
      </c>
      <c r="D1559">
        <v>120</v>
      </c>
      <c r="E1559">
        <v>70</v>
      </c>
      <c r="F1559" t="s">
        <v>188</v>
      </c>
      <c r="G1559" t="s">
        <v>855</v>
      </c>
    </row>
    <row r="1560" spans="1:7" x14ac:dyDescent="0.3">
      <c r="A1560">
        <v>1558</v>
      </c>
      <c r="B1560" t="s">
        <v>1660</v>
      </c>
      <c r="C1560" t="s">
        <v>1622</v>
      </c>
      <c r="D1560">
        <v>35</v>
      </c>
      <c r="E1560">
        <v>24</v>
      </c>
      <c r="F1560" t="s">
        <v>709</v>
      </c>
      <c r="G1560" t="s">
        <v>855</v>
      </c>
    </row>
    <row r="1561" spans="1:7" x14ac:dyDescent="0.3">
      <c r="A1561">
        <v>1559</v>
      </c>
      <c r="B1561" t="s">
        <v>1661</v>
      </c>
      <c r="C1561" t="s">
        <v>1622</v>
      </c>
      <c r="D1561">
        <v>35</v>
      </c>
      <c r="E1561">
        <v>24</v>
      </c>
      <c r="F1561" t="s">
        <v>709</v>
      </c>
      <c r="G1561" t="s">
        <v>855</v>
      </c>
    </row>
    <row r="1562" spans="1:7" x14ac:dyDescent="0.3">
      <c r="A1562">
        <v>1560</v>
      </c>
      <c r="B1562" t="s">
        <v>1662</v>
      </c>
      <c r="C1562" t="s">
        <v>1653</v>
      </c>
      <c r="D1562">
        <v>40</v>
      </c>
      <c r="E1562">
        <v>20</v>
      </c>
      <c r="F1562" t="s">
        <v>709</v>
      </c>
      <c r="G1562" t="s">
        <v>855</v>
      </c>
    </row>
    <row r="1563" spans="1:7" x14ac:dyDescent="0.3">
      <c r="A1563">
        <v>1561</v>
      </c>
      <c r="B1563" t="s">
        <v>1663</v>
      </c>
      <c r="C1563" t="s">
        <v>1622</v>
      </c>
      <c r="D1563">
        <v>90</v>
      </c>
      <c r="E1563">
        <v>45</v>
      </c>
      <c r="F1563" t="s">
        <v>188</v>
      </c>
      <c r="G1563" t="s">
        <v>855</v>
      </c>
    </row>
    <row r="1564" spans="1:7" x14ac:dyDescent="0.3">
      <c r="A1564">
        <v>1562</v>
      </c>
      <c r="B1564" t="s">
        <v>1664</v>
      </c>
      <c r="C1564" t="s">
        <v>1665</v>
      </c>
      <c r="D1564">
        <v>50</v>
      </c>
      <c r="E1564">
        <v>39</v>
      </c>
      <c r="F1564" t="s">
        <v>1427</v>
      </c>
      <c r="G1564" t="s">
        <v>855</v>
      </c>
    </row>
    <row r="1565" spans="1:7" x14ac:dyDescent="0.3">
      <c r="A1565">
        <v>1563</v>
      </c>
      <c r="B1565" t="s">
        <v>1666</v>
      </c>
      <c r="C1565" t="s">
        <v>1665</v>
      </c>
      <c r="D1565">
        <v>50</v>
      </c>
      <c r="E1565">
        <v>25</v>
      </c>
      <c r="F1565" t="s">
        <v>1427</v>
      </c>
      <c r="G1565" t="s">
        <v>855</v>
      </c>
    </row>
    <row r="1566" spans="1:7" x14ac:dyDescent="0.3">
      <c r="A1566">
        <v>1564</v>
      </c>
      <c r="B1566" t="s">
        <v>1667</v>
      </c>
      <c r="C1566" t="s">
        <v>1668</v>
      </c>
      <c r="D1566">
        <v>55</v>
      </c>
      <c r="E1566">
        <v>27</v>
      </c>
      <c r="F1566" t="s">
        <v>11</v>
      </c>
      <c r="G1566" t="s">
        <v>855</v>
      </c>
    </row>
    <row r="1567" spans="1:7" x14ac:dyDescent="0.3">
      <c r="A1567">
        <v>1565</v>
      </c>
      <c r="B1567" t="s">
        <v>1669</v>
      </c>
      <c r="C1567" t="s">
        <v>1602</v>
      </c>
      <c r="D1567">
        <v>50</v>
      </c>
      <c r="E1567">
        <v>32</v>
      </c>
      <c r="F1567" t="s">
        <v>1670</v>
      </c>
      <c r="G1567" t="s">
        <v>855</v>
      </c>
    </row>
    <row r="1568" spans="1:7" x14ac:dyDescent="0.3">
      <c r="A1568">
        <v>1566</v>
      </c>
      <c r="B1568" t="s">
        <v>1671</v>
      </c>
      <c r="C1568" t="s">
        <v>1665</v>
      </c>
      <c r="D1568">
        <v>50</v>
      </c>
      <c r="E1568">
        <v>38</v>
      </c>
      <c r="F1568" t="s">
        <v>1427</v>
      </c>
      <c r="G1568" t="s">
        <v>855</v>
      </c>
    </row>
    <row r="1569" spans="1:7" x14ac:dyDescent="0.3">
      <c r="A1569">
        <v>1567</v>
      </c>
      <c r="B1569" t="s">
        <v>1672</v>
      </c>
      <c r="C1569" t="s">
        <v>1618</v>
      </c>
      <c r="D1569">
        <v>50</v>
      </c>
      <c r="E1569">
        <v>25</v>
      </c>
      <c r="F1569" t="s">
        <v>1673</v>
      </c>
      <c r="G1569" t="s">
        <v>855</v>
      </c>
    </row>
    <row r="1570" spans="1:7" x14ac:dyDescent="0.3">
      <c r="A1570">
        <v>1568</v>
      </c>
      <c r="B1570" t="s">
        <v>1674</v>
      </c>
      <c r="C1570" t="s">
        <v>1622</v>
      </c>
      <c r="D1570">
        <v>120</v>
      </c>
      <c r="E1570">
        <v>60</v>
      </c>
      <c r="F1570" t="s">
        <v>1592</v>
      </c>
      <c r="G1570" t="s">
        <v>855</v>
      </c>
    </row>
    <row r="1571" spans="1:7" x14ac:dyDescent="0.3">
      <c r="A1571">
        <v>1569</v>
      </c>
      <c r="B1571" t="s">
        <v>1675</v>
      </c>
      <c r="C1571" t="s">
        <v>1622</v>
      </c>
      <c r="D1571">
        <v>120</v>
      </c>
      <c r="E1571">
        <v>60</v>
      </c>
      <c r="F1571" t="s">
        <v>1592</v>
      </c>
      <c r="G1571" t="s">
        <v>855</v>
      </c>
    </row>
    <row r="1572" spans="1:7" x14ac:dyDescent="0.3">
      <c r="A1572">
        <v>1570</v>
      </c>
      <c r="B1572" t="s">
        <v>1615</v>
      </c>
      <c r="C1572" t="s">
        <v>1602</v>
      </c>
      <c r="D1572">
        <v>50</v>
      </c>
      <c r="E1572">
        <v>35</v>
      </c>
      <c r="F1572" t="s">
        <v>1670</v>
      </c>
      <c r="G1572" t="s">
        <v>855</v>
      </c>
    </row>
    <row r="1573" spans="1:7" x14ac:dyDescent="0.3">
      <c r="A1573">
        <v>1571</v>
      </c>
      <c r="B1573" t="s">
        <v>1676</v>
      </c>
      <c r="C1573" t="s">
        <v>1677</v>
      </c>
      <c r="D1573">
        <v>110</v>
      </c>
      <c r="E1573">
        <v>99</v>
      </c>
      <c r="F1573" t="s">
        <v>107</v>
      </c>
      <c r="G1573" t="s">
        <v>855</v>
      </c>
    </row>
    <row r="1574" spans="1:7" x14ac:dyDescent="0.3">
      <c r="A1574">
        <v>1572</v>
      </c>
      <c r="B1574" t="s">
        <v>1676</v>
      </c>
      <c r="C1574" t="s">
        <v>1677</v>
      </c>
      <c r="D1574">
        <v>220</v>
      </c>
      <c r="E1574">
        <v>190</v>
      </c>
      <c r="F1574" t="s">
        <v>9</v>
      </c>
      <c r="G1574" t="s">
        <v>855</v>
      </c>
    </row>
    <row r="1575" spans="1:7" x14ac:dyDescent="0.3">
      <c r="A1575">
        <v>1573</v>
      </c>
      <c r="B1575" t="s">
        <v>1678</v>
      </c>
      <c r="C1575" t="s">
        <v>1520</v>
      </c>
      <c r="D1575">
        <v>150</v>
      </c>
      <c r="E1575">
        <v>75</v>
      </c>
      <c r="F1575" t="s">
        <v>9</v>
      </c>
      <c r="G1575" t="s">
        <v>855</v>
      </c>
    </row>
    <row r="1576" spans="1:7" x14ac:dyDescent="0.3">
      <c r="A1576">
        <v>1574</v>
      </c>
      <c r="B1576" t="s">
        <v>1679</v>
      </c>
      <c r="C1576" t="s">
        <v>1563</v>
      </c>
      <c r="D1576">
        <v>74</v>
      </c>
      <c r="E1576">
        <v>37</v>
      </c>
      <c r="F1576" t="s">
        <v>11</v>
      </c>
      <c r="G1576" t="s">
        <v>855</v>
      </c>
    </row>
    <row r="1577" spans="1:7" x14ac:dyDescent="0.3">
      <c r="A1577">
        <v>1575</v>
      </c>
      <c r="B1577" t="s">
        <v>1680</v>
      </c>
      <c r="C1577" t="s">
        <v>1551</v>
      </c>
      <c r="D1577">
        <v>55</v>
      </c>
      <c r="E1577">
        <v>39</v>
      </c>
      <c r="F1577" t="s">
        <v>913</v>
      </c>
      <c r="G1577" t="s">
        <v>855</v>
      </c>
    </row>
    <row r="1578" spans="1:7" x14ac:dyDescent="0.3">
      <c r="A1578">
        <v>1576</v>
      </c>
      <c r="B1578" t="s">
        <v>1681</v>
      </c>
      <c r="C1578" t="s">
        <v>1520</v>
      </c>
      <c r="D1578">
        <v>60</v>
      </c>
      <c r="E1578">
        <v>50</v>
      </c>
      <c r="F1578" t="s">
        <v>1527</v>
      </c>
      <c r="G1578" t="s">
        <v>855</v>
      </c>
    </row>
    <row r="1579" spans="1:7" x14ac:dyDescent="0.3">
      <c r="A1579">
        <v>1577</v>
      </c>
      <c r="B1579" t="s">
        <v>1682</v>
      </c>
      <c r="C1579" t="s">
        <v>1556</v>
      </c>
      <c r="D1579">
        <v>30</v>
      </c>
      <c r="E1579">
        <v>24</v>
      </c>
      <c r="F1579" t="s">
        <v>1683</v>
      </c>
      <c r="G1579" t="s">
        <v>855</v>
      </c>
    </row>
    <row r="1580" spans="1:7" x14ac:dyDescent="0.3">
      <c r="A1580">
        <v>1578</v>
      </c>
      <c r="B1580" t="s">
        <v>1684</v>
      </c>
      <c r="C1580" t="s">
        <v>1522</v>
      </c>
      <c r="D1580">
        <v>86</v>
      </c>
      <c r="E1580">
        <v>43</v>
      </c>
      <c r="F1580" t="s">
        <v>188</v>
      </c>
      <c r="G1580" t="s">
        <v>855</v>
      </c>
    </row>
    <row r="1581" spans="1:7" x14ac:dyDescent="0.3">
      <c r="A1581">
        <v>1579</v>
      </c>
      <c r="B1581" t="s">
        <v>1685</v>
      </c>
      <c r="C1581" t="s">
        <v>1686</v>
      </c>
      <c r="D1581">
        <v>70</v>
      </c>
      <c r="E1581">
        <v>55</v>
      </c>
      <c r="F1581" t="s">
        <v>12</v>
      </c>
      <c r="G1581" t="s">
        <v>855</v>
      </c>
    </row>
    <row r="1582" spans="1:7" x14ac:dyDescent="0.3">
      <c r="A1582">
        <v>1580</v>
      </c>
      <c r="B1582" t="s">
        <v>1687</v>
      </c>
      <c r="C1582" t="s">
        <v>1686</v>
      </c>
      <c r="D1582">
        <v>60</v>
      </c>
      <c r="E1582">
        <v>30</v>
      </c>
      <c r="F1582" t="s">
        <v>12</v>
      </c>
      <c r="G1582" t="s">
        <v>855</v>
      </c>
    </row>
    <row r="1583" spans="1:7" x14ac:dyDescent="0.3">
      <c r="A1583">
        <v>1581</v>
      </c>
      <c r="B1583" t="s">
        <v>1688</v>
      </c>
      <c r="C1583" t="s">
        <v>1522</v>
      </c>
      <c r="D1583">
        <v>86</v>
      </c>
      <c r="E1583">
        <v>43</v>
      </c>
      <c r="F1583" t="s">
        <v>188</v>
      </c>
      <c r="G1583" t="s">
        <v>855</v>
      </c>
    </row>
    <row r="1584" spans="1:7" x14ac:dyDescent="0.3">
      <c r="A1584">
        <v>1582</v>
      </c>
      <c r="B1584" t="s">
        <v>1689</v>
      </c>
      <c r="C1584" t="s">
        <v>1690</v>
      </c>
      <c r="D1584">
        <v>75</v>
      </c>
      <c r="E1584">
        <v>37</v>
      </c>
      <c r="F1584" t="s">
        <v>1015</v>
      </c>
      <c r="G1584" t="s">
        <v>855</v>
      </c>
    </row>
    <row r="1585" spans="1:7" x14ac:dyDescent="0.3">
      <c r="A1585">
        <v>1583</v>
      </c>
      <c r="B1585" t="s">
        <v>1691</v>
      </c>
      <c r="C1585" t="s">
        <v>1686</v>
      </c>
      <c r="D1585">
        <v>65</v>
      </c>
      <c r="E1585">
        <v>52</v>
      </c>
      <c r="F1585" t="s">
        <v>12</v>
      </c>
      <c r="G1585" t="s">
        <v>855</v>
      </c>
    </row>
    <row r="1586" spans="1:7" x14ac:dyDescent="0.3">
      <c r="A1586">
        <v>1584</v>
      </c>
      <c r="B1586" t="s">
        <v>1692</v>
      </c>
      <c r="C1586" t="s">
        <v>1522</v>
      </c>
      <c r="D1586">
        <v>86</v>
      </c>
      <c r="E1586">
        <v>43</v>
      </c>
      <c r="F1586" t="s">
        <v>188</v>
      </c>
      <c r="G1586" t="s">
        <v>855</v>
      </c>
    </row>
    <row r="1587" spans="1:7" x14ac:dyDescent="0.3">
      <c r="A1587">
        <v>1585</v>
      </c>
      <c r="B1587" t="s">
        <v>1693</v>
      </c>
      <c r="C1587" t="s">
        <v>1551</v>
      </c>
      <c r="D1587">
        <v>60</v>
      </c>
      <c r="E1587">
        <v>38</v>
      </c>
      <c r="F1587" t="s">
        <v>1694</v>
      </c>
      <c r="G1587" t="s">
        <v>855</v>
      </c>
    </row>
    <row r="1588" spans="1:7" x14ac:dyDescent="0.3">
      <c r="A1588">
        <v>1586</v>
      </c>
      <c r="B1588" t="s">
        <v>1695</v>
      </c>
      <c r="C1588" t="s">
        <v>1696</v>
      </c>
      <c r="D1588">
        <v>130</v>
      </c>
      <c r="E1588">
        <v>99</v>
      </c>
      <c r="F1588" t="s">
        <v>1697</v>
      </c>
      <c r="G1588" t="s">
        <v>855</v>
      </c>
    </row>
    <row r="1589" spans="1:7" x14ac:dyDescent="0.3">
      <c r="A1589">
        <v>1587</v>
      </c>
      <c r="B1589" t="s">
        <v>1698</v>
      </c>
      <c r="C1589" t="s">
        <v>1560</v>
      </c>
      <c r="D1589">
        <v>60</v>
      </c>
      <c r="E1589">
        <v>30</v>
      </c>
      <c r="F1589" t="s">
        <v>188</v>
      </c>
      <c r="G1589" t="s">
        <v>855</v>
      </c>
    </row>
    <row r="1590" spans="1:7" x14ac:dyDescent="0.3">
      <c r="A1590">
        <v>1588</v>
      </c>
      <c r="B1590" t="s">
        <v>1699</v>
      </c>
      <c r="C1590" t="s">
        <v>17</v>
      </c>
      <c r="D1590">
        <v>65</v>
      </c>
      <c r="E1590">
        <v>32</v>
      </c>
      <c r="F1590" t="s">
        <v>1527</v>
      </c>
      <c r="G1590" t="s">
        <v>855</v>
      </c>
    </row>
    <row r="1591" spans="1:7" x14ac:dyDescent="0.3">
      <c r="A1591">
        <v>1589</v>
      </c>
      <c r="B1591" t="s">
        <v>1700</v>
      </c>
      <c r="C1591" t="s">
        <v>1686</v>
      </c>
      <c r="D1591">
        <v>65</v>
      </c>
      <c r="E1591">
        <v>51</v>
      </c>
      <c r="F1591" t="s">
        <v>12</v>
      </c>
      <c r="G1591" t="s">
        <v>855</v>
      </c>
    </row>
    <row r="1592" spans="1:7" x14ac:dyDescent="0.3">
      <c r="A1592">
        <v>1590</v>
      </c>
      <c r="B1592" t="s">
        <v>1701</v>
      </c>
      <c r="C1592" t="s">
        <v>1696</v>
      </c>
      <c r="D1592">
        <v>130</v>
      </c>
      <c r="E1592">
        <v>99</v>
      </c>
      <c r="F1592" t="s">
        <v>1697</v>
      </c>
      <c r="G1592" t="s">
        <v>855</v>
      </c>
    </row>
    <row r="1593" spans="1:7" x14ac:dyDescent="0.3">
      <c r="A1593">
        <v>1591</v>
      </c>
      <c r="B1593" t="s">
        <v>1702</v>
      </c>
      <c r="C1593" t="s">
        <v>1696</v>
      </c>
      <c r="D1593">
        <v>130</v>
      </c>
      <c r="E1593">
        <v>111</v>
      </c>
      <c r="F1593" t="s">
        <v>1697</v>
      </c>
      <c r="G1593" t="s">
        <v>855</v>
      </c>
    </row>
    <row r="1594" spans="1:7" x14ac:dyDescent="0.3">
      <c r="A1594">
        <v>1592</v>
      </c>
      <c r="B1594" t="s">
        <v>1703</v>
      </c>
      <c r="C1594" t="s">
        <v>1696</v>
      </c>
      <c r="D1594">
        <v>130</v>
      </c>
      <c r="E1594">
        <v>99</v>
      </c>
      <c r="F1594" t="s">
        <v>1697</v>
      </c>
      <c r="G1594" t="s">
        <v>855</v>
      </c>
    </row>
    <row r="1595" spans="1:7" x14ac:dyDescent="0.3">
      <c r="A1595">
        <v>1593</v>
      </c>
      <c r="B1595" t="s">
        <v>1704</v>
      </c>
      <c r="C1595" t="s">
        <v>1696</v>
      </c>
      <c r="D1595">
        <v>130</v>
      </c>
      <c r="E1595">
        <v>99</v>
      </c>
      <c r="F1595" t="s">
        <v>1697</v>
      </c>
      <c r="G1595" t="s">
        <v>855</v>
      </c>
    </row>
    <row r="1596" spans="1:7" x14ac:dyDescent="0.3">
      <c r="A1596">
        <v>1594</v>
      </c>
      <c r="B1596" t="s">
        <v>1705</v>
      </c>
      <c r="C1596" t="s">
        <v>1563</v>
      </c>
      <c r="D1596">
        <v>96</v>
      </c>
      <c r="E1596">
        <v>48</v>
      </c>
      <c r="F1596" t="s">
        <v>1706</v>
      </c>
      <c r="G1596" t="s">
        <v>855</v>
      </c>
    </row>
    <row r="1597" spans="1:7" x14ac:dyDescent="0.3">
      <c r="A1597">
        <v>1595</v>
      </c>
      <c r="B1597" t="s">
        <v>1707</v>
      </c>
      <c r="C1597" t="s">
        <v>1690</v>
      </c>
      <c r="D1597">
        <v>75</v>
      </c>
      <c r="E1597">
        <v>37</v>
      </c>
      <c r="F1597" t="s">
        <v>1015</v>
      </c>
      <c r="G1597" t="s">
        <v>855</v>
      </c>
    </row>
    <row r="1598" spans="1:7" x14ac:dyDescent="0.3">
      <c r="A1598">
        <v>1596</v>
      </c>
      <c r="B1598" t="s">
        <v>1708</v>
      </c>
      <c r="C1598" t="s">
        <v>1563</v>
      </c>
      <c r="D1598">
        <v>76</v>
      </c>
      <c r="E1598">
        <v>38</v>
      </c>
      <c r="F1598" t="s">
        <v>1015</v>
      </c>
      <c r="G1598" t="s">
        <v>855</v>
      </c>
    </row>
    <row r="1599" spans="1:7" x14ac:dyDescent="0.3">
      <c r="A1599">
        <v>1597</v>
      </c>
      <c r="B1599" t="s">
        <v>1709</v>
      </c>
      <c r="C1599" t="s">
        <v>1690</v>
      </c>
      <c r="D1599">
        <v>75</v>
      </c>
      <c r="E1599">
        <v>37</v>
      </c>
      <c r="F1599" t="s">
        <v>1015</v>
      </c>
      <c r="G1599" t="s">
        <v>855</v>
      </c>
    </row>
    <row r="1600" spans="1:7" x14ac:dyDescent="0.3">
      <c r="A1600">
        <v>1598</v>
      </c>
      <c r="B1600" t="s">
        <v>1710</v>
      </c>
      <c r="C1600" t="s">
        <v>1711</v>
      </c>
      <c r="D1600">
        <v>350</v>
      </c>
      <c r="E1600">
        <v>280</v>
      </c>
      <c r="F1600" t="s">
        <v>9</v>
      </c>
      <c r="G1600" t="s">
        <v>855</v>
      </c>
    </row>
    <row r="1601" spans="1:7" x14ac:dyDescent="0.3">
      <c r="A1601">
        <v>1599</v>
      </c>
      <c r="B1601" t="s">
        <v>1712</v>
      </c>
      <c r="C1601" t="s">
        <v>1563</v>
      </c>
      <c r="D1601">
        <v>96</v>
      </c>
      <c r="E1601">
        <v>48</v>
      </c>
      <c r="F1601" t="s">
        <v>1706</v>
      </c>
      <c r="G1601" t="s">
        <v>855</v>
      </c>
    </row>
    <row r="1602" spans="1:7" x14ac:dyDescent="0.3">
      <c r="A1602">
        <v>1600</v>
      </c>
      <c r="B1602" t="s">
        <v>1713</v>
      </c>
      <c r="C1602" t="s">
        <v>1714</v>
      </c>
      <c r="D1602">
        <v>80</v>
      </c>
      <c r="E1602">
        <v>64</v>
      </c>
      <c r="F1602" t="s">
        <v>1015</v>
      </c>
      <c r="G1602" t="s">
        <v>855</v>
      </c>
    </row>
    <row r="1603" spans="1:7" x14ac:dyDescent="0.3">
      <c r="A1603">
        <v>1601</v>
      </c>
      <c r="B1603" t="s">
        <v>1715</v>
      </c>
      <c r="C1603" t="s">
        <v>1696</v>
      </c>
      <c r="D1603">
        <v>130</v>
      </c>
      <c r="E1603">
        <v>99</v>
      </c>
      <c r="F1603" t="s">
        <v>1697</v>
      </c>
      <c r="G1603" t="s">
        <v>855</v>
      </c>
    </row>
    <row r="1604" spans="1:7" x14ac:dyDescent="0.3">
      <c r="A1604">
        <v>1602</v>
      </c>
      <c r="B1604" t="s">
        <v>1716</v>
      </c>
      <c r="C1604" t="s">
        <v>1690</v>
      </c>
      <c r="D1604">
        <v>75</v>
      </c>
      <c r="E1604">
        <v>37</v>
      </c>
      <c r="F1604" t="s">
        <v>1015</v>
      </c>
      <c r="G1604" t="s">
        <v>855</v>
      </c>
    </row>
    <row r="1605" spans="1:7" x14ac:dyDescent="0.3">
      <c r="A1605">
        <v>1603</v>
      </c>
      <c r="B1605" t="s">
        <v>1717</v>
      </c>
      <c r="C1605" t="s">
        <v>1718</v>
      </c>
      <c r="D1605">
        <v>90</v>
      </c>
      <c r="E1605">
        <v>45</v>
      </c>
      <c r="F1605" t="s">
        <v>12</v>
      </c>
      <c r="G1605" t="s">
        <v>855</v>
      </c>
    </row>
    <row r="1606" spans="1:7" x14ac:dyDescent="0.3">
      <c r="A1606">
        <v>1604</v>
      </c>
      <c r="B1606" t="s">
        <v>1719</v>
      </c>
      <c r="C1606" t="s">
        <v>1720</v>
      </c>
      <c r="D1606">
        <v>85</v>
      </c>
      <c r="E1606">
        <v>42</v>
      </c>
      <c r="F1606" t="s">
        <v>12</v>
      </c>
      <c r="G1606" t="s">
        <v>855</v>
      </c>
    </row>
    <row r="1607" spans="1:7" x14ac:dyDescent="0.3">
      <c r="A1607">
        <v>1605</v>
      </c>
      <c r="B1607" t="s">
        <v>1721</v>
      </c>
      <c r="C1607" t="s">
        <v>1560</v>
      </c>
      <c r="D1607">
        <v>60</v>
      </c>
      <c r="E1607">
        <v>30</v>
      </c>
      <c r="F1607" t="s">
        <v>188</v>
      </c>
      <c r="G1607" t="s">
        <v>855</v>
      </c>
    </row>
    <row r="1608" spans="1:7" x14ac:dyDescent="0.3">
      <c r="A1608">
        <v>1606</v>
      </c>
      <c r="B1608" t="s">
        <v>1722</v>
      </c>
      <c r="C1608" t="s">
        <v>1714</v>
      </c>
      <c r="D1608">
        <v>80</v>
      </c>
      <c r="E1608">
        <v>64</v>
      </c>
      <c r="F1608" t="s">
        <v>1015</v>
      </c>
      <c r="G1608" t="s">
        <v>855</v>
      </c>
    </row>
    <row r="1609" spans="1:7" x14ac:dyDescent="0.3">
      <c r="A1609">
        <v>1607</v>
      </c>
      <c r="B1609" t="s">
        <v>1723</v>
      </c>
      <c r="C1609" t="s">
        <v>1714</v>
      </c>
      <c r="D1609">
        <v>80</v>
      </c>
      <c r="E1609">
        <v>64</v>
      </c>
      <c r="F1609" t="s">
        <v>1015</v>
      </c>
      <c r="G1609" t="s">
        <v>855</v>
      </c>
    </row>
    <row r="1610" spans="1:7" x14ac:dyDescent="0.3">
      <c r="A1610">
        <v>1608</v>
      </c>
      <c r="B1610" t="s">
        <v>1724</v>
      </c>
      <c r="C1610" t="s">
        <v>1711</v>
      </c>
      <c r="D1610">
        <v>30</v>
      </c>
      <c r="E1610">
        <v>25</v>
      </c>
      <c r="F1610" t="s">
        <v>1725</v>
      </c>
      <c r="G1610" t="s">
        <v>855</v>
      </c>
    </row>
    <row r="1611" spans="1:7" x14ac:dyDescent="0.3">
      <c r="A1611">
        <v>1609</v>
      </c>
      <c r="B1611" t="s">
        <v>1726</v>
      </c>
      <c r="C1611" t="s">
        <v>1711</v>
      </c>
      <c r="D1611">
        <v>325</v>
      </c>
      <c r="E1611">
        <v>255</v>
      </c>
      <c r="F1611" t="s">
        <v>12</v>
      </c>
      <c r="G1611" t="s">
        <v>855</v>
      </c>
    </row>
    <row r="1612" spans="1:7" x14ac:dyDescent="0.3">
      <c r="A1612">
        <v>1610</v>
      </c>
      <c r="B1612" t="s">
        <v>1727</v>
      </c>
      <c r="C1612" t="s">
        <v>1718</v>
      </c>
      <c r="D1612">
        <v>90</v>
      </c>
      <c r="E1612">
        <v>45</v>
      </c>
      <c r="F1612" t="s">
        <v>12</v>
      </c>
      <c r="G1612" t="s">
        <v>855</v>
      </c>
    </row>
    <row r="1613" spans="1:7" x14ac:dyDescent="0.3">
      <c r="A1613">
        <v>1611</v>
      </c>
      <c r="B1613" t="s">
        <v>1728</v>
      </c>
      <c r="C1613" t="s">
        <v>1714</v>
      </c>
      <c r="D1613">
        <v>80</v>
      </c>
      <c r="E1613">
        <v>64</v>
      </c>
      <c r="F1613" t="s">
        <v>1015</v>
      </c>
      <c r="G1613" t="s">
        <v>855</v>
      </c>
    </row>
    <row r="1614" spans="1:7" x14ac:dyDescent="0.3">
      <c r="A1614">
        <v>1612</v>
      </c>
      <c r="B1614" t="s">
        <v>1729</v>
      </c>
      <c r="C1614" t="s">
        <v>1714</v>
      </c>
      <c r="D1614">
        <v>80</v>
      </c>
      <c r="E1614">
        <v>64</v>
      </c>
      <c r="F1614" t="s">
        <v>1015</v>
      </c>
      <c r="G1614" t="s">
        <v>855</v>
      </c>
    </row>
    <row r="1615" spans="1:7" x14ac:dyDescent="0.3">
      <c r="A1615">
        <v>1613</v>
      </c>
      <c r="B1615" t="s">
        <v>1730</v>
      </c>
      <c r="C1615" t="s">
        <v>1718</v>
      </c>
      <c r="D1615">
        <v>90</v>
      </c>
      <c r="E1615">
        <v>45</v>
      </c>
      <c r="F1615" t="s">
        <v>12</v>
      </c>
      <c r="G1615" t="s">
        <v>855</v>
      </c>
    </row>
    <row r="1616" spans="1:7" x14ac:dyDescent="0.3">
      <c r="A1616">
        <v>1614</v>
      </c>
      <c r="B1616" t="s">
        <v>1731</v>
      </c>
      <c r="C1616" t="s">
        <v>1711</v>
      </c>
      <c r="D1616">
        <v>50</v>
      </c>
      <c r="E1616">
        <v>40</v>
      </c>
      <c r="F1616" t="s">
        <v>1725</v>
      </c>
      <c r="G1616" t="s">
        <v>855</v>
      </c>
    </row>
    <row r="1617" spans="1:7" x14ac:dyDescent="0.3">
      <c r="A1617">
        <v>1615</v>
      </c>
      <c r="B1617" t="s">
        <v>1732</v>
      </c>
      <c r="C1617" t="s">
        <v>1665</v>
      </c>
      <c r="D1617">
        <v>20</v>
      </c>
      <c r="E1617">
        <v>15</v>
      </c>
      <c r="F1617" t="s">
        <v>834</v>
      </c>
      <c r="G1617" t="s">
        <v>855</v>
      </c>
    </row>
    <row r="1618" spans="1:7" x14ac:dyDescent="0.3">
      <c r="A1618">
        <v>1616</v>
      </c>
      <c r="B1618" t="s">
        <v>1733</v>
      </c>
      <c r="C1618" t="s">
        <v>1665</v>
      </c>
      <c r="D1618">
        <v>20</v>
      </c>
      <c r="E1618">
        <v>15</v>
      </c>
      <c r="F1618" t="s">
        <v>834</v>
      </c>
      <c r="G1618" t="s">
        <v>855</v>
      </c>
    </row>
    <row r="1619" spans="1:7" x14ac:dyDescent="0.3">
      <c r="A1619">
        <v>1617</v>
      </c>
      <c r="B1619" t="s">
        <v>1734</v>
      </c>
      <c r="C1619" t="s">
        <v>1711</v>
      </c>
      <c r="D1619">
        <v>175</v>
      </c>
      <c r="E1619">
        <v>140</v>
      </c>
      <c r="F1619" t="s">
        <v>12</v>
      </c>
      <c r="G1619" t="s">
        <v>855</v>
      </c>
    </row>
    <row r="1620" spans="1:7" x14ac:dyDescent="0.3">
      <c r="A1620">
        <v>1618</v>
      </c>
      <c r="B1620" t="s">
        <v>1735</v>
      </c>
      <c r="C1620" t="s">
        <v>1551</v>
      </c>
      <c r="D1620">
        <v>90</v>
      </c>
      <c r="E1620">
        <v>60</v>
      </c>
      <c r="F1620" t="s">
        <v>720</v>
      </c>
      <c r="G1620" t="s">
        <v>855</v>
      </c>
    </row>
    <row r="1621" spans="1:7" x14ac:dyDescent="0.3">
      <c r="A1621">
        <v>1619</v>
      </c>
      <c r="B1621" t="s">
        <v>1736</v>
      </c>
      <c r="C1621" t="s">
        <v>1711</v>
      </c>
      <c r="D1621">
        <v>30</v>
      </c>
      <c r="E1621">
        <v>25</v>
      </c>
      <c r="F1621" t="s">
        <v>1725</v>
      </c>
      <c r="G1621" t="s">
        <v>855</v>
      </c>
    </row>
    <row r="1622" spans="1:7" x14ac:dyDescent="0.3">
      <c r="A1622">
        <v>1620</v>
      </c>
      <c r="B1622" t="s">
        <v>1737</v>
      </c>
      <c r="C1622" t="s">
        <v>1711</v>
      </c>
      <c r="D1622">
        <v>150</v>
      </c>
      <c r="E1622">
        <v>120</v>
      </c>
      <c r="F1622" t="s">
        <v>1027</v>
      </c>
      <c r="G1622" t="s">
        <v>855</v>
      </c>
    </row>
    <row r="1623" spans="1:7" x14ac:dyDescent="0.3">
      <c r="A1623">
        <v>1621</v>
      </c>
      <c r="B1623" t="s">
        <v>1738</v>
      </c>
      <c r="C1623" t="s">
        <v>1711</v>
      </c>
      <c r="D1623">
        <v>50</v>
      </c>
      <c r="E1623">
        <v>38</v>
      </c>
      <c r="F1623" t="s">
        <v>1725</v>
      </c>
      <c r="G1623" t="s">
        <v>855</v>
      </c>
    </row>
    <row r="1624" spans="1:7" x14ac:dyDescent="0.3">
      <c r="A1624">
        <v>1622</v>
      </c>
      <c r="B1624" t="s">
        <v>1739</v>
      </c>
      <c r="C1624" t="s">
        <v>1711</v>
      </c>
      <c r="D1624">
        <v>300</v>
      </c>
      <c r="E1624">
        <v>240</v>
      </c>
      <c r="F1624" t="s">
        <v>9</v>
      </c>
      <c r="G1624" t="s">
        <v>855</v>
      </c>
    </row>
    <row r="1625" spans="1:7" x14ac:dyDescent="0.3">
      <c r="A1625">
        <v>1623</v>
      </c>
      <c r="B1625" t="s">
        <v>1740</v>
      </c>
      <c r="C1625" t="s">
        <v>1711</v>
      </c>
      <c r="D1625">
        <v>840</v>
      </c>
      <c r="E1625">
        <v>599</v>
      </c>
      <c r="F1625" t="s">
        <v>76</v>
      </c>
      <c r="G1625" t="s">
        <v>855</v>
      </c>
    </row>
    <row r="1626" spans="1:7" x14ac:dyDescent="0.3">
      <c r="A1626">
        <v>1624</v>
      </c>
      <c r="B1626" t="s">
        <v>1741</v>
      </c>
      <c r="C1626" t="s">
        <v>1517</v>
      </c>
      <c r="D1626">
        <v>60</v>
      </c>
      <c r="E1626">
        <v>30</v>
      </c>
      <c r="F1626" t="s">
        <v>188</v>
      </c>
      <c r="G1626" t="s">
        <v>855</v>
      </c>
    </row>
    <row r="1627" spans="1:7" x14ac:dyDescent="0.3">
      <c r="A1627">
        <v>1625</v>
      </c>
      <c r="B1627" t="s">
        <v>1742</v>
      </c>
      <c r="C1627" t="s">
        <v>1743</v>
      </c>
      <c r="D1627">
        <v>68</v>
      </c>
      <c r="E1627">
        <v>60</v>
      </c>
      <c r="F1627" t="s">
        <v>12</v>
      </c>
      <c r="G1627" t="s">
        <v>855</v>
      </c>
    </row>
    <row r="1628" spans="1:7" x14ac:dyDescent="0.3">
      <c r="A1628">
        <v>1626</v>
      </c>
      <c r="B1628" t="s">
        <v>1742</v>
      </c>
      <c r="C1628" t="s">
        <v>1743</v>
      </c>
      <c r="D1628">
        <v>318</v>
      </c>
      <c r="E1628">
        <v>285</v>
      </c>
      <c r="F1628" t="s">
        <v>15</v>
      </c>
      <c r="G1628" t="s">
        <v>855</v>
      </c>
    </row>
    <row r="1629" spans="1:7" x14ac:dyDescent="0.3">
      <c r="A1629">
        <v>1627</v>
      </c>
      <c r="B1629" t="s">
        <v>1744</v>
      </c>
      <c r="C1629" t="s">
        <v>1743</v>
      </c>
      <c r="D1629">
        <v>68</v>
      </c>
      <c r="E1629">
        <v>58</v>
      </c>
      <c r="F1629" t="s">
        <v>12</v>
      </c>
      <c r="G1629" t="s">
        <v>855</v>
      </c>
    </row>
    <row r="1630" spans="1:7" x14ac:dyDescent="0.3">
      <c r="A1630">
        <v>1628</v>
      </c>
      <c r="B1630" t="s">
        <v>1745</v>
      </c>
      <c r="C1630" t="s">
        <v>1743</v>
      </c>
      <c r="D1630">
        <v>80</v>
      </c>
      <c r="E1630">
        <v>68</v>
      </c>
      <c r="F1630" t="s">
        <v>12</v>
      </c>
      <c r="G1630" t="s">
        <v>855</v>
      </c>
    </row>
    <row r="1631" spans="1:7" x14ac:dyDescent="0.3">
      <c r="A1631">
        <v>1629</v>
      </c>
      <c r="B1631" t="s">
        <v>1746</v>
      </c>
      <c r="C1631" t="s">
        <v>1520</v>
      </c>
      <c r="D1631">
        <v>150</v>
      </c>
      <c r="E1631">
        <v>85</v>
      </c>
      <c r="F1631" t="s">
        <v>9</v>
      </c>
      <c r="G1631" t="s">
        <v>855</v>
      </c>
    </row>
    <row r="1632" spans="1:7" x14ac:dyDescent="0.3">
      <c r="A1632">
        <v>1630</v>
      </c>
      <c r="B1632" t="s">
        <v>1747</v>
      </c>
      <c r="C1632" t="s">
        <v>1748</v>
      </c>
      <c r="D1632">
        <v>70</v>
      </c>
      <c r="E1632">
        <v>35</v>
      </c>
      <c r="F1632" t="s">
        <v>188</v>
      </c>
      <c r="G1632" t="s">
        <v>855</v>
      </c>
    </row>
    <row r="1633" spans="1:7" x14ac:dyDescent="0.3">
      <c r="A1633">
        <v>1631</v>
      </c>
      <c r="B1633" t="s">
        <v>1749</v>
      </c>
      <c r="C1633" t="s">
        <v>1743</v>
      </c>
      <c r="D1633">
        <v>68</v>
      </c>
      <c r="E1633">
        <v>58</v>
      </c>
      <c r="F1633" t="s">
        <v>12</v>
      </c>
      <c r="G1633" t="s">
        <v>855</v>
      </c>
    </row>
    <row r="1634" spans="1:7" x14ac:dyDescent="0.3">
      <c r="A1634">
        <v>1632</v>
      </c>
      <c r="B1634" t="s">
        <v>1750</v>
      </c>
      <c r="C1634" t="s">
        <v>1517</v>
      </c>
      <c r="D1634">
        <v>95</v>
      </c>
      <c r="E1634">
        <v>80</v>
      </c>
      <c r="F1634" t="s">
        <v>652</v>
      </c>
      <c r="G1634" t="s">
        <v>855</v>
      </c>
    </row>
    <row r="1635" spans="1:7" x14ac:dyDescent="0.3">
      <c r="A1635">
        <v>1633</v>
      </c>
      <c r="B1635" t="s">
        <v>1751</v>
      </c>
      <c r="C1635" t="s">
        <v>1517</v>
      </c>
      <c r="D1635">
        <v>65</v>
      </c>
      <c r="E1635">
        <v>52</v>
      </c>
      <c r="F1635" t="s">
        <v>12</v>
      </c>
      <c r="G1635" t="s">
        <v>855</v>
      </c>
    </row>
    <row r="1636" spans="1:7" x14ac:dyDescent="0.3">
      <c r="A1636">
        <v>1634</v>
      </c>
      <c r="B1636" t="s">
        <v>1752</v>
      </c>
      <c r="C1636" t="s">
        <v>1753</v>
      </c>
      <c r="D1636">
        <v>34</v>
      </c>
      <c r="E1636">
        <v>19</v>
      </c>
      <c r="F1636" t="s">
        <v>1754</v>
      </c>
      <c r="G1636" t="s">
        <v>855</v>
      </c>
    </row>
    <row r="1637" spans="1:7" x14ac:dyDescent="0.3">
      <c r="A1637">
        <v>1635</v>
      </c>
      <c r="B1637" t="s">
        <v>1755</v>
      </c>
      <c r="C1637" t="s">
        <v>1743</v>
      </c>
      <c r="D1637">
        <v>68</v>
      </c>
      <c r="E1637">
        <v>60</v>
      </c>
      <c r="F1637" t="s">
        <v>12</v>
      </c>
      <c r="G1637" t="s">
        <v>855</v>
      </c>
    </row>
    <row r="1638" spans="1:7" x14ac:dyDescent="0.3">
      <c r="A1638">
        <v>1636</v>
      </c>
      <c r="B1638" t="s">
        <v>1755</v>
      </c>
      <c r="C1638" t="s">
        <v>1743</v>
      </c>
      <c r="D1638">
        <v>163</v>
      </c>
      <c r="E1638">
        <v>147</v>
      </c>
      <c r="F1638" t="s">
        <v>9</v>
      </c>
      <c r="G1638" t="s">
        <v>855</v>
      </c>
    </row>
    <row r="1639" spans="1:7" x14ac:dyDescent="0.3">
      <c r="A1639">
        <v>1637</v>
      </c>
      <c r="B1639" t="s">
        <v>1755</v>
      </c>
      <c r="C1639" t="s">
        <v>1743</v>
      </c>
      <c r="D1639">
        <v>318</v>
      </c>
      <c r="E1639">
        <v>288</v>
      </c>
      <c r="F1639" t="s">
        <v>15</v>
      </c>
      <c r="G1639" t="s">
        <v>855</v>
      </c>
    </row>
    <row r="1640" spans="1:7" x14ac:dyDescent="0.3">
      <c r="A1640">
        <v>1638</v>
      </c>
      <c r="B1640" t="s">
        <v>1756</v>
      </c>
      <c r="C1640" t="s">
        <v>1753</v>
      </c>
      <c r="D1640">
        <v>68</v>
      </c>
      <c r="E1640">
        <v>34</v>
      </c>
      <c r="F1640" t="s">
        <v>12</v>
      </c>
      <c r="G1640" t="s">
        <v>855</v>
      </c>
    </row>
    <row r="1641" spans="1:7" x14ac:dyDescent="0.3">
      <c r="A1641">
        <v>1639</v>
      </c>
      <c r="B1641" t="s">
        <v>1757</v>
      </c>
      <c r="C1641" t="s">
        <v>1573</v>
      </c>
      <c r="D1641">
        <v>60</v>
      </c>
      <c r="E1641">
        <v>30</v>
      </c>
      <c r="F1641" t="s">
        <v>12</v>
      </c>
      <c r="G1641" t="s">
        <v>855</v>
      </c>
    </row>
    <row r="1642" spans="1:7" x14ac:dyDescent="0.3">
      <c r="A1642">
        <v>1640</v>
      </c>
      <c r="B1642" t="s">
        <v>1758</v>
      </c>
      <c r="C1642" t="s">
        <v>1546</v>
      </c>
      <c r="D1642">
        <v>150</v>
      </c>
      <c r="E1642">
        <v>75</v>
      </c>
      <c r="F1642" t="s">
        <v>76</v>
      </c>
      <c r="G1642" t="s">
        <v>855</v>
      </c>
    </row>
    <row r="1643" spans="1:7" x14ac:dyDescent="0.3">
      <c r="A1643">
        <v>1641</v>
      </c>
      <c r="B1643" t="s">
        <v>1540</v>
      </c>
      <c r="C1643" t="s">
        <v>1541</v>
      </c>
      <c r="D1643">
        <v>108</v>
      </c>
      <c r="E1643">
        <v>95</v>
      </c>
      <c r="F1643" t="s">
        <v>107</v>
      </c>
      <c r="G1643" t="s">
        <v>855</v>
      </c>
    </row>
    <row r="1644" spans="1:7" x14ac:dyDescent="0.3">
      <c r="A1644">
        <v>1642</v>
      </c>
      <c r="B1644" t="s">
        <v>1759</v>
      </c>
      <c r="C1644" t="s">
        <v>1760</v>
      </c>
      <c r="D1644">
        <v>10</v>
      </c>
      <c r="E1644">
        <v>9</v>
      </c>
      <c r="F1644" t="s">
        <v>1725</v>
      </c>
      <c r="G1644" t="s">
        <v>855</v>
      </c>
    </row>
    <row r="1645" spans="1:7" x14ac:dyDescent="0.3">
      <c r="A1645">
        <v>1643</v>
      </c>
      <c r="B1645" t="s">
        <v>1761</v>
      </c>
      <c r="C1645" t="s">
        <v>1762</v>
      </c>
      <c r="D1645">
        <v>60</v>
      </c>
      <c r="E1645">
        <v>30</v>
      </c>
      <c r="F1645" t="s">
        <v>709</v>
      </c>
      <c r="G1645" t="s">
        <v>855</v>
      </c>
    </row>
    <row r="1646" spans="1:7" x14ac:dyDescent="0.3">
      <c r="A1646">
        <v>1644</v>
      </c>
      <c r="B1646" t="s">
        <v>1763</v>
      </c>
      <c r="C1646" t="s">
        <v>1760</v>
      </c>
      <c r="D1646">
        <v>75</v>
      </c>
      <c r="E1646">
        <v>67</v>
      </c>
      <c r="F1646" t="s">
        <v>1764</v>
      </c>
      <c r="G1646" t="s">
        <v>855</v>
      </c>
    </row>
    <row r="1647" spans="1:7" x14ac:dyDescent="0.3">
      <c r="A1647">
        <v>1645</v>
      </c>
      <c r="B1647" t="s">
        <v>1765</v>
      </c>
      <c r="C1647" t="s">
        <v>1522</v>
      </c>
      <c r="D1647">
        <v>167</v>
      </c>
      <c r="E1647">
        <v>83</v>
      </c>
      <c r="F1647" t="s">
        <v>76</v>
      </c>
      <c r="G1647" t="s">
        <v>855</v>
      </c>
    </row>
    <row r="1648" spans="1:7" x14ac:dyDescent="0.3">
      <c r="A1648">
        <v>1646</v>
      </c>
      <c r="B1648" t="s">
        <v>1766</v>
      </c>
      <c r="C1648" t="s">
        <v>1690</v>
      </c>
      <c r="D1648">
        <v>50</v>
      </c>
      <c r="E1648">
        <v>40</v>
      </c>
      <c r="F1648" t="s">
        <v>12</v>
      </c>
      <c r="G1648" t="s">
        <v>855</v>
      </c>
    </row>
    <row r="1649" spans="1:7" x14ac:dyDescent="0.3">
      <c r="A1649">
        <v>1647</v>
      </c>
      <c r="B1649" t="s">
        <v>1767</v>
      </c>
      <c r="C1649" t="s">
        <v>1563</v>
      </c>
      <c r="D1649">
        <v>94</v>
      </c>
      <c r="E1649">
        <v>47</v>
      </c>
      <c r="F1649" t="s">
        <v>1015</v>
      </c>
      <c r="G1649" t="s">
        <v>855</v>
      </c>
    </row>
    <row r="1650" spans="1:7" x14ac:dyDescent="0.3">
      <c r="A1650">
        <v>1648</v>
      </c>
      <c r="B1650" t="s">
        <v>1768</v>
      </c>
      <c r="C1650" t="s">
        <v>1760</v>
      </c>
      <c r="D1650">
        <v>10</v>
      </c>
      <c r="E1650">
        <v>9</v>
      </c>
      <c r="F1650" t="s">
        <v>1725</v>
      </c>
      <c r="G1650" t="s">
        <v>855</v>
      </c>
    </row>
    <row r="1651" spans="1:7" x14ac:dyDescent="0.3">
      <c r="A1651">
        <v>1649</v>
      </c>
      <c r="B1651" t="s">
        <v>1769</v>
      </c>
      <c r="C1651" t="s">
        <v>1541</v>
      </c>
      <c r="D1651">
        <v>150</v>
      </c>
      <c r="E1651">
        <v>90</v>
      </c>
      <c r="F1651" t="s">
        <v>9</v>
      </c>
      <c r="G1651" t="s">
        <v>855</v>
      </c>
    </row>
    <row r="1652" spans="1:7" x14ac:dyDescent="0.3">
      <c r="A1652">
        <v>1650</v>
      </c>
      <c r="B1652" t="s">
        <v>1770</v>
      </c>
      <c r="C1652" t="s">
        <v>1760</v>
      </c>
      <c r="D1652">
        <v>35</v>
      </c>
      <c r="E1652">
        <v>32</v>
      </c>
      <c r="F1652" t="s">
        <v>1697</v>
      </c>
      <c r="G1652" t="s">
        <v>855</v>
      </c>
    </row>
    <row r="1653" spans="1:7" x14ac:dyDescent="0.3">
      <c r="A1653">
        <v>1651</v>
      </c>
      <c r="B1653" t="s">
        <v>1771</v>
      </c>
      <c r="C1653" t="s">
        <v>1522</v>
      </c>
      <c r="D1653">
        <v>53</v>
      </c>
      <c r="E1653">
        <v>43</v>
      </c>
      <c r="F1653" t="s">
        <v>188</v>
      </c>
      <c r="G1653" t="s">
        <v>855</v>
      </c>
    </row>
    <row r="1654" spans="1:7" x14ac:dyDescent="0.3">
      <c r="A1654">
        <v>1652</v>
      </c>
      <c r="B1654" t="s">
        <v>1772</v>
      </c>
      <c r="C1654" t="s">
        <v>1696</v>
      </c>
      <c r="D1654">
        <v>55</v>
      </c>
      <c r="E1654">
        <v>27</v>
      </c>
      <c r="F1654" t="s">
        <v>1773</v>
      </c>
      <c r="G1654" t="s">
        <v>855</v>
      </c>
    </row>
    <row r="1655" spans="1:7" x14ac:dyDescent="0.3">
      <c r="A1655">
        <v>1653</v>
      </c>
      <c r="B1655" t="s">
        <v>1774</v>
      </c>
      <c r="C1655" t="s">
        <v>1714</v>
      </c>
      <c r="D1655">
        <v>70</v>
      </c>
      <c r="E1655">
        <v>55</v>
      </c>
      <c r="F1655" t="s">
        <v>1027</v>
      </c>
      <c r="G1655" t="s">
        <v>855</v>
      </c>
    </row>
    <row r="1656" spans="1:7" x14ac:dyDescent="0.3">
      <c r="A1656">
        <v>1654</v>
      </c>
      <c r="B1656" t="s">
        <v>1775</v>
      </c>
      <c r="C1656" t="s">
        <v>1720</v>
      </c>
      <c r="D1656">
        <v>55</v>
      </c>
      <c r="E1656">
        <v>27</v>
      </c>
      <c r="F1656" t="s">
        <v>11</v>
      </c>
      <c r="G1656" t="s">
        <v>855</v>
      </c>
    </row>
    <row r="1657" spans="1:7" x14ac:dyDescent="0.3">
      <c r="A1657">
        <v>1655</v>
      </c>
      <c r="B1657" t="s">
        <v>1776</v>
      </c>
      <c r="C1657" t="s">
        <v>1696</v>
      </c>
      <c r="D1657">
        <v>55</v>
      </c>
      <c r="E1657">
        <v>27</v>
      </c>
      <c r="F1657" t="s">
        <v>1773</v>
      </c>
      <c r="G1657" t="s">
        <v>855</v>
      </c>
    </row>
    <row r="1658" spans="1:7" x14ac:dyDescent="0.3">
      <c r="A1658">
        <v>1656</v>
      </c>
      <c r="B1658" t="s">
        <v>1777</v>
      </c>
      <c r="C1658" t="s">
        <v>1714</v>
      </c>
      <c r="D1658">
        <v>70</v>
      </c>
      <c r="E1658">
        <v>56</v>
      </c>
      <c r="F1658" t="s">
        <v>913</v>
      </c>
      <c r="G1658" t="s">
        <v>855</v>
      </c>
    </row>
    <row r="1659" spans="1:7" x14ac:dyDescent="0.3">
      <c r="A1659">
        <v>1657</v>
      </c>
      <c r="B1659" t="s">
        <v>1778</v>
      </c>
      <c r="C1659" t="s">
        <v>1563</v>
      </c>
      <c r="D1659">
        <v>46</v>
      </c>
      <c r="E1659">
        <v>23</v>
      </c>
      <c r="F1659" t="s">
        <v>834</v>
      </c>
      <c r="G1659" t="s">
        <v>855</v>
      </c>
    </row>
    <row r="1660" spans="1:7" x14ac:dyDescent="0.3">
      <c r="A1660">
        <v>1658</v>
      </c>
      <c r="B1660" t="s">
        <v>1779</v>
      </c>
      <c r="C1660" t="s">
        <v>1696</v>
      </c>
      <c r="D1660">
        <v>55</v>
      </c>
      <c r="E1660">
        <v>27</v>
      </c>
      <c r="F1660" t="s">
        <v>1773</v>
      </c>
      <c r="G1660" t="s">
        <v>855</v>
      </c>
    </row>
    <row r="1661" spans="1:7" x14ac:dyDescent="0.3">
      <c r="A1661">
        <v>1659</v>
      </c>
      <c r="B1661" t="s">
        <v>1780</v>
      </c>
      <c r="C1661" t="s">
        <v>1573</v>
      </c>
      <c r="D1661">
        <v>75</v>
      </c>
      <c r="E1661">
        <v>37</v>
      </c>
      <c r="F1661" t="s">
        <v>12</v>
      </c>
      <c r="G1661" t="s">
        <v>855</v>
      </c>
    </row>
    <row r="1662" spans="1:7" x14ac:dyDescent="0.3">
      <c r="A1662">
        <v>1660</v>
      </c>
      <c r="B1662" t="s">
        <v>1781</v>
      </c>
      <c r="C1662" t="s">
        <v>1668</v>
      </c>
      <c r="D1662">
        <v>150</v>
      </c>
      <c r="E1662">
        <v>119</v>
      </c>
      <c r="F1662" t="s">
        <v>11</v>
      </c>
      <c r="G1662" t="s">
        <v>855</v>
      </c>
    </row>
    <row r="1663" spans="1:7" x14ac:dyDescent="0.3">
      <c r="A1663">
        <v>1661</v>
      </c>
      <c r="B1663" t="s">
        <v>1782</v>
      </c>
      <c r="C1663" t="s">
        <v>1696</v>
      </c>
      <c r="D1663">
        <v>130</v>
      </c>
      <c r="E1663">
        <v>111</v>
      </c>
      <c r="F1663" t="s">
        <v>1697</v>
      </c>
      <c r="G1663" t="s">
        <v>855</v>
      </c>
    </row>
    <row r="1664" spans="1:7" x14ac:dyDescent="0.3">
      <c r="A1664">
        <v>1662</v>
      </c>
      <c r="B1664" t="s">
        <v>1783</v>
      </c>
      <c r="C1664" t="s">
        <v>1696</v>
      </c>
      <c r="D1664">
        <v>55</v>
      </c>
      <c r="E1664">
        <v>27</v>
      </c>
      <c r="F1664" t="s">
        <v>1773</v>
      </c>
      <c r="G1664" t="s">
        <v>855</v>
      </c>
    </row>
    <row r="1665" spans="1:7" x14ac:dyDescent="0.3">
      <c r="A1665">
        <v>1663</v>
      </c>
      <c r="B1665" t="s">
        <v>1784</v>
      </c>
      <c r="C1665" t="s">
        <v>1714</v>
      </c>
      <c r="D1665">
        <v>70</v>
      </c>
      <c r="E1665">
        <v>56</v>
      </c>
      <c r="F1665" t="s">
        <v>913</v>
      </c>
      <c r="G1665" t="s">
        <v>855</v>
      </c>
    </row>
    <row r="1666" spans="1:7" x14ac:dyDescent="0.3">
      <c r="A1666">
        <v>1664</v>
      </c>
      <c r="B1666" t="s">
        <v>1785</v>
      </c>
      <c r="C1666" t="s">
        <v>1760</v>
      </c>
      <c r="D1666">
        <v>35</v>
      </c>
      <c r="E1666">
        <v>31</v>
      </c>
      <c r="F1666" t="s">
        <v>1697</v>
      </c>
      <c r="G1666" t="s">
        <v>855</v>
      </c>
    </row>
    <row r="1667" spans="1:7" x14ac:dyDescent="0.3">
      <c r="A1667">
        <v>1665</v>
      </c>
      <c r="B1667" t="s">
        <v>1786</v>
      </c>
      <c r="C1667" t="s">
        <v>1690</v>
      </c>
      <c r="D1667">
        <v>65</v>
      </c>
      <c r="E1667">
        <v>32</v>
      </c>
      <c r="F1667" t="s">
        <v>12</v>
      </c>
      <c r="G1667" t="s">
        <v>855</v>
      </c>
    </row>
    <row r="1668" spans="1:7" x14ac:dyDescent="0.3">
      <c r="A1668">
        <v>1666</v>
      </c>
      <c r="B1668" t="s">
        <v>1787</v>
      </c>
      <c r="C1668" t="s">
        <v>1714</v>
      </c>
      <c r="D1668">
        <v>70</v>
      </c>
      <c r="E1668">
        <v>56</v>
      </c>
      <c r="F1668" t="s">
        <v>913</v>
      </c>
      <c r="G1668" t="s">
        <v>855</v>
      </c>
    </row>
    <row r="1669" spans="1:7" x14ac:dyDescent="0.3">
      <c r="A1669">
        <v>1667</v>
      </c>
      <c r="B1669" t="s">
        <v>1788</v>
      </c>
      <c r="C1669" t="s">
        <v>1714</v>
      </c>
      <c r="D1669">
        <v>70</v>
      </c>
      <c r="E1669">
        <v>56</v>
      </c>
      <c r="F1669" t="s">
        <v>913</v>
      </c>
      <c r="G1669" t="s">
        <v>855</v>
      </c>
    </row>
    <row r="1670" spans="1:7" x14ac:dyDescent="0.3">
      <c r="A1670">
        <v>1668</v>
      </c>
      <c r="B1670" t="s">
        <v>1789</v>
      </c>
      <c r="C1670" t="s">
        <v>1541</v>
      </c>
      <c r="D1670">
        <v>72</v>
      </c>
      <c r="E1670">
        <v>64</v>
      </c>
      <c r="F1670" t="s">
        <v>107</v>
      </c>
      <c r="G1670" t="s">
        <v>855</v>
      </c>
    </row>
    <row r="1671" spans="1:7" x14ac:dyDescent="0.3">
      <c r="A1671">
        <v>1669</v>
      </c>
      <c r="B1671" t="s">
        <v>1790</v>
      </c>
      <c r="C1671" t="s">
        <v>1563</v>
      </c>
      <c r="D1671">
        <v>92</v>
      </c>
      <c r="E1671">
        <v>46</v>
      </c>
      <c r="F1671" t="s">
        <v>188</v>
      </c>
      <c r="G1671" t="s">
        <v>855</v>
      </c>
    </row>
    <row r="1672" spans="1:7" x14ac:dyDescent="0.3">
      <c r="A1672">
        <v>1670</v>
      </c>
      <c r="B1672" t="s">
        <v>1791</v>
      </c>
      <c r="C1672" t="s">
        <v>1541</v>
      </c>
      <c r="D1672">
        <v>78</v>
      </c>
      <c r="E1672">
        <v>62</v>
      </c>
      <c r="F1672" t="s">
        <v>107</v>
      </c>
      <c r="G1672" t="s">
        <v>855</v>
      </c>
    </row>
    <row r="1673" spans="1:7" x14ac:dyDescent="0.3">
      <c r="A1673">
        <v>1671</v>
      </c>
      <c r="B1673" t="s">
        <v>1792</v>
      </c>
      <c r="C1673" t="s">
        <v>1793</v>
      </c>
      <c r="D1673">
        <v>31</v>
      </c>
      <c r="E1673">
        <v>19</v>
      </c>
      <c r="F1673" t="s">
        <v>1697</v>
      </c>
      <c r="G1673" t="s">
        <v>855</v>
      </c>
    </row>
    <row r="1674" spans="1:7" x14ac:dyDescent="0.3">
      <c r="A1674">
        <v>1672</v>
      </c>
      <c r="B1674" t="s">
        <v>1794</v>
      </c>
      <c r="C1674" t="s">
        <v>1795</v>
      </c>
      <c r="D1674">
        <v>135</v>
      </c>
      <c r="E1674">
        <v>120</v>
      </c>
      <c r="F1674" t="s">
        <v>201</v>
      </c>
      <c r="G1674" t="s">
        <v>855</v>
      </c>
    </row>
    <row r="1675" spans="1:7" x14ac:dyDescent="0.3">
      <c r="A1675">
        <v>1673</v>
      </c>
      <c r="B1675" t="s">
        <v>1796</v>
      </c>
      <c r="C1675" t="s">
        <v>1668</v>
      </c>
      <c r="D1675">
        <v>80</v>
      </c>
      <c r="E1675">
        <v>64</v>
      </c>
      <c r="F1675" t="s">
        <v>12</v>
      </c>
      <c r="G1675" t="s">
        <v>855</v>
      </c>
    </row>
    <row r="1676" spans="1:7" x14ac:dyDescent="0.3">
      <c r="A1676">
        <v>1674</v>
      </c>
      <c r="B1676" t="s">
        <v>1797</v>
      </c>
      <c r="C1676" t="s">
        <v>1760</v>
      </c>
      <c r="D1676">
        <v>35</v>
      </c>
      <c r="E1676">
        <v>32</v>
      </c>
      <c r="F1676" t="s">
        <v>1697</v>
      </c>
      <c r="G1676" t="s">
        <v>855</v>
      </c>
    </row>
    <row r="1677" spans="1:7" x14ac:dyDescent="0.3">
      <c r="A1677">
        <v>1675</v>
      </c>
      <c r="B1677" t="s">
        <v>1798</v>
      </c>
      <c r="C1677" t="s">
        <v>1760</v>
      </c>
      <c r="D1677">
        <v>33</v>
      </c>
      <c r="E1677">
        <v>30</v>
      </c>
      <c r="F1677" t="s">
        <v>1799</v>
      </c>
      <c r="G1677" t="s">
        <v>855</v>
      </c>
    </row>
    <row r="1678" spans="1:7" x14ac:dyDescent="0.3">
      <c r="A1678">
        <v>1676</v>
      </c>
      <c r="B1678" t="s">
        <v>1800</v>
      </c>
      <c r="C1678" t="s">
        <v>1760</v>
      </c>
      <c r="D1678">
        <v>72</v>
      </c>
      <c r="E1678">
        <v>65</v>
      </c>
      <c r="F1678" t="s">
        <v>1764</v>
      </c>
      <c r="G1678" t="s">
        <v>855</v>
      </c>
    </row>
    <row r="1679" spans="1:7" x14ac:dyDescent="0.3">
      <c r="A1679">
        <v>1677</v>
      </c>
      <c r="B1679" t="s">
        <v>1801</v>
      </c>
      <c r="C1679" t="s">
        <v>1541</v>
      </c>
      <c r="D1679">
        <v>72</v>
      </c>
      <c r="E1679">
        <v>64</v>
      </c>
      <c r="F1679" t="s">
        <v>107</v>
      </c>
      <c r="G1679" t="s">
        <v>855</v>
      </c>
    </row>
    <row r="1680" spans="1:7" x14ac:dyDescent="0.3">
      <c r="A1680">
        <v>1678</v>
      </c>
      <c r="B1680" t="s">
        <v>1802</v>
      </c>
      <c r="C1680" t="s">
        <v>1563</v>
      </c>
      <c r="D1680">
        <v>92</v>
      </c>
      <c r="E1680">
        <v>46</v>
      </c>
      <c r="F1680" t="s">
        <v>188</v>
      </c>
      <c r="G1680" t="s">
        <v>855</v>
      </c>
    </row>
    <row r="1681" spans="1:7" x14ac:dyDescent="0.3">
      <c r="A1681">
        <v>1679</v>
      </c>
      <c r="B1681" t="s">
        <v>1803</v>
      </c>
      <c r="C1681" t="s">
        <v>1668</v>
      </c>
      <c r="D1681">
        <v>62</v>
      </c>
      <c r="E1681">
        <v>31</v>
      </c>
      <c r="F1681" t="s">
        <v>12</v>
      </c>
      <c r="G1681" t="s">
        <v>855</v>
      </c>
    </row>
    <row r="1682" spans="1:7" x14ac:dyDescent="0.3">
      <c r="A1682">
        <v>1680</v>
      </c>
      <c r="B1682" t="s">
        <v>1804</v>
      </c>
      <c r="C1682" t="s">
        <v>1665</v>
      </c>
      <c r="D1682">
        <v>35</v>
      </c>
      <c r="E1682">
        <v>30</v>
      </c>
      <c r="F1682" t="s">
        <v>1805</v>
      </c>
      <c r="G1682" t="s">
        <v>855</v>
      </c>
    </row>
    <row r="1683" spans="1:7" x14ac:dyDescent="0.3">
      <c r="A1683">
        <v>1681</v>
      </c>
      <c r="B1683" t="s">
        <v>1806</v>
      </c>
      <c r="C1683" t="s">
        <v>1795</v>
      </c>
      <c r="D1683">
        <v>110</v>
      </c>
      <c r="E1683">
        <v>95</v>
      </c>
      <c r="F1683" t="s">
        <v>1807</v>
      </c>
      <c r="G1683" t="s">
        <v>855</v>
      </c>
    </row>
    <row r="1684" spans="1:7" x14ac:dyDescent="0.3">
      <c r="A1684">
        <v>1682</v>
      </c>
      <c r="B1684" t="s">
        <v>1808</v>
      </c>
      <c r="C1684" t="s">
        <v>1573</v>
      </c>
      <c r="D1684">
        <v>32</v>
      </c>
      <c r="E1684">
        <v>16</v>
      </c>
      <c r="F1684" t="s">
        <v>12</v>
      </c>
      <c r="G1684" t="s">
        <v>855</v>
      </c>
    </row>
    <row r="1685" spans="1:7" x14ac:dyDescent="0.3">
      <c r="A1685">
        <v>1683</v>
      </c>
      <c r="B1685" t="s">
        <v>1809</v>
      </c>
      <c r="C1685" t="s">
        <v>1563</v>
      </c>
      <c r="D1685">
        <v>92</v>
      </c>
      <c r="E1685">
        <v>46</v>
      </c>
      <c r="F1685" t="s">
        <v>188</v>
      </c>
      <c r="G1685" t="s">
        <v>855</v>
      </c>
    </row>
    <row r="1686" spans="1:7" x14ac:dyDescent="0.3">
      <c r="A1686">
        <v>1684</v>
      </c>
      <c r="B1686" t="s">
        <v>1810</v>
      </c>
      <c r="C1686" t="s">
        <v>1563</v>
      </c>
      <c r="D1686">
        <v>46</v>
      </c>
      <c r="E1686">
        <v>23</v>
      </c>
      <c r="F1686" t="s">
        <v>834</v>
      </c>
      <c r="G1686" t="s">
        <v>855</v>
      </c>
    </row>
    <row r="1687" spans="1:7" x14ac:dyDescent="0.3">
      <c r="A1687">
        <v>1685</v>
      </c>
      <c r="B1687" t="s">
        <v>1811</v>
      </c>
      <c r="C1687" t="s">
        <v>1563</v>
      </c>
      <c r="D1687">
        <v>92</v>
      </c>
      <c r="E1687">
        <v>46</v>
      </c>
      <c r="F1687" t="s">
        <v>188</v>
      </c>
      <c r="G1687" t="s">
        <v>855</v>
      </c>
    </row>
    <row r="1688" spans="1:7" x14ac:dyDescent="0.3">
      <c r="A1688">
        <v>1686</v>
      </c>
      <c r="B1688" t="s">
        <v>1812</v>
      </c>
      <c r="C1688" t="s">
        <v>1522</v>
      </c>
      <c r="D1688">
        <v>167</v>
      </c>
      <c r="E1688">
        <v>83</v>
      </c>
      <c r="F1688" t="s">
        <v>76</v>
      </c>
      <c r="G1688" t="s">
        <v>855</v>
      </c>
    </row>
    <row r="1689" spans="1:7" x14ac:dyDescent="0.3">
      <c r="A1689">
        <v>1687</v>
      </c>
      <c r="B1689" t="s">
        <v>1813</v>
      </c>
      <c r="C1689" t="s">
        <v>1814</v>
      </c>
      <c r="D1689">
        <v>195</v>
      </c>
      <c r="E1689">
        <v>149</v>
      </c>
      <c r="F1689" t="s">
        <v>992</v>
      </c>
      <c r="G1689" t="s">
        <v>855</v>
      </c>
    </row>
    <row r="1690" spans="1:7" x14ac:dyDescent="0.3">
      <c r="A1690">
        <v>1688</v>
      </c>
      <c r="B1690" t="s">
        <v>1813</v>
      </c>
      <c r="C1690" t="s">
        <v>1814</v>
      </c>
      <c r="D1690">
        <v>315</v>
      </c>
      <c r="E1690">
        <v>195</v>
      </c>
      <c r="F1690" t="s">
        <v>1815</v>
      </c>
      <c r="G1690" t="s">
        <v>855</v>
      </c>
    </row>
    <row r="1691" spans="1:7" x14ac:dyDescent="0.3">
      <c r="A1691">
        <v>1689</v>
      </c>
      <c r="B1691" t="s">
        <v>1813</v>
      </c>
      <c r="C1691" t="s">
        <v>1814</v>
      </c>
      <c r="D1691">
        <v>110</v>
      </c>
      <c r="E1691">
        <v>92</v>
      </c>
      <c r="F1691" t="s">
        <v>1816</v>
      </c>
      <c r="G1691" t="s">
        <v>855</v>
      </c>
    </row>
    <row r="1692" spans="1:7" x14ac:dyDescent="0.3">
      <c r="A1692">
        <v>1690</v>
      </c>
      <c r="B1692" t="s">
        <v>1817</v>
      </c>
      <c r="C1692" t="s">
        <v>1818</v>
      </c>
      <c r="D1692">
        <v>135</v>
      </c>
      <c r="E1692">
        <v>115</v>
      </c>
      <c r="F1692" t="s">
        <v>9</v>
      </c>
      <c r="G1692" t="s">
        <v>855</v>
      </c>
    </row>
    <row r="1693" spans="1:7" x14ac:dyDescent="0.3">
      <c r="A1693">
        <v>1691</v>
      </c>
      <c r="B1693" t="s">
        <v>1817</v>
      </c>
      <c r="C1693" t="s">
        <v>1818</v>
      </c>
      <c r="D1693">
        <v>240</v>
      </c>
      <c r="E1693">
        <v>190</v>
      </c>
      <c r="F1693" t="s">
        <v>15</v>
      </c>
      <c r="G1693" t="s">
        <v>855</v>
      </c>
    </row>
    <row r="1694" spans="1:7" x14ac:dyDescent="0.3">
      <c r="A1694">
        <v>1692</v>
      </c>
      <c r="B1694" t="s">
        <v>1819</v>
      </c>
      <c r="C1694" t="s">
        <v>1820</v>
      </c>
      <c r="D1694">
        <v>260</v>
      </c>
      <c r="E1694">
        <v>130</v>
      </c>
      <c r="F1694" t="s">
        <v>15</v>
      </c>
      <c r="G1694" t="s">
        <v>855</v>
      </c>
    </row>
    <row r="1695" spans="1:7" x14ac:dyDescent="0.3">
      <c r="A1695">
        <v>1693</v>
      </c>
      <c r="B1695" t="s">
        <v>1819</v>
      </c>
      <c r="C1695" t="s">
        <v>1820</v>
      </c>
      <c r="D1695">
        <v>130</v>
      </c>
      <c r="E1695">
        <v>65</v>
      </c>
      <c r="F1695" t="s">
        <v>9</v>
      </c>
      <c r="G1695" t="s">
        <v>855</v>
      </c>
    </row>
    <row r="1696" spans="1:7" x14ac:dyDescent="0.3">
      <c r="A1696">
        <v>1694</v>
      </c>
      <c r="B1696" t="s">
        <v>1821</v>
      </c>
      <c r="C1696" t="s">
        <v>356</v>
      </c>
      <c r="D1696">
        <v>260</v>
      </c>
      <c r="E1696">
        <v>130</v>
      </c>
      <c r="F1696" t="s">
        <v>182</v>
      </c>
      <c r="G1696" t="s">
        <v>855</v>
      </c>
    </row>
    <row r="1697" spans="1:7" x14ac:dyDescent="0.3">
      <c r="A1697">
        <v>1695</v>
      </c>
      <c r="B1697" t="s">
        <v>1822</v>
      </c>
      <c r="C1697" t="s">
        <v>1814</v>
      </c>
      <c r="D1697">
        <v>145</v>
      </c>
      <c r="E1697">
        <v>125</v>
      </c>
      <c r="F1697" t="s">
        <v>107</v>
      </c>
      <c r="G1697" t="s">
        <v>855</v>
      </c>
    </row>
    <row r="1698" spans="1:7" x14ac:dyDescent="0.3">
      <c r="A1698">
        <v>1696</v>
      </c>
      <c r="B1698" t="s">
        <v>1822</v>
      </c>
      <c r="C1698" t="s">
        <v>1814</v>
      </c>
      <c r="D1698">
        <v>225</v>
      </c>
      <c r="E1698">
        <v>205</v>
      </c>
      <c r="F1698" t="s">
        <v>76</v>
      </c>
      <c r="G1698" t="s">
        <v>855</v>
      </c>
    </row>
    <row r="1699" spans="1:7" x14ac:dyDescent="0.3">
      <c r="A1699">
        <v>1697</v>
      </c>
      <c r="B1699" t="s">
        <v>1823</v>
      </c>
      <c r="C1699" t="s">
        <v>1814</v>
      </c>
      <c r="D1699">
        <v>230</v>
      </c>
      <c r="E1699">
        <v>154</v>
      </c>
      <c r="F1699" t="s">
        <v>791</v>
      </c>
      <c r="G1699" t="s">
        <v>855</v>
      </c>
    </row>
    <row r="1700" spans="1:7" x14ac:dyDescent="0.3">
      <c r="A1700">
        <v>1698</v>
      </c>
      <c r="B1700" t="s">
        <v>1824</v>
      </c>
      <c r="C1700" t="s">
        <v>356</v>
      </c>
      <c r="D1700">
        <v>110</v>
      </c>
      <c r="E1700">
        <v>55</v>
      </c>
      <c r="F1700" t="s">
        <v>1825</v>
      </c>
      <c r="G1700" t="s">
        <v>855</v>
      </c>
    </row>
    <row r="1701" spans="1:7" x14ac:dyDescent="0.3">
      <c r="A1701">
        <v>1699</v>
      </c>
      <c r="B1701" t="s">
        <v>1826</v>
      </c>
      <c r="C1701" t="s">
        <v>1814</v>
      </c>
      <c r="D1701">
        <v>145</v>
      </c>
      <c r="E1701">
        <v>130</v>
      </c>
      <c r="F1701" t="s">
        <v>76</v>
      </c>
      <c r="G1701" t="s">
        <v>855</v>
      </c>
    </row>
    <row r="1702" spans="1:7" x14ac:dyDescent="0.3">
      <c r="A1702">
        <v>1700</v>
      </c>
      <c r="B1702" t="s">
        <v>1827</v>
      </c>
      <c r="C1702" t="s">
        <v>1814</v>
      </c>
      <c r="D1702">
        <v>215</v>
      </c>
      <c r="E1702">
        <v>140</v>
      </c>
      <c r="F1702" t="s">
        <v>1828</v>
      </c>
      <c r="G1702" t="s">
        <v>855</v>
      </c>
    </row>
    <row r="1703" spans="1:7" x14ac:dyDescent="0.3">
      <c r="A1703">
        <v>1701</v>
      </c>
      <c r="B1703" t="s">
        <v>1829</v>
      </c>
      <c r="C1703" t="s">
        <v>1814</v>
      </c>
      <c r="D1703">
        <v>345</v>
      </c>
      <c r="E1703">
        <v>315</v>
      </c>
      <c r="F1703" t="s">
        <v>1815</v>
      </c>
      <c r="G1703" t="s">
        <v>855</v>
      </c>
    </row>
    <row r="1704" spans="1:7" x14ac:dyDescent="0.3">
      <c r="A1704">
        <v>1702</v>
      </c>
      <c r="B1704" t="s">
        <v>1829</v>
      </c>
      <c r="C1704" t="s">
        <v>1814</v>
      </c>
      <c r="D1704">
        <v>130</v>
      </c>
      <c r="E1704">
        <v>115</v>
      </c>
      <c r="F1704" t="s">
        <v>1830</v>
      </c>
      <c r="G1704" t="s">
        <v>855</v>
      </c>
    </row>
    <row r="1705" spans="1:7" x14ac:dyDescent="0.3">
      <c r="A1705">
        <v>1703</v>
      </c>
      <c r="B1705" t="s">
        <v>1829</v>
      </c>
      <c r="C1705" t="s">
        <v>1814</v>
      </c>
      <c r="D1705">
        <v>215</v>
      </c>
      <c r="E1705">
        <v>180</v>
      </c>
      <c r="F1705" t="s">
        <v>992</v>
      </c>
      <c r="G1705" t="s">
        <v>855</v>
      </c>
    </row>
    <row r="1706" spans="1:7" x14ac:dyDescent="0.3">
      <c r="A1706">
        <v>1704</v>
      </c>
      <c r="B1706" t="s">
        <v>1831</v>
      </c>
      <c r="C1706" t="s">
        <v>1832</v>
      </c>
      <c r="D1706">
        <v>225</v>
      </c>
      <c r="E1706">
        <v>170</v>
      </c>
      <c r="F1706" t="s">
        <v>76</v>
      </c>
      <c r="G1706" t="s">
        <v>855</v>
      </c>
    </row>
    <row r="1707" spans="1:7" x14ac:dyDescent="0.3">
      <c r="A1707">
        <v>1705</v>
      </c>
      <c r="B1707" t="s">
        <v>1833</v>
      </c>
      <c r="C1707" t="s">
        <v>1814</v>
      </c>
      <c r="D1707">
        <v>135</v>
      </c>
      <c r="E1707">
        <v>99</v>
      </c>
      <c r="F1707" t="s">
        <v>1834</v>
      </c>
      <c r="G1707" t="s">
        <v>855</v>
      </c>
    </row>
    <row r="1708" spans="1:7" x14ac:dyDescent="0.3">
      <c r="A1708">
        <v>1706</v>
      </c>
      <c r="B1708" t="s">
        <v>1835</v>
      </c>
      <c r="C1708" t="s">
        <v>1836</v>
      </c>
      <c r="D1708">
        <v>210</v>
      </c>
      <c r="E1708">
        <v>145</v>
      </c>
      <c r="F1708" t="s">
        <v>1837</v>
      </c>
      <c r="G1708" t="s">
        <v>855</v>
      </c>
    </row>
    <row r="1709" spans="1:7" x14ac:dyDescent="0.3">
      <c r="A1709">
        <v>1707</v>
      </c>
      <c r="B1709" t="s">
        <v>1838</v>
      </c>
      <c r="C1709" t="s">
        <v>356</v>
      </c>
      <c r="D1709">
        <v>150</v>
      </c>
      <c r="E1709">
        <v>75</v>
      </c>
      <c r="F1709" t="s">
        <v>9</v>
      </c>
      <c r="G1709" t="s">
        <v>855</v>
      </c>
    </row>
    <row r="1710" spans="1:7" x14ac:dyDescent="0.3">
      <c r="A1710">
        <v>1708</v>
      </c>
      <c r="B1710" t="s">
        <v>1839</v>
      </c>
      <c r="C1710" t="s">
        <v>1840</v>
      </c>
      <c r="D1710">
        <v>245</v>
      </c>
      <c r="E1710">
        <v>122</v>
      </c>
      <c r="F1710" t="s">
        <v>1413</v>
      </c>
      <c r="G1710" t="s">
        <v>855</v>
      </c>
    </row>
    <row r="1711" spans="1:7" x14ac:dyDescent="0.3">
      <c r="A1711">
        <v>1709</v>
      </c>
      <c r="B1711" t="s">
        <v>1841</v>
      </c>
      <c r="C1711" t="s">
        <v>1814</v>
      </c>
      <c r="D1711">
        <v>145</v>
      </c>
      <c r="E1711">
        <v>130</v>
      </c>
      <c r="F1711" t="s">
        <v>1842</v>
      </c>
      <c r="G1711" t="s">
        <v>855</v>
      </c>
    </row>
    <row r="1712" spans="1:7" x14ac:dyDescent="0.3">
      <c r="A1712">
        <v>1710</v>
      </c>
      <c r="B1712" t="s">
        <v>1843</v>
      </c>
      <c r="C1712" t="s">
        <v>1836</v>
      </c>
      <c r="D1712">
        <v>325</v>
      </c>
      <c r="E1712">
        <v>255</v>
      </c>
      <c r="F1712" t="s">
        <v>1844</v>
      </c>
      <c r="G1712" t="s">
        <v>855</v>
      </c>
    </row>
    <row r="1713" spans="1:7" x14ac:dyDescent="0.3">
      <c r="A1713">
        <v>1711</v>
      </c>
      <c r="B1713" t="s">
        <v>1845</v>
      </c>
      <c r="C1713" t="s">
        <v>1846</v>
      </c>
      <c r="D1713">
        <v>170</v>
      </c>
      <c r="E1713">
        <v>150</v>
      </c>
      <c r="F1713" t="s">
        <v>1847</v>
      </c>
      <c r="G1713" t="s">
        <v>855</v>
      </c>
    </row>
    <row r="1714" spans="1:7" x14ac:dyDescent="0.3">
      <c r="A1714">
        <v>1712</v>
      </c>
      <c r="B1714" t="s">
        <v>1848</v>
      </c>
      <c r="C1714" t="s">
        <v>1814</v>
      </c>
      <c r="D1714">
        <v>250</v>
      </c>
      <c r="E1714">
        <v>199</v>
      </c>
      <c r="F1714" t="s">
        <v>992</v>
      </c>
      <c r="G1714" t="s">
        <v>855</v>
      </c>
    </row>
    <row r="1715" spans="1:7" x14ac:dyDescent="0.3">
      <c r="A1715">
        <v>1713</v>
      </c>
      <c r="B1715" t="s">
        <v>1849</v>
      </c>
      <c r="C1715" t="s">
        <v>356</v>
      </c>
      <c r="D1715">
        <v>225</v>
      </c>
      <c r="E1715">
        <v>112</v>
      </c>
      <c r="F1715" t="s">
        <v>76</v>
      </c>
      <c r="G1715" t="s">
        <v>855</v>
      </c>
    </row>
    <row r="1716" spans="1:7" x14ac:dyDescent="0.3">
      <c r="A1716">
        <v>1714</v>
      </c>
      <c r="B1716" t="s">
        <v>1827</v>
      </c>
      <c r="C1716" t="s">
        <v>1814</v>
      </c>
      <c r="D1716">
        <v>115</v>
      </c>
      <c r="E1716">
        <v>105</v>
      </c>
      <c r="F1716" t="s">
        <v>76</v>
      </c>
      <c r="G1716" t="s">
        <v>855</v>
      </c>
    </row>
    <row r="1717" spans="1:7" x14ac:dyDescent="0.3">
      <c r="A1717">
        <v>1715</v>
      </c>
      <c r="B1717" t="s">
        <v>1850</v>
      </c>
      <c r="C1717" t="s">
        <v>1851</v>
      </c>
      <c r="D1717">
        <v>175</v>
      </c>
      <c r="E1717">
        <v>87</v>
      </c>
      <c r="F1717" t="s">
        <v>1852</v>
      </c>
      <c r="G1717" t="s">
        <v>855</v>
      </c>
    </row>
    <row r="1718" spans="1:7" x14ac:dyDescent="0.3">
      <c r="A1718">
        <v>1716</v>
      </c>
      <c r="B1718" t="s">
        <v>1853</v>
      </c>
      <c r="C1718" t="s">
        <v>356</v>
      </c>
      <c r="D1718">
        <v>130</v>
      </c>
      <c r="E1718">
        <v>65</v>
      </c>
      <c r="F1718" t="s">
        <v>1854</v>
      </c>
      <c r="G1718" t="s">
        <v>855</v>
      </c>
    </row>
    <row r="1719" spans="1:7" x14ac:dyDescent="0.3">
      <c r="A1719">
        <v>1717</v>
      </c>
      <c r="B1719" t="s">
        <v>1823</v>
      </c>
      <c r="C1719" t="s">
        <v>1814</v>
      </c>
      <c r="D1719">
        <v>140</v>
      </c>
      <c r="E1719">
        <v>112</v>
      </c>
      <c r="F1719" t="s">
        <v>1816</v>
      </c>
      <c r="G1719" t="s">
        <v>855</v>
      </c>
    </row>
    <row r="1720" spans="1:7" x14ac:dyDescent="0.3">
      <c r="A1720">
        <v>1718</v>
      </c>
      <c r="B1720" t="s">
        <v>1855</v>
      </c>
      <c r="C1720" t="s">
        <v>1851</v>
      </c>
      <c r="D1720">
        <v>145</v>
      </c>
      <c r="E1720">
        <v>72</v>
      </c>
      <c r="F1720" t="s">
        <v>9</v>
      </c>
      <c r="G1720" t="s">
        <v>855</v>
      </c>
    </row>
    <row r="1721" spans="1:7" x14ac:dyDescent="0.3">
      <c r="A1721">
        <v>1719</v>
      </c>
      <c r="B1721" t="s">
        <v>1856</v>
      </c>
      <c r="C1721" t="s">
        <v>1836</v>
      </c>
      <c r="D1721">
        <v>295</v>
      </c>
      <c r="E1721">
        <v>220</v>
      </c>
      <c r="F1721" t="s">
        <v>1844</v>
      </c>
      <c r="G1721" t="s">
        <v>855</v>
      </c>
    </row>
    <row r="1722" spans="1:7" x14ac:dyDescent="0.3">
      <c r="A1722">
        <v>1720</v>
      </c>
      <c r="B1722" t="s">
        <v>1857</v>
      </c>
      <c r="C1722" t="s">
        <v>356</v>
      </c>
      <c r="D1722">
        <v>175</v>
      </c>
      <c r="E1722">
        <v>87</v>
      </c>
      <c r="F1722" t="s">
        <v>76</v>
      </c>
      <c r="G1722" t="s">
        <v>855</v>
      </c>
    </row>
    <row r="1723" spans="1:7" x14ac:dyDescent="0.3">
      <c r="A1723">
        <v>1721</v>
      </c>
      <c r="B1723" t="s">
        <v>1858</v>
      </c>
      <c r="C1723" t="s">
        <v>1840</v>
      </c>
      <c r="D1723">
        <v>135</v>
      </c>
      <c r="E1723">
        <v>67</v>
      </c>
      <c r="F1723" t="s">
        <v>12</v>
      </c>
      <c r="G1723" t="s">
        <v>855</v>
      </c>
    </row>
    <row r="1724" spans="1:7" x14ac:dyDescent="0.3">
      <c r="A1724">
        <v>1722</v>
      </c>
      <c r="B1724" t="s">
        <v>1827</v>
      </c>
      <c r="C1724" t="s">
        <v>1832</v>
      </c>
      <c r="D1724">
        <v>315</v>
      </c>
      <c r="E1724">
        <v>260</v>
      </c>
      <c r="F1724" t="s">
        <v>1859</v>
      </c>
      <c r="G1724" t="s">
        <v>855</v>
      </c>
    </row>
    <row r="1725" spans="1:7" x14ac:dyDescent="0.3">
      <c r="A1725">
        <v>1723</v>
      </c>
      <c r="B1725" t="s">
        <v>1860</v>
      </c>
      <c r="C1725" t="s">
        <v>1861</v>
      </c>
      <c r="D1725">
        <v>99</v>
      </c>
      <c r="E1725">
        <v>84</v>
      </c>
      <c r="F1725" t="s">
        <v>9</v>
      </c>
      <c r="G1725" t="s">
        <v>855</v>
      </c>
    </row>
    <row r="1726" spans="1:7" x14ac:dyDescent="0.3">
      <c r="A1726">
        <v>1724</v>
      </c>
      <c r="B1726" t="s">
        <v>1862</v>
      </c>
      <c r="C1726" t="s">
        <v>1818</v>
      </c>
      <c r="D1726">
        <v>80</v>
      </c>
      <c r="E1726">
        <v>63</v>
      </c>
      <c r="F1726" t="s">
        <v>9</v>
      </c>
      <c r="G1726" t="s">
        <v>855</v>
      </c>
    </row>
    <row r="1727" spans="1:7" x14ac:dyDescent="0.3">
      <c r="A1727">
        <v>1725</v>
      </c>
      <c r="B1727" t="s">
        <v>1863</v>
      </c>
      <c r="C1727" t="s">
        <v>1861</v>
      </c>
      <c r="D1727">
        <v>99</v>
      </c>
      <c r="E1727">
        <v>81</v>
      </c>
      <c r="F1727" t="s">
        <v>1512</v>
      </c>
      <c r="G1727" t="s">
        <v>855</v>
      </c>
    </row>
    <row r="1728" spans="1:7" x14ac:dyDescent="0.3">
      <c r="A1728">
        <v>1726</v>
      </c>
      <c r="B1728" t="s">
        <v>1864</v>
      </c>
      <c r="C1728" t="s">
        <v>1108</v>
      </c>
      <c r="D1728">
        <v>95</v>
      </c>
      <c r="E1728">
        <v>82</v>
      </c>
      <c r="F1728" t="s">
        <v>1865</v>
      </c>
      <c r="G1728" t="s">
        <v>1866</v>
      </c>
    </row>
    <row r="1729" spans="1:7" x14ac:dyDescent="0.3">
      <c r="A1729">
        <v>1727</v>
      </c>
      <c r="B1729" t="s">
        <v>1867</v>
      </c>
      <c r="C1729" t="s">
        <v>356</v>
      </c>
      <c r="D1729">
        <v>125</v>
      </c>
      <c r="E1729">
        <v>62</v>
      </c>
      <c r="F1729" t="s">
        <v>1847</v>
      </c>
      <c r="G1729" t="s">
        <v>855</v>
      </c>
    </row>
    <row r="1730" spans="1:7" x14ac:dyDescent="0.3">
      <c r="A1730">
        <v>1728</v>
      </c>
      <c r="B1730" t="s">
        <v>1868</v>
      </c>
      <c r="C1730" t="s">
        <v>1851</v>
      </c>
      <c r="D1730">
        <v>185</v>
      </c>
      <c r="E1730">
        <v>125</v>
      </c>
      <c r="F1730" t="s">
        <v>1854</v>
      </c>
      <c r="G1730" t="s">
        <v>855</v>
      </c>
    </row>
    <row r="1731" spans="1:7" x14ac:dyDescent="0.3">
      <c r="A1731">
        <v>1729</v>
      </c>
      <c r="B1731" t="s">
        <v>1869</v>
      </c>
      <c r="C1731" t="s">
        <v>1851</v>
      </c>
      <c r="D1731">
        <v>140</v>
      </c>
      <c r="E1731">
        <v>99</v>
      </c>
      <c r="F1731" t="s">
        <v>1870</v>
      </c>
      <c r="G1731" t="s">
        <v>855</v>
      </c>
    </row>
    <row r="1732" spans="1:7" x14ac:dyDescent="0.3">
      <c r="A1732">
        <v>1730</v>
      </c>
      <c r="B1732" t="s">
        <v>1871</v>
      </c>
      <c r="C1732" t="s">
        <v>1818</v>
      </c>
      <c r="D1732">
        <v>80</v>
      </c>
      <c r="E1732">
        <v>65</v>
      </c>
      <c r="F1732" t="s">
        <v>12</v>
      </c>
      <c r="G1732" t="s">
        <v>855</v>
      </c>
    </row>
    <row r="1733" spans="1:7" x14ac:dyDescent="0.3">
      <c r="A1733">
        <v>1731</v>
      </c>
      <c r="B1733" t="s">
        <v>1860</v>
      </c>
      <c r="C1733" t="s">
        <v>1861</v>
      </c>
      <c r="D1733">
        <v>60</v>
      </c>
      <c r="E1733">
        <v>45</v>
      </c>
      <c r="F1733" t="s">
        <v>107</v>
      </c>
      <c r="G1733" t="s">
        <v>855</v>
      </c>
    </row>
    <row r="1734" spans="1:7" x14ac:dyDescent="0.3">
      <c r="A1734">
        <v>1732</v>
      </c>
      <c r="B1734" t="s">
        <v>1872</v>
      </c>
      <c r="C1734" t="s">
        <v>1840</v>
      </c>
      <c r="D1734">
        <v>115</v>
      </c>
      <c r="E1734">
        <v>57</v>
      </c>
      <c r="F1734" t="s">
        <v>1371</v>
      </c>
      <c r="G1734" t="s">
        <v>855</v>
      </c>
    </row>
    <row r="1735" spans="1:7" x14ac:dyDescent="0.3">
      <c r="A1735">
        <v>1733</v>
      </c>
      <c r="B1735" t="s">
        <v>1873</v>
      </c>
      <c r="C1735" t="s">
        <v>1818</v>
      </c>
      <c r="D1735">
        <v>100</v>
      </c>
      <c r="E1735">
        <v>80</v>
      </c>
      <c r="F1735" t="s">
        <v>76</v>
      </c>
      <c r="G1735" t="s">
        <v>855</v>
      </c>
    </row>
    <row r="1736" spans="1:7" x14ac:dyDescent="0.3">
      <c r="A1736">
        <v>1734</v>
      </c>
      <c r="B1736" t="s">
        <v>1874</v>
      </c>
      <c r="C1736" t="s">
        <v>1814</v>
      </c>
      <c r="D1736">
        <v>145</v>
      </c>
      <c r="E1736">
        <v>125</v>
      </c>
      <c r="F1736" t="s">
        <v>1830</v>
      </c>
      <c r="G1736" t="s">
        <v>855</v>
      </c>
    </row>
    <row r="1737" spans="1:7" x14ac:dyDescent="0.3">
      <c r="A1737">
        <v>1735</v>
      </c>
      <c r="B1737" t="s">
        <v>1875</v>
      </c>
      <c r="C1737" t="s">
        <v>1846</v>
      </c>
      <c r="D1737">
        <v>130</v>
      </c>
      <c r="E1737">
        <v>105</v>
      </c>
      <c r="F1737" t="s">
        <v>1807</v>
      </c>
      <c r="G1737" t="s">
        <v>855</v>
      </c>
    </row>
    <row r="1738" spans="1:7" x14ac:dyDescent="0.3">
      <c r="A1738">
        <v>1736</v>
      </c>
      <c r="B1738" t="s">
        <v>1876</v>
      </c>
      <c r="C1738" t="s">
        <v>1840</v>
      </c>
      <c r="D1738">
        <v>135</v>
      </c>
      <c r="E1738">
        <v>67</v>
      </c>
      <c r="F1738" t="s">
        <v>76</v>
      </c>
      <c r="G1738" t="s">
        <v>855</v>
      </c>
    </row>
    <row r="1739" spans="1:7" x14ac:dyDescent="0.3">
      <c r="A1739">
        <v>1737</v>
      </c>
      <c r="B1739" t="s">
        <v>1877</v>
      </c>
      <c r="C1739" t="s">
        <v>1851</v>
      </c>
      <c r="D1739">
        <v>145</v>
      </c>
      <c r="E1739">
        <v>115</v>
      </c>
      <c r="F1739" t="s">
        <v>201</v>
      </c>
      <c r="G1739" t="s">
        <v>855</v>
      </c>
    </row>
    <row r="1740" spans="1:7" x14ac:dyDescent="0.3">
      <c r="A1740">
        <v>1738</v>
      </c>
      <c r="B1740" t="s">
        <v>1878</v>
      </c>
      <c r="C1740" t="s">
        <v>1879</v>
      </c>
      <c r="D1740">
        <v>80</v>
      </c>
      <c r="E1740">
        <v>55</v>
      </c>
      <c r="F1740" t="s">
        <v>1880</v>
      </c>
      <c r="G1740" t="s">
        <v>855</v>
      </c>
    </row>
    <row r="1741" spans="1:7" x14ac:dyDescent="0.3">
      <c r="A1741">
        <v>1739</v>
      </c>
      <c r="B1741" t="s">
        <v>1881</v>
      </c>
      <c r="C1741" t="s">
        <v>1879</v>
      </c>
      <c r="D1741">
        <v>75</v>
      </c>
      <c r="E1741">
        <v>55</v>
      </c>
      <c r="F1741" t="s">
        <v>1111</v>
      </c>
      <c r="G1741" t="s">
        <v>855</v>
      </c>
    </row>
    <row r="1742" spans="1:7" x14ac:dyDescent="0.3">
      <c r="A1742">
        <v>1740</v>
      </c>
      <c r="B1742" t="s">
        <v>1882</v>
      </c>
      <c r="C1742" t="s">
        <v>1883</v>
      </c>
      <c r="D1742">
        <v>175</v>
      </c>
      <c r="E1742">
        <v>125</v>
      </c>
      <c r="F1742" t="s">
        <v>1673</v>
      </c>
      <c r="G1742" t="s">
        <v>855</v>
      </c>
    </row>
    <row r="1743" spans="1:7" x14ac:dyDescent="0.3">
      <c r="A1743">
        <v>1741</v>
      </c>
      <c r="B1743" t="s">
        <v>1884</v>
      </c>
      <c r="C1743" t="s">
        <v>1795</v>
      </c>
      <c r="D1743">
        <v>135</v>
      </c>
      <c r="E1743">
        <v>120</v>
      </c>
      <c r="F1743" t="s">
        <v>201</v>
      </c>
      <c r="G1743" t="s">
        <v>855</v>
      </c>
    </row>
    <row r="1744" spans="1:7" x14ac:dyDescent="0.3">
      <c r="A1744">
        <v>1742</v>
      </c>
      <c r="B1744" t="s">
        <v>1885</v>
      </c>
      <c r="C1744" t="s">
        <v>1883</v>
      </c>
      <c r="D1744">
        <v>200</v>
      </c>
      <c r="E1744">
        <v>125</v>
      </c>
      <c r="F1744" t="s">
        <v>1501</v>
      </c>
      <c r="G1744" t="s">
        <v>855</v>
      </c>
    </row>
    <row r="1745" spans="1:7" x14ac:dyDescent="0.3">
      <c r="A1745">
        <v>1743</v>
      </c>
      <c r="B1745" t="s">
        <v>1886</v>
      </c>
      <c r="C1745" t="s">
        <v>1879</v>
      </c>
      <c r="D1745">
        <v>80</v>
      </c>
      <c r="E1745">
        <v>55</v>
      </c>
      <c r="F1745" t="s">
        <v>1887</v>
      </c>
      <c r="G1745" t="s">
        <v>855</v>
      </c>
    </row>
    <row r="1746" spans="1:7" x14ac:dyDescent="0.3">
      <c r="A1746">
        <v>1744</v>
      </c>
      <c r="B1746" t="s">
        <v>1888</v>
      </c>
      <c r="C1746" t="s">
        <v>1879</v>
      </c>
      <c r="D1746">
        <v>75</v>
      </c>
      <c r="E1746">
        <v>50</v>
      </c>
      <c r="F1746" t="s">
        <v>1111</v>
      </c>
      <c r="G1746" t="s">
        <v>855</v>
      </c>
    </row>
    <row r="1747" spans="1:7" x14ac:dyDescent="0.3">
      <c r="A1747">
        <v>1745</v>
      </c>
      <c r="B1747" t="s">
        <v>1889</v>
      </c>
      <c r="C1747" t="s">
        <v>1883</v>
      </c>
      <c r="D1747">
        <v>10</v>
      </c>
      <c r="E1747">
        <v>8</v>
      </c>
      <c r="F1747" t="s">
        <v>1725</v>
      </c>
      <c r="G1747" t="s">
        <v>855</v>
      </c>
    </row>
    <row r="1748" spans="1:7" x14ac:dyDescent="0.3">
      <c r="A1748">
        <v>1746</v>
      </c>
      <c r="B1748" t="s">
        <v>1890</v>
      </c>
      <c r="C1748" t="s">
        <v>1883</v>
      </c>
      <c r="D1748">
        <v>10</v>
      </c>
      <c r="E1748">
        <v>8</v>
      </c>
      <c r="F1748" t="s">
        <v>1725</v>
      </c>
      <c r="G1748" t="s">
        <v>855</v>
      </c>
    </row>
    <row r="1749" spans="1:7" x14ac:dyDescent="0.3">
      <c r="A1749">
        <v>1747</v>
      </c>
      <c r="B1749" t="s">
        <v>1891</v>
      </c>
      <c r="C1749" t="s">
        <v>1883</v>
      </c>
      <c r="D1749">
        <v>10</v>
      </c>
      <c r="E1749">
        <v>8</v>
      </c>
      <c r="F1749" t="s">
        <v>1725</v>
      </c>
      <c r="G1749" t="s">
        <v>855</v>
      </c>
    </row>
    <row r="1750" spans="1:7" x14ac:dyDescent="0.3">
      <c r="A1750">
        <v>1748</v>
      </c>
      <c r="B1750" t="s">
        <v>1892</v>
      </c>
      <c r="C1750" t="s">
        <v>1883</v>
      </c>
      <c r="D1750">
        <v>10</v>
      </c>
      <c r="E1750">
        <v>8</v>
      </c>
      <c r="F1750" t="s">
        <v>1725</v>
      </c>
      <c r="G1750" t="s">
        <v>855</v>
      </c>
    </row>
    <row r="1751" spans="1:7" x14ac:dyDescent="0.3">
      <c r="A1751">
        <v>1749</v>
      </c>
      <c r="B1751" t="s">
        <v>1893</v>
      </c>
      <c r="C1751" t="s">
        <v>1894</v>
      </c>
      <c r="D1751">
        <v>330</v>
      </c>
      <c r="E1751">
        <v>239</v>
      </c>
      <c r="F1751" t="s">
        <v>1895</v>
      </c>
      <c r="G1751" t="s">
        <v>1896</v>
      </c>
    </row>
    <row r="1752" spans="1:7" x14ac:dyDescent="0.3">
      <c r="A1752">
        <v>1750</v>
      </c>
      <c r="B1752" t="s">
        <v>1893</v>
      </c>
      <c r="C1752" t="s">
        <v>1894</v>
      </c>
      <c r="D1752">
        <v>190</v>
      </c>
      <c r="E1752">
        <v>170</v>
      </c>
      <c r="F1752" t="s">
        <v>1897</v>
      </c>
      <c r="G1752" t="s">
        <v>1896</v>
      </c>
    </row>
    <row r="1753" spans="1:7" x14ac:dyDescent="0.3">
      <c r="A1753">
        <v>1751</v>
      </c>
      <c r="B1753" t="s">
        <v>1898</v>
      </c>
      <c r="C1753" t="s">
        <v>1894</v>
      </c>
      <c r="D1753">
        <v>330</v>
      </c>
      <c r="E1753">
        <v>299</v>
      </c>
      <c r="F1753" t="s">
        <v>791</v>
      </c>
      <c r="G1753" t="s">
        <v>1896</v>
      </c>
    </row>
    <row r="1754" spans="1:7" x14ac:dyDescent="0.3">
      <c r="A1754">
        <v>1752</v>
      </c>
      <c r="B1754" t="s">
        <v>1898</v>
      </c>
      <c r="C1754" t="s">
        <v>1894</v>
      </c>
      <c r="D1754">
        <v>499</v>
      </c>
      <c r="E1754">
        <v>415</v>
      </c>
      <c r="F1754" t="s">
        <v>1899</v>
      </c>
      <c r="G1754" t="s">
        <v>1896</v>
      </c>
    </row>
    <row r="1755" spans="1:7" x14ac:dyDescent="0.3">
      <c r="A1755">
        <v>1753</v>
      </c>
      <c r="B1755" t="s">
        <v>1900</v>
      </c>
      <c r="C1755" t="s">
        <v>1901</v>
      </c>
      <c r="D1755">
        <v>349</v>
      </c>
      <c r="E1755">
        <v>249</v>
      </c>
      <c r="F1755" t="s">
        <v>1902</v>
      </c>
      <c r="G1755" t="s">
        <v>1896</v>
      </c>
    </row>
    <row r="1756" spans="1:7" x14ac:dyDescent="0.3">
      <c r="A1756">
        <v>1754</v>
      </c>
      <c r="B1756" t="s">
        <v>1900</v>
      </c>
      <c r="C1756" t="s">
        <v>1901</v>
      </c>
      <c r="D1756">
        <v>10</v>
      </c>
      <c r="E1756">
        <v>5</v>
      </c>
      <c r="F1756" t="s">
        <v>1903</v>
      </c>
      <c r="G1756" t="s">
        <v>1896</v>
      </c>
    </row>
    <row r="1757" spans="1:7" x14ac:dyDescent="0.3">
      <c r="A1757">
        <v>1755</v>
      </c>
      <c r="B1757" t="s">
        <v>1904</v>
      </c>
      <c r="C1757" t="s">
        <v>1894</v>
      </c>
      <c r="D1757">
        <v>70</v>
      </c>
      <c r="E1757">
        <v>59</v>
      </c>
      <c r="F1757" t="s">
        <v>1905</v>
      </c>
      <c r="G1757" t="s">
        <v>1896</v>
      </c>
    </row>
    <row r="1758" spans="1:7" x14ac:dyDescent="0.3">
      <c r="A1758">
        <v>1756</v>
      </c>
      <c r="B1758" t="s">
        <v>1906</v>
      </c>
      <c r="C1758" t="s">
        <v>1907</v>
      </c>
      <c r="D1758">
        <v>378</v>
      </c>
      <c r="E1758">
        <v>175</v>
      </c>
      <c r="F1758" t="s">
        <v>1413</v>
      </c>
      <c r="G1758" t="s">
        <v>1896</v>
      </c>
    </row>
    <row r="1759" spans="1:7" x14ac:dyDescent="0.3">
      <c r="A1759">
        <v>1757</v>
      </c>
      <c r="B1759" t="s">
        <v>1908</v>
      </c>
      <c r="C1759" t="s">
        <v>1894</v>
      </c>
      <c r="D1759">
        <v>350</v>
      </c>
      <c r="E1759">
        <v>315</v>
      </c>
      <c r="F1759" t="s">
        <v>1909</v>
      </c>
      <c r="G1759" t="s">
        <v>1896</v>
      </c>
    </row>
    <row r="1760" spans="1:7" x14ac:dyDescent="0.3">
      <c r="A1760">
        <v>1758</v>
      </c>
      <c r="B1760" t="s">
        <v>1910</v>
      </c>
      <c r="C1760" t="s">
        <v>1894</v>
      </c>
      <c r="D1760">
        <v>190</v>
      </c>
      <c r="E1760">
        <v>150</v>
      </c>
      <c r="F1760" t="s">
        <v>107</v>
      </c>
      <c r="G1760" t="s">
        <v>1896</v>
      </c>
    </row>
    <row r="1761" spans="1:7" x14ac:dyDescent="0.3">
      <c r="A1761">
        <v>1759</v>
      </c>
      <c r="B1761" t="s">
        <v>1911</v>
      </c>
      <c r="C1761" t="s">
        <v>1894</v>
      </c>
      <c r="D1761">
        <v>190</v>
      </c>
      <c r="E1761">
        <v>175</v>
      </c>
      <c r="F1761" t="s">
        <v>1912</v>
      </c>
      <c r="G1761" t="s">
        <v>1896</v>
      </c>
    </row>
    <row r="1762" spans="1:7" x14ac:dyDescent="0.3">
      <c r="A1762">
        <v>1760</v>
      </c>
      <c r="B1762" t="s">
        <v>1913</v>
      </c>
      <c r="C1762" t="s">
        <v>1894</v>
      </c>
      <c r="D1762">
        <v>230</v>
      </c>
      <c r="E1762">
        <v>200</v>
      </c>
      <c r="F1762" t="s">
        <v>1825</v>
      </c>
      <c r="G1762" t="s">
        <v>1896</v>
      </c>
    </row>
    <row r="1763" spans="1:7" x14ac:dyDescent="0.3">
      <c r="A1763">
        <v>1761</v>
      </c>
      <c r="B1763" t="s">
        <v>1914</v>
      </c>
      <c r="C1763" t="s">
        <v>1894</v>
      </c>
      <c r="D1763">
        <v>185</v>
      </c>
      <c r="E1763">
        <v>145</v>
      </c>
      <c r="F1763" t="s">
        <v>1915</v>
      </c>
      <c r="G1763" t="s">
        <v>1896</v>
      </c>
    </row>
    <row r="1764" spans="1:7" x14ac:dyDescent="0.3">
      <c r="A1764">
        <v>1762</v>
      </c>
      <c r="B1764" t="s">
        <v>1916</v>
      </c>
      <c r="C1764" t="s">
        <v>1470</v>
      </c>
      <c r="D1764">
        <v>240</v>
      </c>
      <c r="E1764">
        <v>120</v>
      </c>
      <c r="F1764" t="s">
        <v>9</v>
      </c>
      <c r="G1764" t="s">
        <v>1896</v>
      </c>
    </row>
    <row r="1765" spans="1:7" x14ac:dyDescent="0.3">
      <c r="A1765">
        <v>1763</v>
      </c>
      <c r="B1765" t="s">
        <v>1917</v>
      </c>
      <c r="C1765" t="s">
        <v>1918</v>
      </c>
      <c r="D1765">
        <v>199</v>
      </c>
      <c r="E1765">
        <v>99</v>
      </c>
      <c r="F1765" t="s">
        <v>107</v>
      </c>
      <c r="G1765" t="s">
        <v>1896</v>
      </c>
    </row>
    <row r="1766" spans="1:7" x14ac:dyDescent="0.3">
      <c r="A1766">
        <v>1764</v>
      </c>
      <c r="B1766" t="s">
        <v>1919</v>
      </c>
      <c r="C1766" t="s">
        <v>1470</v>
      </c>
      <c r="D1766">
        <v>60</v>
      </c>
      <c r="E1766">
        <v>30</v>
      </c>
      <c r="F1766" t="s">
        <v>715</v>
      </c>
      <c r="G1766" t="s">
        <v>1896</v>
      </c>
    </row>
    <row r="1767" spans="1:7" x14ac:dyDescent="0.3">
      <c r="A1767">
        <v>1765</v>
      </c>
      <c r="B1767" t="s">
        <v>1920</v>
      </c>
      <c r="C1767" t="s">
        <v>1918</v>
      </c>
      <c r="D1767">
        <v>199</v>
      </c>
      <c r="E1767">
        <v>99</v>
      </c>
      <c r="F1767" t="s">
        <v>107</v>
      </c>
      <c r="G1767" t="s">
        <v>1896</v>
      </c>
    </row>
    <row r="1768" spans="1:7" x14ac:dyDescent="0.3">
      <c r="A1768">
        <v>1766</v>
      </c>
      <c r="B1768" t="s">
        <v>1921</v>
      </c>
      <c r="C1768" t="s">
        <v>1901</v>
      </c>
      <c r="D1768">
        <v>60</v>
      </c>
      <c r="E1768">
        <v>30</v>
      </c>
      <c r="F1768" t="s">
        <v>188</v>
      </c>
      <c r="G1768" t="s">
        <v>1896</v>
      </c>
    </row>
    <row r="1769" spans="1:7" x14ac:dyDescent="0.3">
      <c r="A1769">
        <v>1767</v>
      </c>
      <c r="B1769" t="s">
        <v>1922</v>
      </c>
      <c r="C1769" t="s">
        <v>1923</v>
      </c>
      <c r="D1769">
        <v>79</v>
      </c>
      <c r="E1769">
        <v>66</v>
      </c>
      <c r="F1769" t="s">
        <v>76</v>
      </c>
      <c r="G1769" t="s">
        <v>1896</v>
      </c>
    </row>
    <row r="1770" spans="1:7" x14ac:dyDescent="0.3">
      <c r="A1770">
        <v>1768</v>
      </c>
      <c r="B1770" t="s">
        <v>1922</v>
      </c>
      <c r="C1770" t="s">
        <v>1923</v>
      </c>
      <c r="D1770">
        <v>292</v>
      </c>
      <c r="E1770">
        <v>192</v>
      </c>
      <c r="F1770" t="s">
        <v>876</v>
      </c>
      <c r="G1770" t="s">
        <v>1896</v>
      </c>
    </row>
    <row r="1771" spans="1:7" x14ac:dyDescent="0.3">
      <c r="A1771">
        <v>1769</v>
      </c>
      <c r="B1771" t="s">
        <v>1924</v>
      </c>
      <c r="C1771" t="s">
        <v>113</v>
      </c>
      <c r="D1771">
        <v>202</v>
      </c>
      <c r="E1771">
        <v>159</v>
      </c>
      <c r="F1771" t="s">
        <v>9</v>
      </c>
      <c r="G1771" t="s">
        <v>1896</v>
      </c>
    </row>
    <row r="1772" spans="1:7" x14ac:dyDescent="0.3">
      <c r="A1772">
        <v>1770</v>
      </c>
      <c r="B1772" t="s">
        <v>1925</v>
      </c>
      <c r="C1772" t="s">
        <v>1907</v>
      </c>
      <c r="D1772">
        <v>205</v>
      </c>
      <c r="E1772">
        <v>135</v>
      </c>
      <c r="F1772" t="s">
        <v>15</v>
      </c>
      <c r="G1772" t="s">
        <v>1896</v>
      </c>
    </row>
    <row r="1773" spans="1:7" x14ac:dyDescent="0.3">
      <c r="A1773">
        <v>1771</v>
      </c>
      <c r="B1773" t="s">
        <v>1926</v>
      </c>
      <c r="C1773" t="s">
        <v>1894</v>
      </c>
      <c r="D1773">
        <v>175</v>
      </c>
      <c r="E1773">
        <v>135</v>
      </c>
      <c r="F1773" t="s">
        <v>254</v>
      </c>
      <c r="G1773" t="s">
        <v>1896</v>
      </c>
    </row>
    <row r="1774" spans="1:7" x14ac:dyDescent="0.3">
      <c r="A1774">
        <v>1772</v>
      </c>
      <c r="B1774" t="s">
        <v>1927</v>
      </c>
      <c r="C1774" t="s">
        <v>1901</v>
      </c>
      <c r="D1774">
        <v>190</v>
      </c>
      <c r="E1774">
        <v>109</v>
      </c>
      <c r="F1774" t="s">
        <v>15</v>
      </c>
      <c r="G1774" t="s">
        <v>1896</v>
      </c>
    </row>
    <row r="1775" spans="1:7" x14ac:dyDescent="0.3">
      <c r="A1775">
        <v>1773</v>
      </c>
      <c r="B1775" t="s">
        <v>1928</v>
      </c>
      <c r="C1775" t="s">
        <v>113</v>
      </c>
      <c r="D1775">
        <v>202</v>
      </c>
      <c r="E1775">
        <v>175</v>
      </c>
      <c r="F1775" t="s">
        <v>9</v>
      </c>
      <c r="G1775" t="s">
        <v>1896</v>
      </c>
    </row>
    <row r="1776" spans="1:7" x14ac:dyDescent="0.3">
      <c r="A1776">
        <v>1774</v>
      </c>
      <c r="B1776" t="s">
        <v>1929</v>
      </c>
      <c r="C1776" t="s">
        <v>113</v>
      </c>
      <c r="D1776">
        <v>16</v>
      </c>
      <c r="E1776">
        <v>14</v>
      </c>
      <c r="F1776" t="s">
        <v>1930</v>
      </c>
      <c r="G1776" t="s">
        <v>1896</v>
      </c>
    </row>
    <row r="1777" spans="1:7" x14ac:dyDescent="0.3">
      <c r="A1777">
        <v>1775</v>
      </c>
      <c r="B1777" t="s">
        <v>1924</v>
      </c>
      <c r="C1777" t="s">
        <v>113</v>
      </c>
      <c r="D1777">
        <v>16</v>
      </c>
      <c r="E1777">
        <v>14</v>
      </c>
      <c r="F1777" t="s">
        <v>1930</v>
      </c>
      <c r="G1777" t="s">
        <v>1896</v>
      </c>
    </row>
    <row r="1778" spans="1:7" x14ac:dyDescent="0.3">
      <c r="A1778">
        <v>1776</v>
      </c>
      <c r="B1778" t="s">
        <v>1928</v>
      </c>
      <c r="C1778" t="s">
        <v>113</v>
      </c>
      <c r="D1778">
        <v>16</v>
      </c>
      <c r="E1778">
        <v>14</v>
      </c>
      <c r="F1778" t="s">
        <v>1930</v>
      </c>
      <c r="G1778" t="s">
        <v>1896</v>
      </c>
    </row>
    <row r="1779" spans="1:7" x14ac:dyDescent="0.3">
      <c r="A1779">
        <v>1777</v>
      </c>
      <c r="B1779" t="s">
        <v>1931</v>
      </c>
      <c r="C1779" t="s">
        <v>1932</v>
      </c>
      <c r="D1779">
        <v>225</v>
      </c>
      <c r="E1779">
        <v>112</v>
      </c>
      <c r="F1779" t="s">
        <v>76</v>
      </c>
      <c r="G1779" t="s">
        <v>1896</v>
      </c>
    </row>
    <row r="1780" spans="1:7" x14ac:dyDescent="0.3">
      <c r="A1780">
        <v>1778</v>
      </c>
      <c r="B1780" t="s">
        <v>1933</v>
      </c>
      <c r="C1780" t="s">
        <v>1932</v>
      </c>
      <c r="D1780">
        <v>199</v>
      </c>
      <c r="E1780">
        <v>99</v>
      </c>
      <c r="F1780" t="s">
        <v>76</v>
      </c>
      <c r="G1780" t="s">
        <v>1896</v>
      </c>
    </row>
    <row r="1781" spans="1:7" x14ac:dyDescent="0.3">
      <c r="A1781">
        <v>1779</v>
      </c>
      <c r="B1781" t="s">
        <v>1934</v>
      </c>
      <c r="C1781" t="s">
        <v>1894</v>
      </c>
      <c r="D1781">
        <v>345</v>
      </c>
      <c r="E1781">
        <v>299</v>
      </c>
      <c r="F1781" t="s">
        <v>9</v>
      </c>
      <c r="G1781" t="s">
        <v>1896</v>
      </c>
    </row>
    <row r="1782" spans="1:7" x14ac:dyDescent="0.3">
      <c r="A1782">
        <v>1780</v>
      </c>
      <c r="B1782" t="s">
        <v>1934</v>
      </c>
      <c r="C1782" t="s">
        <v>1894</v>
      </c>
      <c r="D1782">
        <v>460</v>
      </c>
      <c r="E1782">
        <v>359</v>
      </c>
      <c r="F1782" t="s">
        <v>992</v>
      </c>
      <c r="G1782" t="s">
        <v>1896</v>
      </c>
    </row>
    <row r="1783" spans="1:7" x14ac:dyDescent="0.3">
      <c r="A1783">
        <v>1781</v>
      </c>
      <c r="B1783" t="s">
        <v>1935</v>
      </c>
      <c r="C1783" t="s">
        <v>1170</v>
      </c>
      <c r="D1783">
        <v>575</v>
      </c>
      <c r="E1783">
        <v>287</v>
      </c>
      <c r="F1783" t="s">
        <v>15</v>
      </c>
      <c r="G1783" t="s">
        <v>1896</v>
      </c>
    </row>
    <row r="1784" spans="1:7" x14ac:dyDescent="0.3">
      <c r="A1784">
        <v>1782</v>
      </c>
      <c r="B1784" t="s">
        <v>1936</v>
      </c>
      <c r="C1784" t="s">
        <v>1894</v>
      </c>
      <c r="D1784">
        <v>440</v>
      </c>
      <c r="E1784">
        <v>329</v>
      </c>
      <c r="F1784" t="s">
        <v>992</v>
      </c>
      <c r="G1784" t="s">
        <v>1896</v>
      </c>
    </row>
    <row r="1785" spans="1:7" x14ac:dyDescent="0.3">
      <c r="A1785">
        <v>1783</v>
      </c>
      <c r="B1785" t="s">
        <v>1937</v>
      </c>
      <c r="C1785" t="s">
        <v>1170</v>
      </c>
      <c r="D1785">
        <v>575</v>
      </c>
      <c r="E1785">
        <v>287</v>
      </c>
      <c r="F1785" t="s">
        <v>15</v>
      </c>
      <c r="G1785" t="s">
        <v>1896</v>
      </c>
    </row>
    <row r="1786" spans="1:7" x14ac:dyDescent="0.3">
      <c r="A1786">
        <v>1784</v>
      </c>
      <c r="B1786" t="s">
        <v>1938</v>
      </c>
      <c r="C1786" t="s">
        <v>1907</v>
      </c>
      <c r="D1786">
        <v>599</v>
      </c>
      <c r="E1786">
        <v>399</v>
      </c>
      <c r="F1786" t="s">
        <v>15</v>
      </c>
      <c r="G1786" t="s">
        <v>1896</v>
      </c>
    </row>
    <row r="1787" spans="1:7" x14ac:dyDescent="0.3">
      <c r="A1787">
        <v>1785</v>
      </c>
      <c r="B1787" t="s">
        <v>1939</v>
      </c>
      <c r="C1787" t="s">
        <v>1940</v>
      </c>
      <c r="D1787">
        <v>325</v>
      </c>
      <c r="E1787">
        <v>162</v>
      </c>
      <c r="F1787" t="s">
        <v>76</v>
      </c>
      <c r="G1787" t="s">
        <v>1896</v>
      </c>
    </row>
    <row r="1788" spans="1:7" x14ac:dyDescent="0.3">
      <c r="A1788">
        <v>1786</v>
      </c>
      <c r="B1788" t="s">
        <v>1939</v>
      </c>
      <c r="C1788" t="s">
        <v>1940</v>
      </c>
      <c r="D1788">
        <v>499</v>
      </c>
      <c r="E1788">
        <v>249</v>
      </c>
      <c r="F1788" t="s">
        <v>791</v>
      </c>
      <c r="G1788" t="s">
        <v>1896</v>
      </c>
    </row>
    <row r="1789" spans="1:7" x14ac:dyDescent="0.3">
      <c r="A1789">
        <v>1787</v>
      </c>
      <c r="B1789" t="s">
        <v>1941</v>
      </c>
      <c r="C1789" t="s">
        <v>1940</v>
      </c>
      <c r="D1789">
        <v>325</v>
      </c>
      <c r="E1789">
        <v>162</v>
      </c>
      <c r="F1789" t="s">
        <v>76</v>
      </c>
      <c r="G1789" t="s">
        <v>1896</v>
      </c>
    </row>
    <row r="1790" spans="1:7" x14ac:dyDescent="0.3">
      <c r="A1790">
        <v>1788</v>
      </c>
      <c r="B1790" t="s">
        <v>1941</v>
      </c>
      <c r="C1790" t="s">
        <v>1940</v>
      </c>
      <c r="D1790">
        <v>499</v>
      </c>
      <c r="E1790">
        <v>249</v>
      </c>
      <c r="F1790" t="s">
        <v>791</v>
      </c>
      <c r="G1790" t="s">
        <v>1896</v>
      </c>
    </row>
    <row r="1791" spans="1:7" x14ac:dyDescent="0.3">
      <c r="A1791">
        <v>1789</v>
      </c>
      <c r="B1791" t="s">
        <v>1942</v>
      </c>
      <c r="C1791" t="s">
        <v>1894</v>
      </c>
      <c r="D1791">
        <v>350</v>
      </c>
      <c r="E1791">
        <v>270</v>
      </c>
      <c r="F1791" t="s">
        <v>201</v>
      </c>
      <c r="G1791" t="s">
        <v>1896</v>
      </c>
    </row>
    <row r="1792" spans="1:7" x14ac:dyDescent="0.3">
      <c r="A1792">
        <v>1790</v>
      </c>
      <c r="B1792" t="s">
        <v>1943</v>
      </c>
      <c r="C1792" t="s">
        <v>1940</v>
      </c>
      <c r="D1792">
        <v>325</v>
      </c>
      <c r="E1792">
        <v>162</v>
      </c>
      <c r="F1792" t="s">
        <v>76</v>
      </c>
      <c r="G1792" t="s">
        <v>1896</v>
      </c>
    </row>
    <row r="1793" spans="1:7" x14ac:dyDescent="0.3">
      <c r="A1793">
        <v>1791</v>
      </c>
      <c r="B1793" t="s">
        <v>1944</v>
      </c>
      <c r="C1793" t="s">
        <v>1945</v>
      </c>
      <c r="D1793">
        <v>500</v>
      </c>
      <c r="E1793">
        <v>250</v>
      </c>
      <c r="F1793" t="s">
        <v>9</v>
      </c>
      <c r="G1793" t="s">
        <v>1896</v>
      </c>
    </row>
    <row r="1794" spans="1:7" x14ac:dyDescent="0.3">
      <c r="A1794">
        <v>1792</v>
      </c>
      <c r="B1794" t="s">
        <v>1946</v>
      </c>
      <c r="C1794" t="s">
        <v>1945</v>
      </c>
      <c r="D1794">
        <v>650</v>
      </c>
      <c r="E1794">
        <v>325</v>
      </c>
      <c r="F1794" t="s">
        <v>9</v>
      </c>
      <c r="G1794" t="s">
        <v>1896</v>
      </c>
    </row>
    <row r="1795" spans="1:7" x14ac:dyDescent="0.3">
      <c r="A1795">
        <v>1793</v>
      </c>
      <c r="B1795" t="s">
        <v>1947</v>
      </c>
      <c r="C1795" t="s">
        <v>1945</v>
      </c>
      <c r="D1795">
        <v>650</v>
      </c>
      <c r="E1795">
        <v>325</v>
      </c>
      <c r="F1795" t="s">
        <v>9</v>
      </c>
      <c r="G1795" t="s">
        <v>1896</v>
      </c>
    </row>
    <row r="1796" spans="1:7" x14ac:dyDescent="0.3">
      <c r="A1796">
        <v>1794</v>
      </c>
      <c r="B1796" t="s">
        <v>1948</v>
      </c>
      <c r="C1796" t="s">
        <v>1949</v>
      </c>
      <c r="D1796">
        <v>619</v>
      </c>
      <c r="E1796">
        <v>309</v>
      </c>
      <c r="F1796" t="s">
        <v>15</v>
      </c>
      <c r="G1796" t="s">
        <v>1896</v>
      </c>
    </row>
    <row r="1797" spans="1:7" x14ac:dyDescent="0.3">
      <c r="A1797">
        <v>1795</v>
      </c>
      <c r="B1797" t="s">
        <v>1950</v>
      </c>
      <c r="C1797" t="s">
        <v>1949</v>
      </c>
      <c r="D1797">
        <v>669</v>
      </c>
      <c r="E1797">
        <v>334</v>
      </c>
      <c r="F1797" t="s">
        <v>15</v>
      </c>
      <c r="G1797" t="s">
        <v>1896</v>
      </c>
    </row>
    <row r="1798" spans="1:7" x14ac:dyDescent="0.3">
      <c r="A1798">
        <v>1796</v>
      </c>
      <c r="B1798" t="s">
        <v>1951</v>
      </c>
      <c r="C1798" t="s">
        <v>1952</v>
      </c>
      <c r="D1798">
        <v>149</v>
      </c>
      <c r="E1798">
        <v>94</v>
      </c>
      <c r="F1798" t="s">
        <v>1953</v>
      </c>
      <c r="G1798" t="s">
        <v>1954</v>
      </c>
    </row>
    <row r="1799" spans="1:7" x14ac:dyDescent="0.3">
      <c r="A1799">
        <v>1797</v>
      </c>
      <c r="B1799" t="s">
        <v>1955</v>
      </c>
      <c r="C1799" t="s">
        <v>1956</v>
      </c>
      <c r="D1799">
        <v>200</v>
      </c>
      <c r="E1799">
        <v>133</v>
      </c>
      <c r="F1799" t="s">
        <v>1957</v>
      </c>
      <c r="G1799" t="s">
        <v>1958</v>
      </c>
    </row>
    <row r="1800" spans="1:7" x14ac:dyDescent="0.3">
      <c r="A1800">
        <v>1798</v>
      </c>
      <c r="B1800" t="s">
        <v>1959</v>
      </c>
      <c r="C1800" t="s">
        <v>438</v>
      </c>
      <c r="D1800">
        <v>140</v>
      </c>
      <c r="E1800">
        <v>119</v>
      </c>
      <c r="F1800" t="s">
        <v>107</v>
      </c>
      <c r="G1800" t="s">
        <v>1958</v>
      </c>
    </row>
    <row r="1801" spans="1:7" x14ac:dyDescent="0.3">
      <c r="A1801">
        <v>1799</v>
      </c>
      <c r="B1801" t="s">
        <v>1960</v>
      </c>
      <c r="C1801" t="s">
        <v>957</v>
      </c>
      <c r="D1801">
        <v>100</v>
      </c>
      <c r="E1801">
        <v>80</v>
      </c>
      <c r="F1801" t="s">
        <v>1961</v>
      </c>
      <c r="G1801" t="s">
        <v>1954</v>
      </c>
    </row>
    <row r="1802" spans="1:7" x14ac:dyDescent="0.3">
      <c r="A1802">
        <v>1800</v>
      </c>
      <c r="B1802" t="s">
        <v>1962</v>
      </c>
      <c r="C1802" t="s">
        <v>438</v>
      </c>
      <c r="D1802">
        <v>110</v>
      </c>
      <c r="E1802">
        <v>95</v>
      </c>
      <c r="F1802" t="s">
        <v>188</v>
      </c>
      <c r="G1802" t="s">
        <v>1954</v>
      </c>
    </row>
    <row r="1803" spans="1:7" x14ac:dyDescent="0.3">
      <c r="A1803">
        <v>1801</v>
      </c>
      <c r="B1803" t="s">
        <v>1963</v>
      </c>
      <c r="C1803" t="s">
        <v>1964</v>
      </c>
      <c r="D1803">
        <v>175</v>
      </c>
      <c r="E1803">
        <v>148</v>
      </c>
      <c r="F1803" t="s">
        <v>1965</v>
      </c>
      <c r="G1803" t="s">
        <v>1954</v>
      </c>
    </row>
    <row r="1804" spans="1:7" x14ac:dyDescent="0.3">
      <c r="A1804">
        <v>1802</v>
      </c>
      <c r="B1804" t="s">
        <v>1966</v>
      </c>
      <c r="C1804" t="s">
        <v>1967</v>
      </c>
      <c r="D1804">
        <v>149</v>
      </c>
      <c r="E1804">
        <v>95</v>
      </c>
      <c r="F1804" t="s">
        <v>12</v>
      </c>
      <c r="G1804" t="s">
        <v>1954</v>
      </c>
    </row>
    <row r="1805" spans="1:7" x14ac:dyDescent="0.3">
      <c r="A1805">
        <v>1803</v>
      </c>
      <c r="B1805" t="s">
        <v>1968</v>
      </c>
      <c r="C1805" t="s">
        <v>957</v>
      </c>
      <c r="D1805">
        <v>100</v>
      </c>
      <c r="E1805">
        <v>80</v>
      </c>
      <c r="F1805" t="s">
        <v>1969</v>
      </c>
      <c r="G1805" t="s">
        <v>1954</v>
      </c>
    </row>
    <row r="1806" spans="1:7" x14ac:dyDescent="0.3">
      <c r="A1806">
        <v>1804</v>
      </c>
      <c r="B1806" t="s">
        <v>1970</v>
      </c>
      <c r="C1806" t="s">
        <v>1964</v>
      </c>
      <c r="D1806">
        <v>75</v>
      </c>
      <c r="E1806">
        <v>63</v>
      </c>
      <c r="F1806" t="s">
        <v>709</v>
      </c>
      <c r="G1806" t="s">
        <v>1954</v>
      </c>
    </row>
    <row r="1807" spans="1:7" x14ac:dyDescent="0.3">
      <c r="A1807">
        <v>1805</v>
      </c>
      <c r="B1807" t="s">
        <v>1970</v>
      </c>
      <c r="C1807" t="s">
        <v>1964</v>
      </c>
      <c r="D1807">
        <v>170</v>
      </c>
      <c r="E1807">
        <v>140</v>
      </c>
      <c r="F1807" t="s">
        <v>188</v>
      </c>
      <c r="G1807" t="s">
        <v>1954</v>
      </c>
    </row>
    <row r="1808" spans="1:7" x14ac:dyDescent="0.3">
      <c r="A1808">
        <v>1806</v>
      </c>
      <c r="B1808" t="s">
        <v>1971</v>
      </c>
      <c r="C1808" t="s">
        <v>1972</v>
      </c>
      <c r="D1808">
        <v>529</v>
      </c>
      <c r="E1808">
        <v>423</v>
      </c>
      <c r="F1808" t="s">
        <v>12</v>
      </c>
      <c r="G1808" t="s">
        <v>1954</v>
      </c>
    </row>
    <row r="1809" spans="1:7" x14ac:dyDescent="0.3">
      <c r="A1809">
        <v>1807</v>
      </c>
      <c r="B1809" t="s">
        <v>1973</v>
      </c>
      <c r="C1809" t="s">
        <v>1436</v>
      </c>
      <c r="D1809">
        <v>200</v>
      </c>
      <c r="E1809">
        <v>140</v>
      </c>
      <c r="F1809" t="s">
        <v>1974</v>
      </c>
      <c r="G1809" t="s">
        <v>1954</v>
      </c>
    </row>
    <row r="1810" spans="1:7" x14ac:dyDescent="0.3">
      <c r="A1810">
        <v>1808</v>
      </c>
      <c r="B1810" t="s">
        <v>1975</v>
      </c>
      <c r="C1810" t="s">
        <v>438</v>
      </c>
      <c r="D1810">
        <v>110</v>
      </c>
      <c r="E1810">
        <v>94</v>
      </c>
      <c r="F1810" t="s">
        <v>188</v>
      </c>
      <c r="G1810" t="s">
        <v>1954</v>
      </c>
    </row>
    <row r="1811" spans="1:7" x14ac:dyDescent="0.3">
      <c r="A1811">
        <v>1809</v>
      </c>
      <c r="B1811" t="s">
        <v>1952</v>
      </c>
      <c r="C1811" t="s">
        <v>1436</v>
      </c>
      <c r="D1811">
        <v>100</v>
      </c>
      <c r="E1811">
        <v>85</v>
      </c>
      <c r="F1811" t="s">
        <v>1953</v>
      </c>
      <c r="G1811" t="s">
        <v>1954</v>
      </c>
    </row>
    <row r="1812" spans="1:7" x14ac:dyDescent="0.3">
      <c r="A1812">
        <v>1810</v>
      </c>
      <c r="B1812" t="s">
        <v>1976</v>
      </c>
      <c r="C1812" t="s">
        <v>1436</v>
      </c>
      <c r="D1812">
        <v>100</v>
      </c>
      <c r="E1812">
        <v>70</v>
      </c>
      <c r="F1812" t="s">
        <v>1977</v>
      </c>
      <c r="G1812" t="s">
        <v>1954</v>
      </c>
    </row>
    <row r="1813" spans="1:7" x14ac:dyDescent="0.3">
      <c r="A1813">
        <v>1811</v>
      </c>
      <c r="B1813" t="s">
        <v>1978</v>
      </c>
      <c r="C1813" t="s">
        <v>1972</v>
      </c>
      <c r="D1813">
        <v>895</v>
      </c>
      <c r="E1813">
        <v>716</v>
      </c>
      <c r="F1813" t="s">
        <v>1371</v>
      </c>
      <c r="G1813" t="s">
        <v>1954</v>
      </c>
    </row>
    <row r="1814" spans="1:7" x14ac:dyDescent="0.3">
      <c r="A1814">
        <v>1812</v>
      </c>
      <c r="B1814" t="s">
        <v>1979</v>
      </c>
      <c r="C1814" t="s">
        <v>1952</v>
      </c>
      <c r="D1814">
        <v>20</v>
      </c>
      <c r="E1814">
        <v>18</v>
      </c>
      <c r="F1814" t="s">
        <v>1980</v>
      </c>
      <c r="G1814" t="s">
        <v>1954</v>
      </c>
    </row>
    <row r="1815" spans="1:7" x14ac:dyDescent="0.3">
      <c r="A1815">
        <v>1813</v>
      </c>
      <c r="B1815" t="s">
        <v>1979</v>
      </c>
      <c r="C1815" t="s">
        <v>1952</v>
      </c>
      <c r="D1815">
        <v>50</v>
      </c>
      <c r="E1815">
        <v>44</v>
      </c>
      <c r="F1815" t="s">
        <v>216</v>
      </c>
      <c r="G1815" t="s">
        <v>1954</v>
      </c>
    </row>
    <row r="1816" spans="1:7" x14ac:dyDescent="0.3">
      <c r="A1816">
        <v>1814</v>
      </c>
      <c r="B1816" t="s">
        <v>1981</v>
      </c>
      <c r="C1816" t="s">
        <v>1964</v>
      </c>
      <c r="D1816">
        <v>80</v>
      </c>
      <c r="E1816">
        <v>73</v>
      </c>
      <c r="F1816" t="s">
        <v>216</v>
      </c>
      <c r="G1816" t="s">
        <v>1954</v>
      </c>
    </row>
    <row r="1817" spans="1:7" x14ac:dyDescent="0.3">
      <c r="A1817">
        <v>1815</v>
      </c>
      <c r="B1817" t="s">
        <v>1981</v>
      </c>
      <c r="C1817" t="s">
        <v>1964</v>
      </c>
      <c r="D1817">
        <v>175</v>
      </c>
      <c r="E1817">
        <v>145</v>
      </c>
      <c r="F1817" t="s">
        <v>715</v>
      </c>
      <c r="G1817" t="s">
        <v>1954</v>
      </c>
    </row>
    <row r="1818" spans="1:7" x14ac:dyDescent="0.3">
      <c r="A1818">
        <v>1816</v>
      </c>
      <c r="B1818" t="s">
        <v>1982</v>
      </c>
      <c r="C1818" t="s">
        <v>1983</v>
      </c>
      <c r="D1818">
        <v>175</v>
      </c>
      <c r="E1818">
        <v>160</v>
      </c>
      <c r="F1818" t="s">
        <v>76</v>
      </c>
      <c r="G1818" t="s">
        <v>1954</v>
      </c>
    </row>
    <row r="1819" spans="1:7" x14ac:dyDescent="0.3">
      <c r="A1819">
        <v>1817</v>
      </c>
      <c r="B1819" t="s">
        <v>1984</v>
      </c>
      <c r="C1819" t="s">
        <v>1349</v>
      </c>
      <c r="D1819">
        <v>100</v>
      </c>
      <c r="E1819">
        <v>90</v>
      </c>
      <c r="F1819" t="s">
        <v>1985</v>
      </c>
      <c r="G1819" t="s">
        <v>1958</v>
      </c>
    </row>
    <row r="1820" spans="1:7" x14ac:dyDescent="0.3">
      <c r="A1820">
        <v>1818</v>
      </c>
      <c r="B1820" t="s">
        <v>1984</v>
      </c>
      <c r="C1820" t="s">
        <v>1349</v>
      </c>
      <c r="D1820">
        <v>50</v>
      </c>
      <c r="E1820">
        <v>45</v>
      </c>
      <c r="F1820" t="s">
        <v>1986</v>
      </c>
      <c r="G1820" t="s">
        <v>1958</v>
      </c>
    </row>
    <row r="1821" spans="1:7" x14ac:dyDescent="0.3">
      <c r="A1821">
        <v>1819</v>
      </c>
      <c r="B1821" t="s">
        <v>1987</v>
      </c>
      <c r="C1821" t="s">
        <v>1988</v>
      </c>
      <c r="D1821">
        <v>149</v>
      </c>
      <c r="E1821">
        <v>125</v>
      </c>
      <c r="F1821" t="s">
        <v>1619</v>
      </c>
      <c r="G1821" t="s">
        <v>1954</v>
      </c>
    </row>
    <row r="1822" spans="1:7" x14ac:dyDescent="0.3">
      <c r="A1822">
        <v>1820</v>
      </c>
      <c r="B1822" t="s">
        <v>1989</v>
      </c>
      <c r="C1822" t="s">
        <v>438</v>
      </c>
      <c r="D1822">
        <v>160</v>
      </c>
      <c r="E1822">
        <v>80</v>
      </c>
      <c r="F1822" t="s">
        <v>1501</v>
      </c>
      <c r="G1822" t="s">
        <v>1954</v>
      </c>
    </row>
    <row r="1823" spans="1:7" x14ac:dyDescent="0.3">
      <c r="A1823">
        <v>1821</v>
      </c>
      <c r="B1823" t="s">
        <v>1990</v>
      </c>
      <c r="C1823" t="s">
        <v>1991</v>
      </c>
      <c r="D1823">
        <v>45</v>
      </c>
      <c r="E1823">
        <v>35</v>
      </c>
      <c r="F1823" t="s">
        <v>814</v>
      </c>
      <c r="G1823" t="s">
        <v>1954</v>
      </c>
    </row>
    <row r="1824" spans="1:7" x14ac:dyDescent="0.3">
      <c r="A1824">
        <v>1822</v>
      </c>
      <c r="B1824" t="s">
        <v>1992</v>
      </c>
      <c r="C1824" t="s">
        <v>1993</v>
      </c>
      <c r="D1824">
        <v>45</v>
      </c>
      <c r="E1824">
        <v>40</v>
      </c>
      <c r="F1824" t="s">
        <v>256</v>
      </c>
      <c r="G1824" t="s">
        <v>1954</v>
      </c>
    </row>
    <row r="1825" spans="1:7" x14ac:dyDescent="0.3">
      <c r="A1825">
        <v>1823</v>
      </c>
      <c r="B1825" t="s">
        <v>1994</v>
      </c>
      <c r="C1825" t="s">
        <v>1436</v>
      </c>
      <c r="D1825">
        <v>120</v>
      </c>
      <c r="E1825">
        <v>60</v>
      </c>
      <c r="F1825" t="s">
        <v>1995</v>
      </c>
      <c r="G1825" t="s">
        <v>1954</v>
      </c>
    </row>
    <row r="1826" spans="1:7" x14ac:dyDescent="0.3">
      <c r="A1826">
        <v>1824</v>
      </c>
      <c r="B1826" t="s">
        <v>1996</v>
      </c>
      <c r="C1826" t="s">
        <v>1997</v>
      </c>
      <c r="D1826">
        <v>100</v>
      </c>
      <c r="E1826">
        <v>50</v>
      </c>
      <c r="F1826" t="s">
        <v>1466</v>
      </c>
      <c r="G1826" t="s">
        <v>1958</v>
      </c>
    </row>
    <row r="1827" spans="1:7" x14ac:dyDescent="0.3">
      <c r="A1827">
        <v>1825</v>
      </c>
      <c r="B1827" t="s">
        <v>1998</v>
      </c>
      <c r="C1827" t="s">
        <v>1436</v>
      </c>
      <c r="D1827">
        <v>45</v>
      </c>
      <c r="E1827">
        <v>39</v>
      </c>
      <c r="F1827" t="s">
        <v>1999</v>
      </c>
      <c r="G1827" t="s">
        <v>1954</v>
      </c>
    </row>
    <row r="1828" spans="1:7" x14ac:dyDescent="0.3">
      <c r="A1828">
        <v>1826</v>
      </c>
      <c r="B1828" t="s">
        <v>2000</v>
      </c>
      <c r="C1828" t="s">
        <v>1964</v>
      </c>
      <c r="D1828">
        <v>80</v>
      </c>
      <c r="E1828">
        <v>73</v>
      </c>
      <c r="F1828" t="s">
        <v>709</v>
      </c>
      <c r="G1828" t="s">
        <v>1954</v>
      </c>
    </row>
    <row r="1829" spans="1:7" x14ac:dyDescent="0.3">
      <c r="A1829">
        <v>1827</v>
      </c>
      <c r="B1829" t="s">
        <v>2000</v>
      </c>
      <c r="C1829" t="s">
        <v>1964</v>
      </c>
      <c r="D1829">
        <v>175</v>
      </c>
      <c r="E1829">
        <v>155</v>
      </c>
      <c r="F1829" t="s">
        <v>1619</v>
      </c>
      <c r="G1829" t="s">
        <v>1954</v>
      </c>
    </row>
    <row r="1830" spans="1:7" x14ac:dyDescent="0.3">
      <c r="A1830">
        <v>1828</v>
      </c>
      <c r="B1830" t="s">
        <v>2001</v>
      </c>
      <c r="C1830" t="s">
        <v>1993</v>
      </c>
      <c r="D1830">
        <v>45</v>
      </c>
      <c r="E1830">
        <v>40</v>
      </c>
      <c r="F1830" t="s">
        <v>256</v>
      </c>
      <c r="G1830" t="s">
        <v>1954</v>
      </c>
    </row>
    <row r="1831" spans="1:7" x14ac:dyDescent="0.3">
      <c r="A1831">
        <v>1829</v>
      </c>
      <c r="B1831" t="s">
        <v>2002</v>
      </c>
      <c r="C1831" t="s">
        <v>1940</v>
      </c>
      <c r="D1831">
        <v>125</v>
      </c>
      <c r="E1831">
        <v>62</v>
      </c>
      <c r="F1831" t="s">
        <v>709</v>
      </c>
      <c r="G1831" t="s">
        <v>1510</v>
      </c>
    </row>
    <row r="1832" spans="1:7" x14ac:dyDescent="0.3">
      <c r="A1832">
        <v>1830</v>
      </c>
      <c r="B1832" t="s">
        <v>2003</v>
      </c>
      <c r="C1832" t="s">
        <v>1991</v>
      </c>
      <c r="D1832">
        <v>175</v>
      </c>
      <c r="E1832">
        <v>120</v>
      </c>
      <c r="F1832" t="s">
        <v>1905</v>
      </c>
      <c r="G1832" t="s">
        <v>1954</v>
      </c>
    </row>
    <row r="1833" spans="1:7" x14ac:dyDescent="0.3">
      <c r="A1833">
        <v>1831</v>
      </c>
      <c r="B1833" t="s">
        <v>2004</v>
      </c>
      <c r="C1833" t="s">
        <v>1940</v>
      </c>
      <c r="D1833">
        <v>50</v>
      </c>
      <c r="E1833">
        <v>25</v>
      </c>
      <c r="F1833" t="s">
        <v>216</v>
      </c>
      <c r="G1833" t="s">
        <v>1510</v>
      </c>
    </row>
    <row r="1834" spans="1:7" x14ac:dyDescent="0.3">
      <c r="A1834">
        <v>1832</v>
      </c>
      <c r="B1834" t="s">
        <v>2005</v>
      </c>
      <c r="C1834" t="s">
        <v>2006</v>
      </c>
      <c r="D1834">
        <v>299</v>
      </c>
      <c r="E1834">
        <v>149</v>
      </c>
      <c r="F1834" t="s">
        <v>11</v>
      </c>
      <c r="G1834" t="s">
        <v>472</v>
      </c>
    </row>
    <row r="1835" spans="1:7" x14ac:dyDescent="0.3">
      <c r="A1835">
        <v>1833</v>
      </c>
      <c r="B1835" t="s">
        <v>2007</v>
      </c>
      <c r="C1835" t="s">
        <v>1952</v>
      </c>
      <c r="D1835">
        <v>45</v>
      </c>
      <c r="E1835">
        <v>39</v>
      </c>
      <c r="F1835" t="s">
        <v>2008</v>
      </c>
      <c r="G1835" t="s">
        <v>1954</v>
      </c>
    </row>
    <row r="1836" spans="1:7" x14ac:dyDescent="0.3">
      <c r="A1836">
        <v>1834</v>
      </c>
      <c r="B1836" t="s">
        <v>2009</v>
      </c>
      <c r="C1836" t="s">
        <v>1983</v>
      </c>
      <c r="D1836">
        <v>210</v>
      </c>
      <c r="E1836">
        <v>195</v>
      </c>
      <c r="F1836" t="s">
        <v>76</v>
      </c>
      <c r="G1836" t="s">
        <v>1954</v>
      </c>
    </row>
    <row r="1837" spans="1:7" x14ac:dyDescent="0.3">
      <c r="A1837">
        <v>1835</v>
      </c>
      <c r="B1837" t="s">
        <v>2010</v>
      </c>
      <c r="C1837" t="s">
        <v>438</v>
      </c>
      <c r="D1837">
        <v>210</v>
      </c>
      <c r="E1837">
        <v>185</v>
      </c>
      <c r="F1837" t="s">
        <v>12</v>
      </c>
      <c r="G1837" t="s">
        <v>1954</v>
      </c>
    </row>
    <row r="1838" spans="1:7" x14ac:dyDescent="0.3">
      <c r="A1838">
        <v>1836</v>
      </c>
      <c r="B1838" t="s">
        <v>2011</v>
      </c>
      <c r="C1838" t="s">
        <v>957</v>
      </c>
      <c r="D1838">
        <v>30</v>
      </c>
      <c r="E1838">
        <v>27</v>
      </c>
      <c r="F1838" t="s">
        <v>2012</v>
      </c>
      <c r="G1838" t="s">
        <v>1954</v>
      </c>
    </row>
    <row r="1839" spans="1:7" x14ac:dyDescent="0.3">
      <c r="A1839">
        <v>1837</v>
      </c>
      <c r="B1839" t="s">
        <v>2013</v>
      </c>
      <c r="C1839" t="s">
        <v>1940</v>
      </c>
      <c r="D1839">
        <v>50</v>
      </c>
      <c r="E1839">
        <v>25</v>
      </c>
      <c r="F1839" t="s">
        <v>216</v>
      </c>
      <c r="G1839" t="s">
        <v>1510</v>
      </c>
    </row>
    <row r="1840" spans="1:7" x14ac:dyDescent="0.3">
      <c r="A1840">
        <v>1838</v>
      </c>
      <c r="B1840" t="s">
        <v>2014</v>
      </c>
      <c r="C1840" t="s">
        <v>1983</v>
      </c>
      <c r="D1840">
        <v>210</v>
      </c>
      <c r="E1840">
        <v>196</v>
      </c>
      <c r="F1840" t="s">
        <v>76</v>
      </c>
      <c r="G1840" t="s">
        <v>1954</v>
      </c>
    </row>
    <row r="1841" spans="1:7" x14ac:dyDescent="0.3">
      <c r="A1841">
        <v>1839</v>
      </c>
      <c r="B1841" t="s">
        <v>2015</v>
      </c>
      <c r="C1841" t="s">
        <v>2006</v>
      </c>
      <c r="D1841">
        <v>299</v>
      </c>
      <c r="E1841">
        <v>149</v>
      </c>
      <c r="F1841" t="s">
        <v>11</v>
      </c>
      <c r="G1841" t="s">
        <v>472</v>
      </c>
    </row>
    <row r="1842" spans="1:7" x14ac:dyDescent="0.3">
      <c r="A1842">
        <v>1840</v>
      </c>
      <c r="B1842" t="s">
        <v>2016</v>
      </c>
      <c r="C1842" t="s">
        <v>1952</v>
      </c>
      <c r="D1842">
        <v>90</v>
      </c>
      <c r="E1842">
        <v>81</v>
      </c>
      <c r="F1842" t="s">
        <v>720</v>
      </c>
      <c r="G1842" t="s">
        <v>1954</v>
      </c>
    </row>
    <row r="1843" spans="1:7" x14ac:dyDescent="0.3">
      <c r="A1843">
        <v>1841</v>
      </c>
      <c r="B1843" t="s">
        <v>2017</v>
      </c>
      <c r="C1843" t="s">
        <v>2018</v>
      </c>
      <c r="D1843">
        <v>140</v>
      </c>
      <c r="E1843">
        <v>119</v>
      </c>
      <c r="F1843" t="s">
        <v>2019</v>
      </c>
      <c r="G1843" t="s">
        <v>1954</v>
      </c>
    </row>
    <row r="1844" spans="1:7" x14ac:dyDescent="0.3">
      <c r="A1844">
        <v>1842</v>
      </c>
      <c r="B1844" t="s">
        <v>2020</v>
      </c>
      <c r="C1844" t="s">
        <v>2006</v>
      </c>
      <c r="D1844">
        <v>299</v>
      </c>
      <c r="E1844">
        <v>149</v>
      </c>
      <c r="F1844" t="s">
        <v>11</v>
      </c>
      <c r="G1844" t="s">
        <v>472</v>
      </c>
    </row>
    <row r="1845" spans="1:7" x14ac:dyDescent="0.3">
      <c r="A1845">
        <v>1843</v>
      </c>
      <c r="B1845" t="s">
        <v>2021</v>
      </c>
      <c r="C1845" t="s">
        <v>2018</v>
      </c>
      <c r="D1845">
        <v>140</v>
      </c>
      <c r="E1845">
        <v>119</v>
      </c>
      <c r="F1845" t="s">
        <v>2022</v>
      </c>
      <c r="G1845" t="s">
        <v>1954</v>
      </c>
    </row>
    <row r="1846" spans="1:7" x14ac:dyDescent="0.3">
      <c r="A1846">
        <v>1844</v>
      </c>
      <c r="B1846" t="s">
        <v>2023</v>
      </c>
      <c r="C1846" t="s">
        <v>1940</v>
      </c>
      <c r="D1846">
        <v>40</v>
      </c>
      <c r="E1846">
        <v>20</v>
      </c>
      <c r="F1846" t="s">
        <v>1930</v>
      </c>
      <c r="G1846" t="s">
        <v>1510</v>
      </c>
    </row>
    <row r="1847" spans="1:7" x14ac:dyDescent="0.3">
      <c r="A1847">
        <v>1845</v>
      </c>
      <c r="B1847" t="s">
        <v>2024</v>
      </c>
      <c r="C1847" t="s">
        <v>1972</v>
      </c>
      <c r="D1847">
        <v>149</v>
      </c>
      <c r="E1847">
        <v>134</v>
      </c>
      <c r="F1847" t="s">
        <v>216</v>
      </c>
      <c r="G1847" t="s">
        <v>1954</v>
      </c>
    </row>
    <row r="1848" spans="1:7" x14ac:dyDescent="0.3">
      <c r="A1848">
        <v>1846</v>
      </c>
      <c r="B1848" t="s">
        <v>2025</v>
      </c>
      <c r="C1848" t="s">
        <v>2006</v>
      </c>
      <c r="D1848">
        <v>299</v>
      </c>
      <c r="E1848">
        <v>149</v>
      </c>
      <c r="F1848" t="s">
        <v>11</v>
      </c>
      <c r="G1848" t="s">
        <v>472</v>
      </c>
    </row>
    <row r="1849" spans="1:7" x14ac:dyDescent="0.3">
      <c r="A1849">
        <v>1847</v>
      </c>
      <c r="B1849" t="s">
        <v>2026</v>
      </c>
      <c r="C1849" t="s">
        <v>1940</v>
      </c>
      <c r="D1849">
        <v>40</v>
      </c>
      <c r="E1849">
        <v>20</v>
      </c>
      <c r="F1849" t="s">
        <v>1930</v>
      </c>
      <c r="G1849" t="s">
        <v>1510</v>
      </c>
    </row>
    <row r="1850" spans="1:7" x14ac:dyDescent="0.3">
      <c r="A1850">
        <v>1848</v>
      </c>
      <c r="B1850" t="s">
        <v>2027</v>
      </c>
      <c r="C1850" t="s">
        <v>438</v>
      </c>
      <c r="D1850">
        <v>110</v>
      </c>
      <c r="E1850">
        <v>93</v>
      </c>
      <c r="F1850" t="s">
        <v>188</v>
      </c>
      <c r="G1850" t="s">
        <v>1954</v>
      </c>
    </row>
    <row r="1851" spans="1:7" x14ac:dyDescent="0.3">
      <c r="A1851">
        <v>1849</v>
      </c>
      <c r="B1851" t="s">
        <v>2028</v>
      </c>
      <c r="C1851" t="s">
        <v>1983</v>
      </c>
      <c r="D1851">
        <v>235</v>
      </c>
      <c r="E1851">
        <v>199</v>
      </c>
      <c r="F1851" t="s">
        <v>76</v>
      </c>
      <c r="G1851" t="s">
        <v>1954</v>
      </c>
    </row>
    <row r="1852" spans="1:7" x14ac:dyDescent="0.3">
      <c r="A1852">
        <v>1850</v>
      </c>
      <c r="B1852" t="s">
        <v>1960</v>
      </c>
      <c r="C1852" t="s">
        <v>957</v>
      </c>
      <c r="D1852">
        <v>20</v>
      </c>
      <c r="E1852">
        <v>18</v>
      </c>
      <c r="F1852" t="s">
        <v>2029</v>
      </c>
      <c r="G1852" t="s">
        <v>1954</v>
      </c>
    </row>
    <row r="1853" spans="1:7" x14ac:dyDescent="0.3">
      <c r="A1853">
        <v>1851</v>
      </c>
      <c r="B1853" t="s">
        <v>2030</v>
      </c>
      <c r="C1853" t="s">
        <v>2031</v>
      </c>
      <c r="D1853">
        <v>140</v>
      </c>
      <c r="E1853">
        <v>70</v>
      </c>
      <c r="F1853" t="s">
        <v>1527</v>
      </c>
      <c r="G1853" t="s">
        <v>1954</v>
      </c>
    </row>
    <row r="1854" spans="1:7" x14ac:dyDescent="0.3">
      <c r="A1854">
        <v>1852</v>
      </c>
      <c r="B1854" t="s">
        <v>2032</v>
      </c>
      <c r="C1854" t="s">
        <v>2006</v>
      </c>
      <c r="D1854">
        <v>299</v>
      </c>
      <c r="E1854">
        <v>149</v>
      </c>
      <c r="F1854" t="s">
        <v>11</v>
      </c>
      <c r="G1854" t="s">
        <v>472</v>
      </c>
    </row>
    <row r="1855" spans="1:7" x14ac:dyDescent="0.3">
      <c r="A1855">
        <v>1853</v>
      </c>
      <c r="B1855" t="s">
        <v>2033</v>
      </c>
      <c r="C1855" t="s">
        <v>1967</v>
      </c>
      <c r="D1855">
        <v>20</v>
      </c>
      <c r="E1855">
        <v>18</v>
      </c>
      <c r="F1855" t="s">
        <v>740</v>
      </c>
      <c r="G1855" t="s">
        <v>1954</v>
      </c>
    </row>
    <row r="1856" spans="1:7" x14ac:dyDescent="0.3">
      <c r="A1856">
        <v>1854</v>
      </c>
      <c r="B1856" t="s">
        <v>2034</v>
      </c>
      <c r="C1856" t="s">
        <v>844</v>
      </c>
      <c r="D1856">
        <v>50</v>
      </c>
      <c r="E1856">
        <v>38</v>
      </c>
      <c r="F1856" t="s">
        <v>845</v>
      </c>
      <c r="G1856" t="s">
        <v>1954</v>
      </c>
    </row>
    <row r="1857" spans="1:7" x14ac:dyDescent="0.3">
      <c r="A1857">
        <v>1855</v>
      </c>
      <c r="B1857" t="s">
        <v>2035</v>
      </c>
      <c r="C1857" t="s">
        <v>1988</v>
      </c>
      <c r="D1857">
        <v>60</v>
      </c>
      <c r="E1857">
        <v>52</v>
      </c>
      <c r="F1857" t="s">
        <v>1634</v>
      </c>
      <c r="G1857" t="s">
        <v>1954</v>
      </c>
    </row>
    <row r="1858" spans="1:7" x14ac:dyDescent="0.3">
      <c r="A1858">
        <v>1856</v>
      </c>
      <c r="B1858" t="s">
        <v>2036</v>
      </c>
      <c r="C1858" t="s">
        <v>1436</v>
      </c>
      <c r="D1858">
        <v>175</v>
      </c>
      <c r="E1858">
        <v>150</v>
      </c>
      <c r="F1858" t="s">
        <v>715</v>
      </c>
      <c r="G1858" t="s">
        <v>1954</v>
      </c>
    </row>
    <row r="1859" spans="1:7" x14ac:dyDescent="0.3">
      <c r="A1859">
        <v>1857</v>
      </c>
      <c r="B1859" t="s">
        <v>2037</v>
      </c>
      <c r="C1859" t="s">
        <v>1993</v>
      </c>
      <c r="D1859">
        <v>20</v>
      </c>
      <c r="E1859">
        <v>18</v>
      </c>
      <c r="F1859" t="s">
        <v>2038</v>
      </c>
      <c r="G1859" t="s">
        <v>1954</v>
      </c>
    </row>
    <row r="1860" spans="1:7" x14ac:dyDescent="0.3">
      <c r="A1860">
        <v>1858</v>
      </c>
      <c r="B1860" t="s">
        <v>2039</v>
      </c>
      <c r="C1860" t="s">
        <v>2031</v>
      </c>
      <c r="D1860">
        <v>165</v>
      </c>
      <c r="E1860">
        <v>82</v>
      </c>
      <c r="F1860" t="s">
        <v>2040</v>
      </c>
      <c r="G1860" t="s">
        <v>1954</v>
      </c>
    </row>
    <row r="1861" spans="1:7" x14ac:dyDescent="0.3">
      <c r="A1861">
        <v>1859</v>
      </c>
      <c r="B1861" t="s">
        <v>2036</v>
      </c>
      <c r="C1861" t="s">
        <v>1436</v>
      </c>
      <c r="D1861">
        <v>80</v>
      </c>
      <c r="E1861">
        <v>70</v>
      </c>
      <c r="F1861" t="s">
        <v>216</v>
      </c>
      <c r="G1861" t="s">
        <v>1954</v>
      </c>
    </row>
    <row r="1862" spans="1:7" x14ac:dyDescent="0.3">
      <c r="A1862">
        <v>1860</v>
      </c>
      <c r="B1862" t="s">
        <v>2041</v>
      </c>
      <c r="C1862" t="s">
        <v>1436</v>
      </c>
      <c r="D1862">
        <v>20</v>
      </c>
      <c r="E1862">
        <v>17</v>
      </c>
      <c r="F1862" t="s">
        <v>2042</v>
      </c>
      <c r="G1862" t="s">
        <v>1954</v>
      </c>
    </row>
    <row r="1863" spans="1:7" x14ac:dyDescent="0.3">
      <c r="A1863">
        <v>1861</v>
      </c>
      <c r="B1863" t="s">
        <v>2043</v>
      </c>
      <c r="C1863" t="s">
        <v>957</v>
      </c>
      <c r="D1863">
        <v>100</v>
      </c>
      <c r="E1863">
        <v>89</v>
      </c>
      <c r="F1863" t="s">
        <v>1015</v>
      </c>
      <c r="G1863" t="s">
        <v>1954</v>
      </c>
    </row>
    <row r="1864" spans="1:7" x14ac:dyDescent="0.3">
      <c r="A1864">
        <v>1862</v>
      </c>
      <c r="B1864" t="s">
        <v>2044</v>
      </c>
      <c r="C1864" t="s">
        <v>2018</v>
      </c>
      <c r="D1864">
        <v>140</v>
      </c>
      <c r="E1864">
        <v>119</v>
      </c>
      <c r="F1864" t="s">
        <v>2019</v>
      </c>
      <c r="G1864" t="s">
        <v>1954</v>
      </c>
    </row>
    <row r="1865" spans="1:7" x14ac:dyDescent="0.3">
      <c r="A1865">
        <v>1863</v>
      </c>
      <c r="B1865" t="s">
        <v>2045</v>
      </c>
      <c r="C1865" t="s">
        <v>1165</v>
      </c>
      <c r="D1865">
        <v>150</v>
      </c>
      <c r="E1865">
        <v>125</v>
      </c>
      <c r="F1865" t="s">
        <v>11</v>
      </c>
      <c r="G1865" t="s">
        <v>1954</v>
      </c>
    </row>
    <row r="1866" spans="1:7" x14ac:dyDescent="0.3">
      <c r="A1866">
        <v>1864</v>
      </c>
      <c r="B1866" t="s">
        <v>2046</v>
      </c>
      <c r="C1866" t="s">
        <v>957</v>
      </c>
      <c r="D1866">
        <v>10</v>
      </c>
      <c r="E1866">
        <v>9</v>
      </c>
      <c r="F1866" t="s">
        <v>2047</v>
      </c>
      <c r="G1866" t="s">
        <v>1954</v>
      </c>
    </row>
    <row r="1867" spans="1:7" x14ac:dyDescent="0.3">
      <c r="A1867">
        <v>1865</v>
      </c>
      <c r="B1867" t="s">
        <v>2048</v>
      </c>
      <c r="C1867" t="s">
        <v>804</v>
      </c>
      <c r="D1867">
        <v>249</v>
      </c>
      <c r="E1867">
        <v>124</v>
      </c>
      <c r="F1867" t="s">
        <v>107</v>
      </c>
      <c r="G1867" t="s">
        <v>1954</v>
      </c>
    </row>
    <row r="1868" spans="1:7" x14ac:dyDescent="0.3">
      <c r="A1868">
        <v>1866</v>
      </c>
      <c r="B1868" t="s">
        <v>2049</v>
      </c>
      <c r="C1868" t="s">
        <v>1436</v>
      </c>
      <c r="D1868">
        <v>10</v>
      </c>
      <c r="E1868">
        <v>9</v>
      </c>
      <c r="F1868" t="s">
        <v>2050</v>
      </c>
      <c r="G1868" t="s">
        <v>1954</v>
      </c>
    </row>
    <row r="1869" spans="1:7" x14ac:dyDescent="0.3">
      <c r="A1869">
        <v>1867</v>
      </c>
      <c r="B1869" t="s">
        <v>2051</v>
      </c>
      <c r="C1869" t="s">
        <v>2031</v>
      </c>
      <c r="D1869">
        <v>140</v>
      </c>
      <c r="E1869">
        <v>112</v>
      </c>
      <c r="F1869" t="s">
        <v>1527</v>
      </c>
      <c r="G1869" t="s">
        <v>1954</v>
      </c>
    </row>
    <row r="1870" spans="1:7" x14ac:dyDescent="0.3">
      <c r="A1870">
        <v>1868</v>
      </c>
      <c r="B1870" t="s">
        <v>2052</v>
      </c>
      <c r="C1870" t="s">
        <v>2053</v>
      </c>
      <c r="D1870">
        <v>185</v>
      </c>
      <c r="E1870">
        <v>149</v>
      </c>
      <c r="F1870" t="s">
        <v>11</v>
      </c>
      <c r="G1870" t="s">
        <v>1954</v>
      </c>
    </row>
    <row r="1871" spans="1:7" x14ac:dyDescent="0.3">
      <c r="A1871">
        <v>1869</v>
      </c>
      <c r="B1871" t="s">
        <v>2054</v>
      </c>
      <c r="C1871" t="s">
        <v>2006</v>
      </c>
      <c r="D1871">
        <v>279</v>
      </c>
      <c r="E1871">
        <v>139</v>
      </c>
      <c r="F1871" t="s">
        <v>11</v>
      </c>
      <c r="G1871" t="s">
        <v>1954</v>
      </c>
    </row>
    <row r="1872" spans="1:7" x14ac:dyDescent="0.3">
      <c r="A1872">
        <v>1870</v>
      </c>
      <c r="B1872" t="s">
        <v>2055</v>
      </c>
      <c r="C1872" t="s">
        <v>2053</v>
      </c>
      <c r="D1872">
        <v>185</v>
      </c>
      <c r="E1872">
        <v>149</v>
      </c>
      <c r="F1872" t="s">
        <v>11</v>
      </c>
      <c r="G1872" t="s">
        <v>1954</v>
      </c>
    </row>
    <row r="1873" spans="1:7" x14ac:dyDescent="0.3">
      <c r="A1873">
        <v>1871</v>
      </c>
      <c r="B1873" t="s">
        <v>2056</v>
      </c>
      <c r="C1873" t="s">
        <v>2006</v>
      </c>
      <c r="D1873">
        <v>249</v>
      </c>
      <c r="E1873">
        <v>124</v>
      </c>
      <c r="F1873" t="s">
        <v>11</v>
      </c>
      <c r="G1873" t="s">
        <v>1954</v>
      </c>
    </row>
    <row r="1874" spans="1:7" x14ac:dyDescent="0.3">
      <c r="A1874">
        <v>1872</v>
      </c>
      <c r="B1874" t="s">
        <v>2057</v>
      </c>
      <c r="C1874" t="s">
        <v>2058</v>
      </c>
      <c r="D1874">
        <v>140</v>
      </c>
      <c r="E1874">
        <v>99</v>
      </c>
      <c r="F1874" t="s">
        <v>11</v>
      </c>
      <c r="G1874" t="s">
        <v>1954</v>
      </c>
    </row>
    <row r="1875" spans="1:7" x14ac:dyDescent="0.3">
      <c r="A1875">
        <v>1873</v>
      </c>
      <c r="B1875" t="s">
        <v>2057</v>
      </c>
      <c r="C1875" t="s">
        <v>2058</v>
      </c>
      <c r="D1875">
        <v>75</v>
      </c>
      <c r="E1875">
        <v>50</v>
      </c>
      <c r="F1875" t="s">
        <v>216</v>
      </c>
      <c r="G1875" t="s">
        <v>1954</v>
      </c>
    </row>
    <row r="1876" spans="1:7" x14ac:dyDescent="0.3">
      <c r="A1876">
        <v>1874</v>
      </c>
      <c r="B1876" t="s">
        <v>2059</v>
      </c>
      <c r="C1876" t="s">
        <v>2006</v>
      </c>
      <c r="D1876">
        <v>279</v>
      </c>
      <c r="E1876">
        <v>139</v>
      </c>
      <c r="F1876" t="s">
        <v>11</v>
      </c>
      <c r="G1876" t="s">
        <v>1954</v>
      </c>
    </row>
    <row r="1877" spans="1:7" x14ac:dyDescent="0.3">
      <c r="A1877">
        <v>1875</v>
      </c>
      <c r="B1877" t="s">
        <v>2060</v>
      </c>
      <c r="C1877" t="s">
        <v>2006</v>
      </c>
      <c r="D1877">
        <v>399</v>
      </c>
      <c r="E1877">
        <v>199</v>
      </c>
      <c r="F1877" t="s">
        <v>12</v>
      </c>
      <c r="G1877" t="s">
        <v>1954</v>
      </c>
    </row>
    <row r="1878" spans="1:7" x14ac:dyDescent="0.3">
      <c r="A1878">
        <v>1876</v>
      </c>
      <c r="B1878" t="s">
        <v>2061</v>
      </c>
      <c r="C1878" t="s">
        <v>1165</v>
      </c>
      <c r="D1878">
        <v>150</v>
      </c>
      <c r="E1878">
        <v>120</v>
      </c>
      <c r="F1878" t="s">
        <v>11</v>
      </c>
      <c r="G1878" t="s">
        <v>1954</v>
      </c>
    </row>
    <row r="1879" spans="1:7" x14ac:dyDescent="0.3">
      <c r="A1879">
        <v>1877</v>
      </c>
      <c r="B1879" t="s">
        <v>2062</v>
      </c>
      <c r="C1879" t="s">
        <v>1165</v>
      </c>
      <c r="D1879">
        <v>160</v>
      </c>
      <c r="E1879">
        <v>135</v>
      </c>
      <c r="F1879" t="s">
        <v>1118</v>
      </c>
      <c r="G1879" t="s">
        <v>1954</v>
      </c>
    </row>
    <row r="1880" spans="1:7" x14ac:dyDescent="0.3">
      <c r="A1880">
        <v>1878</v>
      </c>
      <c r="B1880" t="s">
        <v>2063</v>
      </c>
      <c r="C1880" t="s">
        <v>1165</v>
      </c>
      <c r="D1880">
        <v>160</v>
      </c>
      <c r="E1880">
        <v>135</v>
      </c>
      <c r="F1880" t="s">
        <v>1118</v>
      </c>
      <c r="G1880" t="s">
        <v>1954</v>
      </c>
    </row>
    <row r="1881" spans="1:7" x14ac:dyDescent="0.3">
      <c r="A1881">
        <v>1879</v>
      </c>
      <c r="B1881" t="s">
        <v>2064</v>
      </c>
      <c r="C1881" t="s">
        <v>2053</v>
      </c>
      <c r="D1881">
        <v>185</v>
      </c>
      <c r="E1881">
        <v>149</v>
      </c>
      <c r="F1881" t="s">
        <v>11</v>
      </c>
      <c r="G1881" t="s">
        <v>1954</v>
      </c>
    </row>
    <row r="1882" spans="1:7" x14ac:dyDescent="0.3">
      <c r="A1882">
        <v>1880</v>
      </c>
      <c r="B1882" t="s">
        <v>2065</v>
      </c>
      <c r="C1882" t="s">
        <v>2058</v>
      </c>
      <c r="D1882">
        <v>140</v>
      </c>
      <c r="E1882">
        <v>109</v>
      </c>
      <c r="F1882" t="s">
        <v>1754</v>
      </c>
      <c r="G1882" t="s">
        <v>1954</v>
      </c>
    </row>
    <row r="1883" spans="1:7" x14ac:dyDescent="0.3">
      <c r="A1883">
        <v>1881</v>
      </c>
      <c r="B1883" t="s">
        <v>2065</v>
      </c>
      <c r="C1883" t="s">
        <v>2058</v>
      </c>
      <c r="D1883">
        <v>75</v>
      </c>
      <c r="E1883">
        <v>50</v>
      </c>
      <c r="F1883" t="s">
        <v>216</v>
      </c>
      <c r="G1883" t="s">
        <v>1954</v>
      </c>
    </row>
    <row r="1884" spans="1:7" x14ac:dyDescent="0.3">
      <c r="A1884">
        <v>1882</v>
      </c>
      <c r="B1884" t="s">
        <v>2066</v>
      </c>
      <c r="C1884" t="s">
        <v>2067</v>
      </c>
      <c r="D1884">
        <v>349</v>
      </c>
      <c r="E1884">
        <v>260</v>
      </c>
      <c r="F1884" t="s">
        <v>2068</v>
      </c>
      <c r="G1884" t="s">
        <v>1954</v>
      </c>
    </row>
    <row r="1885" spans="1:7" x14ac:dyDescent="0.3">
      <c r="A1885">
        <v>1883</v>
      </c>
      <c r="B1885" t="s">
        <v>2066</v>
      </c>
      <c r="C1885" t="s">
        <v>2067</v>
      </c>
      <c r="D1885">
        <v>175</v>
      </c>
      <c r="E1885">
        <v>131</v>
      </c>
      <c r="F1885" t="s">
        <v>2069</v>
      </c>
      <c r="G1885" t="s">
        <v>1954</v>
      </c>
    </row>
    <row r="1886" spans="1:7" x14ac:dyDescent="0.3">
      <c r="A1886">
        <v>1884</v>
      </c>
      <c r="B1886" t="s">
        <v>2070</v>
      </c>
      <c r="C1886" t="s">
        <v>2071</v>
      </c>
      <c r="D1886">
        <v>425</v>
      </c>
      <c r="E1886">
        <v>287</v>
      </c>
      <c r="F1886" t="s">
        <v>1527</v>
      </c>
      <c r="G1886" t="s">
        <v>1954</v>
      </c>
    </row>
    <row r="1887" spans="1:7" x14ac:dyDescent="0.3">
      <c r="A1887">
        <v>1885</v>
      </c>
      <c r="B1887" t="s">
        <v>2072</v>
      </c>
      <c r="C1887" t="s">
        <v>804</v>
      </c>
      <c r="D1887">
        <v>249</v>
      </c>
      <c r="E1887">
        <v>124</v>
      </c>
      <c r="F1887" t="s">
        <v>12</v>
      </c>
      <c r="G1887" t="s">
        <v>1954</v>
      </c>
    </row>
    <row r="1888" spans="1:7" x14ac:dyDescent="0.3">
      <c r="A1888">
        <v>1886</v>
      </c>
      <c r="B1888" t="s">
        <v>2073</v>
      </c>
      <c r="C1888" t="s">
        <v>1165</v>
      </c>
      <c r="D1888">
        <v>60</v>
      </c>
      <c r="E1888">
        <v>42</v>
      </c>
      <c r="F1888" t="s">
        <v>740</v>
      </c>
      <c r="G1888" t="s">
        <v>1954</v>
      </c>
    </row>
    <row r="1889" spans="1:7" x14ac:dyDescent="0.3">
      <c r="A1889">
        <v>1887</v>
      </c>
      <c r="B1889" t="s">
        <v>2074</v>
      </c>
      <c r="C1889" t="s">
        <v>2018</v>
      </c>
      <c r="D1889">
        <v>60</v>
      </c>
      <c r="E1889">
        <v>45</v>
      </c>
      <c r="F1889" t="s">
        <v>740</v>
      </c>
      <c r="G1889" t="s">
        <v>1954</v>
      </c>
    </row>
    <row r="1890" spans="1:7" x14ac:dyDescent="0.3">
      <c r="A1890">
        <v>1888</v>
      </c>
      <c r="B1890" t="s">
        <v>2075</v>
      </c>
      <c r="C1890" t="s">
        <v>2053</v>
      </c>
      <c r="D1890">
        <v>185</v>
      </c>
      <c r="E1890">
        <v>149</v>
      </c>
      <c r="F1890" t="s">
        <v>11</v>
      </c>
      <c r="G1890" t="s">
        <v>1954</v>
      </c>
    </row>
    <row r="1891" spans="1:7" x14ac:dyDescent="0.3">
      <c r="A1891">
        <v>1889</v>
      </c>
      <c r="B1891" t="s">
        <v>2076</v>
      </c>
      <c r="C1891" t="s">
        <v>1165</v>
      </c>
      <c r="D1891">
        <v>55</v>
      </c>
      <c r="E1891">
        <v>42</v>
      </c>
      <c r="F1891" t="s">
        <v>740</v>
      </c>
      <c r="G1891" t="s">
        <v>1954</v>
      </c>
    </row>
    <row r="1892" spans="1:7" x14ac:dyDescent="0.3">
      <c r="A1892">
        <v>1890</v>
      </c>
      <c r="B1892" t="s">
        <v>2077</v>
      </c>
      <c r="C1892" t="s">
        <v>2053</v>
      </c>
      <c r="D1892">
        <v>999</v>
      </c>
      <c r="E1892">
        <v>750</v>
      </c>
      <c r="F1892" t="s">
        <v>2078</v>
      </c>
      <c r="G1892" t="s">
        <v>1954</v>
      </c>
    </row>
    <row r="1893" spans="1:7" x14ac:dyDescent="0.3">
      <c r="A1893">
        <v>1891</v>
      </c>
      <c r="B1893" t="s">
        <v>2079</v>
      </c>
      <c r="C1893" t="s">
        <v>2053</v>
      </c>
      <c r="D1893">
        <v>999</v>
      </c>
      <c r="E1893">
        <v>770</v>
      </c>
      <c r="F1893" t="s">
        <v>2078</v>
      </c>
      <c r="G1893" t="s">
        <v>1954</v>
      </c>
    </row>
    <row r="1894" spans="1:7" x14ac:dyDescent="0.3">
      <c r="A1894">
        <v>1892</v>
      </c>
      <c r="B1894" t="s">
        <v>2080</v>
      </c>
      <c r="C1894" t="s">
        <v>2081</v>
      </c>
      <c r="D1894">
        <v>650</v>
      </c>
      <c r="E1894">
        <v>513</v>
      </c>
      <c r="F1894" t="s">
        <v>2082</v>
      </c>
      <c r="G1894" t="s">
        <v>1954</v>
      </c>
    </row>
    <row r="1895" spans="1:7" x14ac:dyDescent="0.3">
      <c r="A1895">
        <v>1893</v>
      </c>
      <c r="B1895" t="s">
        <v>2083</v>
      </c>
      <c r="C1895" t="s">
        <v>2081</v>
      </c>
      <c r="D1895">
        <v>475</v>
      </c>
      <c r="E1895">
        <v>375</v>
      </c>
      <c r="F1895" t="s">
        <v>1027</v>
      </c>
      <c r="G1895" t="s">
        <v>1954</v>
      </c>
    </row>
    <row r="1896" spans="1:7" x14ac:dyDescent="0.3">
      <c r="A1896">
        <v>1894</v>
      </c>
      <c r="B1896" t="s">
        <v>2084</v>
      </c>
      <c r="C1896" t="s">
        <v>1436</v>
      </c>
      <c r="D1896">
        <v>530</v>
      </c>
      <c r="E1896">
        <v>418</v>
      </c>
      <c r="F1896" t="s">
        <v>2082</v>
      </c>
      <c r="G1896" t="s">
        <v>1954</v>
      </c>
    </row>
    <row r="1897" spans="1:7" x14ac:dyDescent="0.3">
      <c r="A1897">
        <v>1895</v>
      </c>
      <c r="B1897" t="s">
        <v>2081</v>
      </c>
      <c r="C1897" t="s">
        <v>2081</v>
      </c>
      <c r="D1897">
        <v>135</v>
      </c>
      <c r="E1897">
        <v>101</v>
      </c>
      <c r="F1897" t="s">
        <v>2085</v>
      </c>
      <c r="G1897" t="s">
        <v>1954</v>
      </c>
    </row>
    <row r="1898" spans="1:7" x14ac:dyDescent="0.3">
      <c r="A1898">
        <v>1896</v>
      </c>
      <c r="B1898" t="s">
        <v>2081</v>
      </c>
      <c r="C1898" t="s">
        <v>1436</v>
      </c>
      <c r="D1898">
        <v>50</v>
      </c>
      <c r="E1898">
        <v>44</v>
      </c>
      <c r="F1898" t="s">
        <v>2086</v>
      </c>
      <c r="G1898" t="s">
        <v>1954</v>
      </c>
    </row>
    <row r="1899" spans="1:7" x14ac:dyDescent="0.3">
      <c r="A1899">
        <v>1897</v>
      </c>
      <c r="B1899" t="s">
        <v>2087</v>
      </c>
      <c r="C1899" t="s">
        <v>2058</v>
      </c>
      <c r="D1899">
        <v>225</v>
      </c>
      <c r="E1899">
        <v>168</v>
      </c>
      <c r="F1899" t="s">
        <v>2088</v>
      </c>
      <c r="G1899" t="s">
        <v>1954</v>
      </c>
    </row>
    <row r="1900" spans="1:7" x14ac:dyDescent="0.3">
      <c r="A1900">
        <v>1898</v>
      </c>
      <c r="B1900" t="s">
        <v>2089</v>
      </c>
      <c r="C1900" t="s">
        <v>2090</v>
      </c>
      <c r="D1900">
        <v>70</v>
      </c>
      <c r="E1900">
        <v>35</v>
      </c>
      <c r="F1900" t="s">
        <v>2091</v>
      </c>
      <c r="G1900" t="s">
        <v>1954</v>
      </c>
    </row>
    <row r="1901" spans="1:7" x14ac:dyDescent="0.3">
      <c r="A1901">
        <v>1899</v>
      </c>
      <c r="B1901" t="s">
        <v>2092</v>
      </c>
      <c r="C1901" t="s">
        <v>2090</v>
      </c>
      <c r="D1901">
        <v>70</v>
      </c>
      <c r="E1901">
        <v>35</v>
      </c>
      <c r="F1901" t="s">
        <v>2091</v>
      </c>
      <c r="G1901" t="s">
        <v>1954</v>
      </c>
    </row>
    <row r="1902" spans="1:7" x14ac:dyDescent="0.3">
      <c r="A1902">
        <v>1900</v>
      </c>
      <c r="B1902" t="s">
        <v>2093</v>
      </c>
      <c r="C1902" t="s">
        <v>1436</v>
      </c>
      <c r="D1902">
        <v>500</v>
      </c>
      <c r="E1902">
        <v>375</v>
      </c>
      <c r="F1902" t="s">
        <v>2094</v>
      </c>
      <c r="G1902" t="s">
        <v>1954</v>
      </c>
    </row>
    <row r="1903" spans="1:7" x14ac:dyDescent="0.3">
      <c r="A1903">
        <v>1901</v>
      </c>
      <c r="B1903" t="s">
        <v>2095</v>
      </c>
      <c r="C1903" t="s">
        <v>2096</v>
      </c>
      <c r="D1903">
        <v>200</v>
      </c>
      <c r="E1903">
        <v>150</v>
      </c>
      <c r="F1903" t="s">
        <v>1961</v>
      </c>
      <c r="G1903" t="s">
        <v>1954</v>
      </c>
    </row>
    <row r="1904" spans="1:7" x14ac:dyDescent="0.3">
      <c r="A1904">
        <v>1902</v>
      </c>
      <c r="B1904" t="s">
        <v>2097</v>
      </c>
      <c r="C1904" t="s">
        <v>2098</v>
      </c>
      <c r="D1904">
        <v>800</v>
      </c>
      <c r="E1904">
        <v>680</v>
      </c>
      <c r="F1904" t="s">
        <v>12</v>
      </c>
      <c r="G1904" t="s">
        <v>472</v>
      </c>
    </row>
    <row r="1905" spans="1:7" x14ac:dyDescent="0.3">
      <c r="A1905">
        <v>1903</v>
      </c>
      <c r="B1905" t="s">
        <v>2099</v>
      </c>
      <c r="C1905" t="s">
        <v>2098</v>
      </c>
      <c r="D1905">
        <v>400</v>
      </c>
      <c r="E1905">
        <v>340</v>
      </c>
      <c r="F1905" t="s">
        <v>11</v>
      </c>
      <c r="G1905" t="s">
        <v>472</v>
      </c>
    </row>
    <row r="1906" spans="1:7" x14ac:dyDescent="0.3">
      <c r="A1906">
        <v>1904</v>
      </c>
      <c r="B1906" t="s">
        <v>2100</v>
      </c>
      <c r="C1906" t="s">
        <v>2098</v>
      </c>
      <c r="D1906">
        <v>400</v>
      </c>
      <c r="E1906">
        <v>340</v>
      </c>
      <c r="F1906" t="s">
        <v>11</v>
      </c>
      <c r="G1906" t="s">
        <v>472</v>
      </c>
    </row>
    <row r="1907" spans="1:7" x14ac:dyDescent="0.3">
      <c r="A1907">
        <v>1905</v>
      </c>
      <c r="B1907" t="s">
        <v>2101</v>
      </c>
      <c r="C1907" t="s">
        <v>2098</v>
      </c>
      <c r="D1907">
        <v>400</v>
      </c>
      <c r="E1907">
        <v>340</v>
      </c>
      <c r="F1907" t="s">
        <v>11</v>
      </c>
      <c r="G1907" t="s">
        <v>472</v>
      </c>
    </row>
    <row r="1908" spans="1:7" x14ac:dyDescent="0.3">
      <c r="A1908">
        <v>1906</v>
      </c>
      <c r="B1908" t="s">
        <v>2102</v>
      </c>
      <c r="C1908" t="s">
        <v>2098</v>
      </c>
      <c r="D1908">
        <v>450</v>
      </c>
      <c r="E1908">
        <v>382</v>
      </c>
      <c r="F1908" t="s">
        <v>11</v>
      </c>
      <c r="G1908" t="s">
        <v>472</v>
      </c>
    </row>
    <row r="1909" spans="1:7" x14ac:dyDescent="0.3">
      <c r="A1909">
        <v>1907</v>
      </c>
      <c r="B1909" t="s">
        <v>2103</v>
      </c>
      <c r="C1909" t="s">
        <v>2104</v>
      </c>
      <c r="D1909">
        <v>45</v>
      </c>
      <c r="E1909">
        <v>40</v>
      </c>
      <c r="F1909" t="s">
        <v>256</v>
      </c>
      <c r="G1909" t="s">
        <v>1954</v>
      </c>
    </row>
    <row r="1910" spans="1:7" x14ac:dyDescent="0.3">
      <c r="A1910">
        <v>1908</v>
      </c>
      <c r="B1910" t="s">
        <v>2105</v>
      </c>
      <c r="C1910" t="s">
        <v>1993</v>
      </c>
      <c r="D1910">
        <v>90</v>
      </c>
      <c r="E1910">
        <v>70</v>
      </c>
      <c r="F1910" t="s">
        <v>740</v>
      </c>
      <c r="G1910" t="s">
        <v>1954</v>
      </c>
    </row>
    <row r="1911" spans="1:7" x14ac:dyDescent="0.3">
      <c r="A1911">
        <v>1909</v>
      </c>
      <c r="B1911" t="s">
        <v>2105</v>
      </c>
      <c r="C1911" t="s">
        <v>1993</v>
      </c>
      <c r="D1911">
        <v>130</v>
      </c>
      <c r="E1911">
        <v>115</v>
      </c>
      <c r="F1911" t="s">
        <v>709</v>
      </c>
      <c r="G1911" t="s">
        <v>1954</v>
      </c>
    </row>
    <row r="1912" spans="1:7" x14ac:dyDescent="0.3">
      <c r="A1912">
        <v>1910</v>
      </c>
      <c r="B1912" t="s">
        <v>2106</v>
      </c>
      <c r="C1912" t="s">
        <v>2107</v>
      </c>
      <c r="D1912">
        <v>185</v>
      </c>
      <c r="E1912">
        <v>160</v>
      </c>
      <c r="F1912" t="s">
        <v>2108</v>
      </c>
      <c r="G1912" t="s">
        <v>1954</v>
      </c>
    </row>
    <row r="1913" spans="1:7" x14ac:dyDescent="0.3">
      <c r="A1913">
        <v>1911</v>
      </c>
      <c r="B1913" t="s">
        <v>2109</v>
      </c>
      <c r="C1913" t="s">
        <v>1436</v>
      </c>
      <c r="D1913">
        <v>75</v>
      </c>
      <c r="E1913">
        <v>55</v>
      </c>
      <c r="F1913" t="s">
        <v>740</v>
      </c>
      <c r="G1913" t="s">
        <v>1954</v>
      </c>
    </row>
    <row r="1914" spans="1:7" x14ac:dyDescent="0.3">
      <c r="A1914">
        <v>1912</v>
      </c>
      <c r="B1914" t="s">
        <v>2110</v>
      </c>
      <c r="C1914" t="s">
        <v>1436</v>
      </c>
      <c r="D1914">
        <v>75</v>
      </c>
      <c r="E1914">
        <v>55</v>
      </c>
      <c r="F1914" t="s">
        <v>740</v>
      </c>
      <c r="G1914" t="s">
        <v>1954</v>
      </c>
    </row>
    <row r="1915" spans="1:7" x14ac:dyDescent="0.3">
      <c r="A1915">
        <v>1913</v>
      </c>
      <c r="B1915" t="s">
        <v>2111</v>
      </c>
      <c r="C1915" t="s">
        <v>2112</v>
      </c>
      <c r="D1915">
        <v>160</v>
      </c>
      <c r="E1915">
        <v>99</v>
      </c>
      <c r="F1915" t="s">
        <v>1899</v>
      </c>
      <c r="G1915" t="s">
        <v>2113</v>
      </c>
    </row>
    <row r="1916" spans="1:7" x14ac:dyDescent="0.3">
      <c r="A1916">
        <v>1914</v>
      </c>
      <c r="B1916" t="s">
        <v>2111</v>
      </c>
      <c r="C1916" t="s">
        <v>2112</v>
      </c>
      <c r="D1916">
        <v>100</v>
      </c>
      <c r="E1916">
        <v>85</v>
      </c>
      <c r="F1916" t="s">
        <v>254</v>
      </c>
      <c r="G1916" t="s">
        <v>2113</v>
      </c>
    </row>
    <row r="1917" spans="1:7" x14ac:dyDescent="0.3">
      <c r="A1917">
        <v>1915</v>
      </c>
      <c r="B1917" t="s">
        <v>2114</v>
      </c>
      <c r="C1917" t="s">
        <v>2115</v>
      </c>
      <c r="D1917">
        <v>125</v>
      </c>
      <c r="E1917">
        <v>62</v>
      </c>
      <c r="F1917" t="s">
        <v>15</v>
      </c>
      <c r="G1917" t="s">
        <v>2113</v>
      </c>
    </row>
    <row r="1918" spans="1:7" x14ac:dyDescent="0.3">
      <c r="A1918">
        <v>1916</v>
      </c>
      <c r="B1918" t="s">
        <v>2116</v>
      </c>
      <c r="C1918" t="s">
        <v>393</v>
      </c>
      <c r="D1918">
        <v>130</v>
      </c>
      <c r="E1918">
        <v>75</v>
      </c>
      <c r="F1918" t="s">
        <v>2117</v>
      </c>
      <c r="G1918" t="s">
        <v>2113</v>
      </c>
    </row>
    <row r="1919" spans="1:7" x14ac:dyDescent="0.3">
      <c r="A1919">
        <v>1917</v>
      </c>
      <c r="B1919" t="s">
        <v>2118</v>
      </c>
      <c r="C1919" t="s">
        <v>2119</v>
      </c>
      <c r="D1919">
        <v>135</v>
      </c>
      <c r="E1919">
        <v>67</v>
      </c>
      <c r="F1919" t="s">
        <v>254</v>
      </c>
      <c r="G1919" t="s">
        <v>2113</v>
      </c>
    </row>
    <row r="1920" spans="1:7" x14ac:dyDescent="0.3">
      <c r="A1920">
        <v>1918</v>
      </c>
      <c r="B1920" t="s">
        <v>2120</v>
      </c>
      <c r="C1920" t="s">
        <v>663</v>
      </c>
      <c r="D1920">
        <v>108</v>
      </c>
      <c r="E1920">
        <v>97</v>
      </c>
      <c r="F1920" t="s">
        <v>9</v>
      </c>
      <c r="G1920" t="s">
        <v>2113</v>
      </c>
    </row>
    <row r="1921" spans="1:7" x14ac:dyDescent="0.3">
      <c r="A1921">
        <v>1919</v>
      </c>
      <c r="B1921" t="s">
        <v>2120</v>
      </c>
      <c r="C1921" t="s">
        <v>663</v>
      </c>
      <c r="D1921">
        <v>155</v>
      </c>
      <c r="E1921">
        <v>117</v>
      </c>
      <c r="F1921" t="s">
        <v>15</v>
      </c>
      <c r="G1921" t="s">
        <v>2113</v>
      </c>
    </row>
    <row r="1922" spans="1:7" x14ac:dyDescent="0.3">
      <c r="A1922">
        <v>1920</v>
      </c>
      <c r="B1922" t="s">
        <v>2121</v>
      </c>
      <c r="C1922" t="s">
        <v>2122</v>
      </c>
      <c r="D1922">
        <v>120</v>
      </c>
      <c r="E1922">
        <v>79</v>
      </c>
      <c r="F1922" t="s">
        <v>2117</v>
      </c>
      <c r="G1922" t="s">
        <v>2113</v>
      </c>
    </row>
    <row r="1923" spans="1:7" x14ac:dyDescent="0.3">
      <c r="A1923">
        <v>1921</v>
      </c>
      <c r="B1923" t="s">
        <v>2123</v>
      </c>
      <c r="C1923" t="s">
        <v>663</v>
      </c>
      <c r="D1923">
        <v>15</v>
      </c>
      <c r="E1923">
        <v>14</v>
      </c>
      <c r="F1923" t="s">
        <v>1118</v>
      </c>
      <c r="G1923" t="s">
        <v>2113</v>
      </c>
    </row>
    <row r="1924" spans="1:7" x14ac:dyDescent="0.3">
      <c r="A1924">
        <v>1922</v>
      </c>
      <c r="B1924" t="s">
        <v>2124</v>
      </c>
      <c r="C1924" t="s">
        <v>2122</v>
      </c>
      <c r="D1924">
        <v>120</v>
      </c>
      <c r="E1924">
        <v>105</v>
      </c>
      <c r="F1924" t="s">
        <v>2117</v>
      </c>
      <c r="G1924" t="s">
        <v>2113</v>
      </c>
    </row>
    <row r="1925" spans="1:7" x14ac:dyDescent="0.3">
      <c r="A1925">
        <v>1923</v>
      </c>
      <c r="B1925" t="s">
        <v>2125</v>
      </c>
      <c r="C1925" t="s">
        <v>2112</v>
      </c>
      <c r="D1925">
        <v>15</v>
      </c>
      <c r="E1925">
        <v>13</v>
      </c>
      <c r="F1925" t="s">
        <v>1619</v>
      </c>
      <c r="G1925" t="s">
        <v>2113</v>
      </c>
    </row>
    <row r="1926" spans="1:7" x14ac:dyDescent="0.3">
      <c r="A1926">
        <v>1924</v>
      </c>
      <c r="B1926" t="s">
        <v>2126</v>
      </c>
      <c r="C1926" t="s">
        <v>2122</v>
      </c>
      <c r="D1926">
        <v>149</v>
      </c>
      <c r="E1926">
        <v>99</v>
      </c>
      <c r="F1926" t="s">
        <v>15</v>
      </c>
      <c r="G1926" t="s">
        <v>2113</v>
      </c>
    </row>
    <row r="1927" spans="1:7" x14ac:dyDescent="0.3">
      <c r="A1927">
        <v>1925</v>
      </c>
      <c r="B1927" t="s">
        <v>2127</v>
      </c>
      <c r="C1927" t="s">
        <v>663</v>
      </c>
      <c r="D1927">
        <v>120</v>
      </c>
      <c r="E1927">
        <v>110</v>
      </c>
      <c r="F1927" t="s">
        <v>9</v>
      </c>
      <c r="G1927" t="s">
        <v>2113</v>
      </c>
    </row>
    <row r="1928" spans="1:7" x14ac:dyDescent="0.3">
      <c r="A1928">
        <v>1926</v>
      </c>
      <c r="B1928" t="s">
        <v>2127</v>
      </c>
      <c r="C1928" t="s">
        <v>663</v>
      </c>
      <c r="D1928">
        <v>175</v>
      </c>
      <c r="E1928">
        <v>142</v>
      </c>
      <c r="F1928" t="s">
        <v>15</v>
      </c>
      <c r="G1928" t="s">
        <v>2113</v>
      </c>
    </row>
    <row r="1929" spans="1:7" x14ac:dyDescent="0.3">
      <c r="A1929">
        <v>1927</v>
      </c>
      <c r="B1929" t="s">
        <v>2128</v>
      </c>
      <c r="C1929" t="s">
        <v>2112</v>
      </c>
      <c r="D1929">
        <v>80</v>
      </c>
      <c r="E1929">
        <v>74</v>
      </c>
      <c r="F1929" t="s">
        <v>201</v>
      </c>
      <c r="G1929" t="s">
        <v>2113</v>
      </c>
    </row>
    <row r="1930" spans="1:7" x14ac:dyDescent="0.3">
      <c r="A1930">
        <v>1928</v>
      </c>
      <c r="B1930" t="s">
        <v>2128</v>
      </c>
      <c r="C1930" t="s">
        <v>2112</v>
      </c>
      <c r="D1930">
        <v>130</v>
      </c>
      <c r="E1930">
        <v>115</v>
      </c>
      <c r="F1930" t="s">
        <v>2117</v>
      </c>
      <c r="G1930" t="s">
        <v>2113</v>
      </c>
    </row>
    <row r="1931" spans="1:7" x14ac:dyDescent="0.3">
      <c r="A1931">
        <v>1929</v>
      </c>
      <c r="B1931" t="s">
        <v>2129</v>
      </c>
      <c r="C1931" t="s">
        <v>726</v>
      </c>
      <c r="D1931">
        <v>60</v>
      </c>
      <c r="E1931">
        <v>50</v>
      </c>
      <c r="F1931" t="s">
        <v>12</v>
      </c>
      <c r="G1931" t="s">
        <v>2113</v>
      </c>
    </row>
    <row r="1932" spans="1:7" x14ac:dyDescent="0.3">
      <c r="A1932">
        <v>1930</v>
      </c>
      <c r="B1932" t="s">
        <v>2129</v>
      </c>
      <c r="C1932" t="s">
        <v>726</v>
      </c>
      <c r="D1932">
        <v>85</v>
      </c>
      <c r="E1932">
        <v>70</v>
      </c>
      <c r="F1932" t="s">
        <v>2130</v>
      </c>
      <c r="G1932" t="s">
        <v>2113</v>
      </c>
    </row>
    <row r="1933" spans="1:7" x14ac:dyDescent="0.3">
      <c r="A1933">
        <v>1931</v>
      </c>
      <c r="B1933" t="s">
        <v>2131</v>
      </c>
      <c r="C1933" t="s">
        <v>726</v>
      </c>
      <c r="D1933">
        <v>60</v>
      </c>
      <c r="E1933">
        <v>45</v>
      </c>
      <c r="F1933" t="s">
        <v>12</v>
      </c>
      <c r="G1933" t="s">
        <v>2113</v>
      </c>
    </row>
    <row r="1934" spans="1:7" x14ac:dyDescent="0.3">
      <c r="A1934">
        <v>1932</v>
      </c>
      <c r="B1934" t="s">
        <v>2131</v>
      </c>
      <c r="C1934" t="s">
        <v>726</v>
      </c>
      <c r="D1934">
        <v>85</v>
      </c>
      <c r="E1934">
        <v>73</v>
      </c>
      <c r="F1934" t="s">
        <v>791</v>
      </c>
      <c r="G1934" t="s">
        <v>2113</v>
      </c>
    </row>
    <row r="1935" spans="1:7" x14ac:dyDescent="0.3">
      <c r="A1935">
        <v>1933</v>
      </c>
      <c r="B1935" t="s">
        <v>2132</v>
      </c>
      <c r="C1935" t="s">
        <v>2133</v>
      </c>
      <c r="D1935">
        <v>89</v>
      </c>
      <c r="E1935">
        <v>82</v>
      </c>
      <c r="F1935" t="s">
        <v>2134</v>
      </c>
      <c r="G1935" t="s">
        <v>2113</v>
      </c>
    </row>
    <row r="1936" spans="1:7" x14ac:dyDescent="0.3">
      <c r="A1936">
        <v>1934</v>
      </c>
      <c r="B1936" t="s">
        <v>2132</v>
      </c>
      <c r="C1936" t="s">
        <v>2133</v>
      </c>
      <c r="D1936">
        <v>175</v>
      </c>
      <c r="E1936">
        <v>149</v>
      </c>
      <c r="F1936" t="s">
        <v>1413</v>
      </c>
      <c r="G1936" t="s">
        <v>2113</v>
      </c>
    </row>
    <row r="1937" spans="1:7" x14ac:dyDescent="0.3">
      <c r="A1937">
        <v>1935</v>
      </c>
      <c r="B1937" t="s">
        <v>2135</v>
      </c>
      <c r="C1937" t="s">
        <v>663</v>
      </c>
      <c r="D1937">
        <v>170</v>
      </c>
      <c r="E1937">
        <v>149</v>
      </c>
      <c r="F1937" t="s">
        <v>15</v>
      </c>
      <c r="G1937" t="s">
        <v>2113</v>
      </c>
    </row>
    <row r="1938" spans="1:7" x14ac:dyDescent="0.3">
      <c r="A1938">
        <v>1936</v>
      </c>
      <c r="B1938" t="s">
        <v>2136</v>
      </c>
      <c r="C1938" t="s">
        <v>1653</v>
      </c>
      <c r="D1938">
        <v>149</v>
      </c>
      <c r="E1938">
        <v>74</v>
      </c>
      <c r="F1938" t="s">
        <v>201</v>
      </c>
      <c r="G1938" t="s">
        <v>2113</v>
      </c>
    </row>
    <row r="1939" spans="1:7" x14ac:dyDescent="0.3">
      <c r="A1939">
        <v>1937</v>
      </c>
      <c r="B1939" t="s">
        <v>2137</v>
      </c>
      <c r="C1939" t="s">
        <v>1653</v>
      </c>
      <c r="D1939">
        <v>199</v>
      </c>
      <c r="E1939">
        <v>99</v>
      </c>
      <c r="F1939" t="s">
        <v>201</v>
      </c>
      <c r="G1939" t="s">
        <v>2113</v>
      </c>
    </row>
    <row r="1940" spans="1:7" x14ac:dyDescent="0.3">
      <c r="A1940">
        <v>1938</v>
      </c>
      <c r="B1940" t="s">
        <v>2138</v>
      </c>
      <c r="C1940" t="s">
        <v>726</v>
      </c>
      <c r="D1940">
        <v>60</v>
      </c>
      <c r="E1940">
        <v>46</v>
      </c>
      <c r="F1940" t="s">
        <v>1453</v>
      </c>
      <c r="G1940" t="s">
        <v>2113</v>
      </c>
    </row>
    <row r="1941" spans="1:7" x14ac:dyDescent="0.3">
      <c r="A1941">
        <v>1939</v>
      </c>
      <c r="B1941" t="s">
        <v>2138</v>
      </c>
      <c r="C1941" t="s">
        <v>726</v>
      </c>
      <c r="D1941">
        <v>85</v>
      </c>
      <c r="E1941">
        <v>70</v>
      </c>
      <c r="F1941" t="s">
        <v>2130</v>
      </c>
      <c r="G1941" t="s">
        <v>2113</v>
      </c>
    </row>
    <row r="1942" spans="1:7" x14ac:dyDescent="0.3">
      <c r="A1942">
        <v>1940</v>
      </c>
      <c r="B1942" t="s">
        <v>2139</v>
      </c>
      <c r="C1942" t="s">
        <v>2122</v>
      </c>
      <c r="D1942">
        <v>89</v>
      </c>
      <c r="E1942">
        <v>64</v>
      </c>
      <c r="F1942" t="s">
        <v>2140</v>
      </c>
      <c r="G1942" t="s">
        <v>2113</v>
      </c>
    </row>
    <row r="1943" spans="1:7" x14ac:dyDescent="0.3">
      <c r="A1943">
        <v>1941</v>
      </c>
      <c r="B1943" t="s">
        <v>2139</v>
      </c>
      <c r="C1943" t="s">
        <v>2122</v>
      </c>
      <c r="D1943">
        <v>159</v>
      </c>
      <c r="E1943">
        <v>99</v>
      </c>
      <c r="F1943" t="s">
        <v>2141</v>
      </c>
      <c r="G1943" t="s">
        <v>2113</v>
      </c>
    </row>
    <row r="1944" spans="1:7" x14ac:dyDescent="0.3">
      <c r="A1944">
        <v>1942</v>
      </c>
      <c r="B1944" t="s">
        <v>2142</v>
      </c>
      <c r="C1944" t="s">
        <v>2143</v>
      </c>
      <c r="D1944">
        <v>65</v>
      </c>
      <c r="E1944">
        <v>50</v>
      </c>
      <c r="F1944" t="s">
        <v>12</v>
      </c>
      <c r="G1944" t="s">
        <v>2113</v>
      </c>
    </row>
    <row r="1945" spans="1:7" x14ac:dyDescent="0.3">
      <c r="A1945">
        <v>1943</v>
      </c>
      <c r="B1945" t="s">
        <v>2144</v>
      </c>
      <c r="C1945" t="s">
        <v>2143</v>
      </c>
      <c r="D1945">
        <v>60</v>
      </c>
      <c r="E1945">
        <v>50</v>
      </c>
      <c r="F1945" t="s">
        <v>12</v>
      </c>
      <c r="G1945" t="s">
        <v>2113</v>
      </c>
    </row>
    <row r="1946" spans="1:7" x14ac:dyDescent="0.3">
      <c r="A1946">
        <v>1944</v>
      </c>
      <c r="B1946" t="s">
        <v>2145</v>
      </c>
      <c r="C1946" t="s">
        <v>2146</v>
      </c>
      <c r="D1946">
        <v>370</v>
      </c>
      <c r="E1946">
        <v>260</v>
      </c>
      <c r="F1946" t="s">
        <v>2147</v>
      </c>
      <c r="G1946" t="s">
        <v>472</v>
      </c>
    </row>
    <row r="1947" spans="1:7" x14ac:dyDescent="0.3">
      <c r="A1947">
        <v>1945</v>
      </c>
      <c r="B1947" t="s">
        <v>2148</v>
      </c>
      <c r="C1947" t="s">
        <v>2122</v>
      </c>
      <c r="D1947">
        <v>89</v>
      </c>
      <c r="E1947">
        <v>64</v>
      </c>
      <c r="F1947" t="s">
        <v>107</v>
      </c>
      <c r="G1947" t="s">
        <v>2113</v>
      </c>
    </row>
    <row r="1948" spans="1:7" x14ac:dyDescent="0.3">
      <c r="A1948">
        <v>1946</v>
      </c>
      <c r="B1948" t="s">
        <v>2149</v>
      </c>
      <c r="C1948" t="s">
        <v>2150</v>
      </c>
      <c r="D1948">
        <v>249</v>
      </c>
      <c r="E1948">
        <v>195</v>
      </c>
      <c r="F1948" t="s">
        <v>2151</v>
      </c>
      <c r="G1948" t="s">
        <v>472</v>
      </c>
    </row>
    <row r="1949" spans="1:7" x14ac:dyDescent="0.3">
      <c r="A1949">
        <v>1947</v>
      </c>
      <c r="B1949" t="s">
        <v>2152</v>
      </c>
      <c r="C1949" t="s">
        <v>438</v>
      </c>
      <c r="D1949">
        <v>84</v>
      </c>
      <c r="E1949">
        <v>75</v>
      </c>
      <c r="F1949" t="s">
        <v>12</v>
      </c>
      <c r="G1949" t="s">
        <v>2113</v>
      </c>
    </row>
    <row r="1950" spans="1:7" x14ac:dyDescent="0.3">
      <c r="A1950">
        <v>1948</v>
      </c>
      <c r="B1950" t="s">
        <v>2153</v>
      </c>
      <c r="C1950" t="s">
        <v>2154</v>
      </c>
      <c r="D1950">
        <v>335</v>
      </c>
      <c r="E1950">
        <v>255</v>
      </c>
      <c r="F1950" t="s">
        <v>2155</v>
      </c>
      <c r="G1950" t="s">
        <v>2113</v>
      </c>
    </row>
    <row r="1951" spans="1:7" x14ac:dyDescent="0.3">
      <c r="A1951">
        <v>1949</v>
      </c>
      <c r="B1951" t="s">
        <v>2156</v>
      </c>
      <c r="C1951" t="s">
        <v>438</v>
      </c>
      <c r="D1951">
        <v>84</v>
      </c>
      <c r="E1951">
        <v>76</v>
      </c>
      <c r="F1951" t="s">
        <v>12</v>
      </c>
      <c r="G1951" t="s">
        <v>2113</v>
      </c>
    </row>
    <row r="1952" spans="1:7" x14ac:dyDescent="0.3">
      <c r="A1952">
        <v>1950</v>
      </c>
      <c r="B1952" t="s">
        <v>2145</v>
      </c>
      <c r="C1952" t="s">
        <v>2157</v>
      </c>
      <c r="D1952">
        <v>580</v>
      </c>
      <c r="E1952">
        <v>435</v>
      </c>
      <c r="F1952" t="s">
        <v>2158</v>
      </c>
      <c r="G1952" t="s">
        <v>472</v>
      </c>
    </row>
    <row r="1953" spans="1:7" x14ac:dyDescent="0.3">
      <c r="A1953">
        <v>1951</v>
      </c>
      <c r="B1953" t="s">
        <v>2159</v>
      </c>
      <c r="C1953" t="s">
        <v>438</v>
      </c>
      <c r="D1953">
        <v>84</v>
      </c>
      <c r="E1953">
        <v>79</v>
      </c>
      <c r="F1953" t="s">
        <v>12</v>
      </c>
      <c r="G1953" t="s">
        <v>2113</v>
      </c>
    </row>
    <row r="1954" spans="1:7" x14ac:dyDescent="0.3">
      <c r="A1954">
        <v>1952</v>
      </c>
      <c r="B1954" t="s">
        <v>2160</v>
      </c>
      <c r="C1954" t="s">
        <v>2150</v>
      </c>
      <c r="D1954">
        <v>319</v>
      </c>
      <c r="E1954">
        <v>255</v>
      </c>
      <c r="F1954" t="s">
        <v>2151</v>
      </c>
      <c r="G1954" t="s">
        <v>472</v>
      </c>
    </row>
    <row r="1955" spans="1:7" x14ac:dyDescent="0.3">
      <c r="A1955">
        <v>1953</v>
      </c>
      <c r="B1955" t="s">
        <v>2161</v>
      </c>
      <c r="C1955" t="s">
        <v>2162</v>
      </c>
      <c r="D1955">
        <v>280</v>
      </c>
      <c r="E1955">
        <v>220</v>
      </c>
      <c r="F1955" t="s">
        <v>2163</v>
      </c>
      <c r="G1955" t="s">
        <v>2113</v>
      </c>
    </row>
    <row r="1956" spans="1:7" x14ac:dyDescent="0.3">
      <c r="A1956">
        <v>1954</v>
      </c>
      <c r="B1956" t="s">
        <v>2164</v>
      </c>
      <c r="C1956" t="s">
        <v>2154</v>
      </c>
      <c r="D1956">
        <v>245</v>
      </c>
      <c r="E1956">
        <v>199</v>
      </c>
      <c r="F1956" t="s">
        <v>2165</v>
      </c>
      <c r="G1956" t="s">
        <v>2113</v>
      </c>
    </row>
    <row r="1957" spans="1:7" x14ac:dyDescent="0.3">
      <c r="A1957">
        <v>1955</v>
      </c>
      <c r="B1957" t="s">
        <v>2166</v>
      </c>
      <c r="C1957" t="s">
        <v>2157</v>
      </c>
      <c r="D1957">
        <v>395</v>
      </c>
      <c r="E1957">
        <v>315</v>
      </c>
      <c r="F1957" t="s">
        <v>2167</v>
      </c>
      <c r="G1957" t="s">
        <v>472</v>
      </c>
    </row>
    <row r="1958" spans="1:7" x14ac:dyDescent="0.3">
      <c r="A1958">
        <v>1956</v>
      </c>
      <c r="B1958" t="s">
        <v>2168</v>
      </c>
      <c r="C1958" t="s">
        <v>2169</v>
      </c>
      <c r="D1958">
        <v>399</v>
      </c>
      <c r="E1958">
        <v>320</v>
      </c>
      <c r="F1958" t="s">
        <v>76</v>
      </c>
      <c r="G1958" t="s">
        <v>472</v>
      </c>
    </row>
    <row r="1959" spans="1:7" x14ac:dyDescent="0.3">
      <c r="A1959">
        <v>1957</v>
      </c>
      <c r="B1959" t="s">
        <v>2161</v>
      </c>
      <c r="C1959" t="s">
        <v>2162</v>
      </c>
      <c r="D1959">
        <v>450</v>
      </c>
      <c r="E1959">
        <v>385</v>
      </c>
      <c r="F1959" t="s">
        <v>2130</v>
      </c>
      <c r="G1959" t="s">
        <v>2113</v>
      </c>
    </row>
    <row r="1960" spans="1:7" x14ac:dyDescent="0.3">
      <c r="A1960">
        <v>1958</v>
      </c>
      <c r="B1960" t="s">
        <v>2170</v>
      </c>
      <c r="C1960" t="s">
        <v>2162</v>
      </c>
      <c r="D1960">
        <v>260</v>
      </c>
      <c r="E1960">
        <v>208</v>
      </c>
      <c r="F1960" t="s">
        <v>1834</v>
      </c>
      <c r="G1960" t="s">
        <v>2113</v>
      </c>
    </row>
    <row r="1961" spans="1:7" x14ac:dyDescent="0.3">
      <c r="A1961">
        <v>1959</v>
      </c>
      <c r="B1961" t="s">
        <v>2171</v>
      </c>
      <c r="C1961" t="s">
        <v>2162</v>
      </c>
      <c r="D1961">
        <v>450</v>
      </c>
      <c r="E1961">
        <v>325</v>
      </c>
      <c r="F1961" t="s">
        <v>2130</v>
      </c>
      <c r="G1961" t="s">
        <v>2113</v>
      </c>
    </row>
    <row r="1962" spans="1:7" x14ac:dyDescent="0.3">
      <c r="A1962">
        <v>1960</v>
      </c>
      <c r="B1962" t="s">
        <v>2172</v>
      </c>
      <c r="C1962" t="s">
        <v>2162</v>
      </c>
      <c r="D1962">
        <v>450</v>
      </c>
      <c r="E1962">
        <v>360</v>
      </c>
      <c r="F1962" t="s">
        <v>2130</v>
      </c>
      <c r="G1962" t="s">
        <v>2113</v>
      </c>
    </row>
    <row r="1963" spans="1:7" x14ac:dyDescent="0.3">
      <c r="A1963">
        <v>1961</v>
      </c>
      <c r="B1963" t="s">
        <v>2173</v>
      </c>
      <c r="C1963" t="s">
        <v>2162</v>
      </c>
      <c r="D1963">
        <v>450</v>
      </c>
      <c r="E1963">
        <v>310</v>
      </c>
      <c r="F1963" t="s">
        <v>2130</v>
      </c>
      <c r="G1963" t="s">
        <v>2113</v>
      </c>
    </row>
    <row r="1964" spans="1:7" x14ac:dyDescent="0.3">
      <c r="A1964">
        <v>1962</v>
      </c>
      <c r="B1964" t="s">
        <v>2174</v>
      </c>
      <c r="C1964" t="s">
        <v>1653</v>
      </c>
      <c r="D1964">
        <v>99</v>
      </c>
      <c r="E1964">
        <v>75</v>
      </c>
      <c r="F1964" t="s">
        <v>1015</v>
      </c>
      <c r="G1964" t="s">
        <v>2113</v>
      </c>
    </row>
    <row r="1965" spans="1:7" x14ac:dyDescent="0.3">
      <c r="A1965">
        <v>1963</v>
      </c>
      <c r="B1965" t="s">
        <v>2175</v>
      </c>
      <c r="C1965" t="s">
        <v>1653</v>
      </c>
      <c r="D1965">
        <v>119</v>
      </c>
      <c r="E1965">
        <v>75</v>
      </c>
      <c r="F1965" t="s">
        <v>1015</v>
      </c>
      <c r="G1965" t="s">
        <v>2113</v>
      </c>
    </row>
    <row r="1966" spans="1:7" x14ac:dyDescent="0.3">
      <c r="A1966">
        <v>1964</v>
      </c>
      <c r="B1966" t="s">
        <v>2176</v>
      </c>
      <c r="C1966" t="s">
        <v>1653</v>
      </c>
      <c r="D1966">
        <v>119</v>
      </c>
      <c r="E1966">
        <v>75</v>
      </c>
      <c r="F1966" t="s">
        <v>1015</v>
      </c>
      <c r="G1966" t="s">
        <v>2113</v>
      </c>
    </row>
    <row r="1967" spans="1:7" x14ac:dyDescent="0.3">
      <c r="A1967">
        <v>1965</v>
      </c>
      <c r="B1967" t="s">
        <v>2177</v>
      </c>
      <c r="C1967" t="s">
        <v>1653</v>
      </c>
      <c r="D1967">
        <v>119</v>
      </c>
      <c r="E1967">
        <v>75</v>
      </c>
      <c r="F1967" t="s">
        <v>1015</v>
      </c>
      <c r="G1967" t="s">
        <v>2113</v>
      </c>
    </row>
    <row r="1968" spans="1:7" x14ac:dyDescent="0.3">
      <c r="A1968">
        <v>1966</v>
      </c>
      <c r="B1968" t="s">
        <v>2178</v>
      </c>
      <c r="C1968" t="s">
        <v>1653</v>
      </c>
      <c r="D1968">
        <v>60</v>
      </c>
      <c r="E1968">
        <v>40</v>
      </c>
      <c r="F1968" t="s">
        <v>1697</v>
      </c>
      <c r="G1968" t="s">
        <v>2113</v>
      </c>
    </row>
    <row r="1969" spans="1:7" x14ac:dyDescent="0.3">
      <c r="A1969">
        <v>1967</v>
      </c>
      <c r="B1969" t="s">
        <v>2179</v>
      </c>
      <c r="C1969" t="s">
        <v>1653</v>
      </c>
      <c r="D1969">
        <v>60</v>
      </c>
      <c r="E1969">
        <v>40</v>
      </c>
      <c r="F1969" t="s">
        <v>1697</v>
      </c>
      <c r="G1969" t="s">
        <v>2113</v>
      </c>
    </row>
    <row r="1970" spans="1:7" x14ac:dyDescent="0.3">
      <c r="A1970">
        <v>1968</v>
      </c>
      <c r="B1970" t="s">
        <v>2180</v>
      </c>
      <c r="C1970" t="s">
        <v>1653</v>
      </c>
      <c r="D1970">
        <v>60</v>
      </c>
      <c r="E1970">
        <v>48</v>
      </c>
      <c r="F1970" t="s">
        <v>1697</v>
      </c>
      <c r="G1970" t="s">
        <v>2113</v>
      </c>
    </row>
    <row r="1971" spans="1:7" x14ac:dyDescent="0.3">
      <c r="A1971">
        <v>1969</v>
      </c>
      <c r="B1971" t="s">
        <v>2181</v>
      </c>
      <c r="C1971" t="s">
        <v>2182</v>
      </c>
      <c r="D1971">
        <v>225</v>
      </c>
      <c r="E1971">
        <v>168</v>
      </c>
      <c r="F1971" t="s">
        <v>1870</v>
      </c>
      <c r="G1971" t="s">
        <v>2113</v>
      </c>
    </row>
    <row r="1972" spans="1:7" x14ac:dyDescent="0.3">
      <c r="A1972">
        <v>1970</v>
      </c>
      <c r="B1972" t="s">
        <v>2183</v>
      </c>
      <c r="C1972" t="s">
        <v>2182</v>
      </c>
      <c r="D1972">
        <v>250</v>
      </c>
      <c r="E1972">
        <v>185</v>
      </c>
      <c r="F1972" t="s">
        <v>1870</v>
      </c>
      <c r="G1972" t="s">
        <v>2113</v>
      </c>
    </row>
    <row r="1973" spans="1:7" x14ac:dyDescent="0.3">
      <c r="A1973">
        <v>1971</v>
      </c>
      <c r="B1973" t="s">
        <v>2184</v>
      </c>
      <c r="C1973" t="s">
        <v>2182</v>
      </c>
      <c r="D1973">
        <v>250</v>
      </c>
      <c r="E1973">
        <v>184</v>
      </c>
      <c r="F1973" t="s">
        <v>1870</v>
      </c>
      <c r="G1973" t="s">
        <v>2113</v>
      </c>
    </row>
    <row r="1974" spans="1:7" x14ac:dyDescent="0.3">
      <c r="A1974">
        <v>1972</v>
      </c>
      <c r="B1974" t="s">
        <v>2185</v>
      </c>
      <c r="C1974" t="s">
        <v>726</v>
      </c>
      <c r="D1974">
        <v>85</v>
      </c>
      <c r="E1974">
        <v>64</v>
      </c>
      <c r="F1974" t="s">
        <v>107</v>
      </c>
      <c r="G1974" t="s">
        <v>704</v>
      </c>
    </row>
    <row r="1975" spans="1:7" x14ac:dyDescent="0.3">
      <c r="A1975">
        <v>1973</v>
      </c>
      <c r="B1975" t="s">
        <v>2185</v>
      </c>
      <c r="C1975" t="s">
        <v>726</v>
      </c>
      <c r="D1975">
        <v>180</v>
      </c>
      <c r="E1975">
        <v>115</v>
      </c>
      <c r="F1975" t="s">
        <v>1002</v>
      </c>
      <c r="G1975" t="s">
        <v>704</v>
      </c>
    </row>
    <row r="1976" spans="1:7" x14ac:dyDescent="0.3">
      <c r="A1976">
        <v>1974</v>
      </c>
      <c r="B1976" t="s">
        <v>2186</v>
      </c>
      <c r="C1976" t="s">
        <v>2187</v>
      </c>
      <c r="D1976">
        <v>35</v>
      </c>
      <c r="E1976">
        <v>30</v>
      </c>
      <c r="F1976" t="s">
        <v>12</v>
      </c>
      <c r="G1976" t="s">
        <v>704</v>
      </c>
    </row>
    <row r="1977" spans="1:7" x14ac:dyDescent="0.3">
      <c r="A1977">
        <v>1975</v>
      </c>
      <c r="B1977" t="s">
        <v>2188</v>
      </c>
      <c r="C1977" t="s">
        <v>2187</v>
      </c>
      <c r="D1977">
        <v>42</v>
      </c>
      <c r="E1977">
        <v>37</v>
      </c>
      <c r="F1977" t="s">
        <v>12</v>
      </c>
      <c r="G1977" t="s">
        <v>704</v>
      </c>
    </row>
    <row r="1978" spans="1:7" x14ac:dyDescent="0.3">
      <c r="A1978">
        <v>1976</v>
      </c>
      <c r="B1978" t="s">
        <v>2189</v>
      </c>
      <c r="C1978" t="s">
        <v>2190</v>
      </c>
      <c r="D1978">
        <v>30</v>
      </c>
      <c r="E1978">
        <v>27</v>
      </c>
      <c r="F1978" t="s">
        <v>11</v>
      </c>
      <c r="G1978" t="s">
        <v>2113</v>
      </c>
    </row>
    <row r="1979" spans="1:7" x14ac:dyDescent="0.3">
      <c r="A1979">
        <v>1977</v>
      </c>
      <c r="B1979" t="s">
        <v>2191</v>
      </c>
      <c r="C1979" t="s">
        <v>2122</v>
      </c>
      <c r="D1979">
        <v>89</v>
      </c>
      <c r="E1979">
        <v>79</v>
      </c>
      <c r="F1979" t="s">
        <v>107</v>
      </c>
      <c r="G1979" t="s">
        <v>2113</v>
      </c>
    </row>
    <row r="1980" spans="1:7" x14ac:dyDescent="0.3">
      <c r="A1980">
        <v>1978</v>
      </c>
      <c r="B1980" t="s">
        <v>2192</v>
      </c>
      <c r="C1980" t="s">
        <v>726</v>
      </c>
      <c r="D1980">
        <v>50</v>
      </c>
      <c r="E1980">
        <v>45</v>
      </c>
      <c r="F1980" t="s">
        <v>2193</v>
      </c>
      <c r="G1980" t="s">
        <v>2113</v>
      </c>
    </row>
    <row r="1981" spans="1:7" x14ac:dyDescent="0.3">
      <c r="A1981">
        <v>1979</v>
      </c>
      <c r="B1981" t="s">
        <v>2194</v>
      </c>
      <c r="C1981" t="s">
        <v>2195</v>
      </c>
      <c r="D1981">
        <v>50</v>
      </c>
      <c r="E1981">
        <v>38</v>
      </c>
      <c r="F1981" t="s">
        <v>1194</v>
      </c>
      <c r="G1981" t="s">
        <v>2113</v>
      </c>
    </row>
    <row r="1982" spans="1:7" x14ac:dyDescent="0.3">
      <c r="A1982">
        <v>1980</v>
      </c>
      <c r="B1982" t="s">
        <v>2196</v>
      </c>
      <c r="C1982" t="s">
        <v>396</v>
      </c>
      <c r="D1982">
        <v>400</v>
      </c>
      <c r="E1982">
        <v>200</v>
      </c>
      <c r="F1982" t="s">
        <v>2197</v>
      </c>
      <c r="G1982" t="s">
        <v>2113</v>
      </c>
    </row>
    <row r="1983" spans="1:7" x14ac:dyDescent="0.3">
      <c r="A1983">
        <v>1981</v>
      </c>
      <c r="B1983" t="s">
        <v>2198</v>
      </c>
      <c r="C1983" t="s">
        <v>2154</v>
      </c>
      <c r="D1983">
        <v>185</v>
      </c>
      <c r="E1983">
        <v>145</v>
      </c>
      <c r="F1983" t="s">
        <v>2199</v>
      </c>
      <c r="G1983" t="s">
        <v>2113</v>
      </c>
    </row>
    <row r="1984" spans="1:7" x14ac:dyDescent="0.3">
      <c r="A1984">
        <v>1982</v>
      </c>
      <c r="B1984" t="s">
        <v>2200</v>
      </c>
      <c r="C1984" t="s">
        <v>2195</v>
      </c>
      <c r="D1984">
        <v>50</v>
      </c>
      <c r="E1984">
        <v>39</v>
      </c>
      <c r="F1984" t="s">
        <v>1194</v>
      </c>
      <c r="G1984" t="s">
        <v>2113</v>
      </c>
    </row>
    <row r="1985" spans="1:7" x14ac:dyDescent="0.3">
      <c r="A1985">
        <v>1983</v>
      </c>
      <c r="B1985" t="s">
        <v>2201</v>
      </c>
      <c r="C1985" t="s">
        <v>2112</v>
      </c>
      <c r="D1985">
        <v>72</v>
      </c>
      <c r="E1985">
        <v>63</v>
      </c>
      <c r="F1985" t="s">
        <v>12</v>
      </c>
      <c r="G1985" t="s">
        <v>2202</v>
      </c>
    </row>
    <row r="1986" spans="1:7" x14ac:dyDescent="0.3">
      <c r="A1986">
        <v>1984</v>
      </c>
      <c r="B1986" t="s">
        <v>2201</v>
      </c>
      <c r="C1986" t="s">
        <v>2112</v>
      </c>
      <c r="D1986">
        <v>165</v>
      </c>
      <c r="E1986">
        <v>153</v>
      </c>
      <c r="F1986" t="s">
        <v>9</v>
      </c>
      <c r="G1986" t="s">
        <v>2202</v>
      </c>
    </row>
    <row r="1987" spans="1:7" x14ac:dyDescent="0.3">
      <c r="A1987">
        <v>1985</v>
      </c>
      <c r="B1987" t="s">
        <v>2201</v>
      </c>
      <c r="C1987" t="s">
        <v>2112</v>
      </c>
      <c r="D1987">
        <v>235</v>
      </c>
      <c r="E1987">
        <v>190</v>
      </c>
      <c r="F1987" t="s">
        <v>791</v>
      </c>
      <c r="G1987" t="s">
        <v>2202</v>
      </c>
    </row>
    <row r="1988" spans="1:7" x14ac:dyDescent="0.3">
      <c r="A1988">
        <v>1986</v>
      </c>
      <c r="B1988" t="s">
        <v>2203</v>
      </c>
      <c r="C1988" t="s">
        <v>1321</v>
      </c>
      <c r="D1988">
        <v>185</v>
      </c>
      <c r="E1988">
        <v>92</v>
      </c>
      <c r="F1988" t="s">
        <v>182</v>
      </c>
      <c r="G1988" t="s">
        <v>2202</v>
      </c>
    </row>
    <row r="1989" spans="1:7" x14ac:dyDescent="0.3">
      <c r="A1989">
        <v>1987</v>
      </c>
      <c r="B1989" t="s">
        <v>2204</v>
      </c>
      <c r="C1989" t="s">
        <v>2205</v>
      </c>
      <c r="D1989">
        <v>185</v>
      </c>
      <c r="E1989">
        <v>92</v>
      </c>
      <c r="F1989" t="s">
        <v>15</v>
      </c>
      <c r="G1989" t="s">
        <v>2202</v>
      </c>
    </row>
    <row r="1990" spans="1:7" x14ac:dyDescent="0.3">
      <c r="A1990">
        <v>1988</v>
      </c>
      <c r="B1990" t="s">
        <v>2206</v>
      </c>
      <c r="C1990" t="s">
        <v>2207</v>
      </c>
      <c r="D1990">
        <v>349</v>
      </c>
      <c r="E1990">
        <v>280</v>
      </c>
      <c r="F1990" t="s">
        <v>2208</v>
      </c>
      <c r="G1990" t="s">
        <v>2202</v>
      </c>
    </row>
    <row r="1991" spans="1:7" x14ac:dyDescent="0.3">
      <c r="A1991">
        <v>1989</v>
      </c>
      <c r="B1991" t="s">
        <v>2209</v>
      </c>
      <c r="C1991" t="s">
        <v>2207</v>
      </c>
      <c r="D1991">
        <v>349</v>
      </c>
      <c r="E1991">
        <v>279</v>
      </c>
      <c r="F1991" t="s">
        <v>2208</v>
      </c>
      <c r="G1991" t="s">
        <v>2202</v>
      </c>
    </row>
    <row r="1992" spans="1:7" x14ac:dyDescent="0.3">
      <c r="A1992">
        <v>1990</v>
      </c>
      <c r="B1992" t="s">
        <v>2210</v>
      </c>
      <c r="C1992" t="s">
        <v>2207</v>
      </c>
      <c r="D1992">
        <v>349</v>
      </c>
      <c r="E1992">
        <v>239</v>
      </c>
      <c r="F1992" t="s">
        <v>2208</v>
      </c>
      <c r="G1992" t="s">
        <v>2202</v>
      </c>
    </row>
    <row r="1993" spans="1:7" x14ac:dyDescent="0.3">
      <c r="A1993">
        <v>1991</v>
      </c>
      <c r="B1993" t="s">
        <v>2211</v>
      </c>
      <c r="C1993" t="s">
        <v>2207</v>
      </c>
      <c r="D1993">
        <v>349</v>
      </c>
      <c r="E1993">
        <v>260</v>
      </c>
      <c r="F1993" t="s">
        <v>2208</v>
      </c>
      <c r="G1993" t="s">
        <v>2202</v>
      </c>
    </row>
    <row r="1994" spans="1:7" x14ac:dyDescent="0.3">
      <c r="A1994">
        <v>1992</v>
      </c>
      <c r="B1994" t="s">
        <v>2212</v>
      </c>
      <c r="C1994" t="s">
        <v>2213</v>
      </c>
      <c r="D1994">
        <v>325</v>
      </c>
      <c r="E1994">
        <v>254</v>
      </c>
      <c r="F1994" t="s">
        <v>1847</v>
      </c>
      <c r="G1994" t="s">
        <v>2202</v>
      </c>
    </row>
    <row r="1995" spans="1:7" x14ac:dyDescent="0.3">
      <c r="A1995">
        <v>1993</v>
      </c>
      <c r="B1995" t="s">
        <v>2214</v>
      </c>
      <c r="C1995" t="s">
        <v>2215</v>
      </c>
      <c r="D1995">
        <v>380</v>
      </c>
      <c r="E1995">
        <v>311</v>
      </c>
      <c r="F1995" t="s">
        <v>652</v>
      </c>
      <c r="G1995" t="s">
        <v>2202</v>
      </c>
    </row>
    <row r="1996" spans="1:7" x14ac:dyDescent="0.3">
      <c r="A1996">
        <v>1994</v>
      </c>
      <c r="B1996" t="s">
        <v>2216</v>
      </c>
      <c r="C1996" t="s">
        <v>1165</v>
      </c>
      <c r="D1996">
        <v>310</v>
      </c>
      <c r="E1996">
        <v>210</v>
      </c>
      <c r="F1996" t="s">
        <v>652</v>
      </c>
      <c r="G1996" t="s">
        <v>2202</v>
      </c>
    </row>
    <row r="1997" spans="1:7" x14ac:dyDescent="0.3">
      <c r="A1997">
        <v>1995</v>
      </c>
      <c r="B1997" t="s">
        <v>2217</v>
      </c>
      <c r="C1997" t="s">
        <v>2122</v>
      </c>
      <c r="D1997">
        <v>299</v>
      </c>
      <c r="E1997">
        <v>245</v>
      </c>
      <c r="F1997" t="s">
        <v>2218</v>
      </c>
      <c r="G1997" t="s">
        <v>2202</v>
      </c>
    </row>
    <row r="1998" spans="1:7" x14ac:dyDescent="0.3">
      <c r="A1998">
        <v>1996</v>
      </c>
      <c r="B1998" t="s">
        <v>2217</v>
      </c>
      <c r="C1998" t="s">
        <v>2122</v>
      </c>
      <c r="D1998">
        <v>169</v>
      </c>
      <c r="E1998">
        <v>124</v>
      </c>
      <c r="F1998" t="s">
        <v>1847</v>
      </c>
      <c r="G1998" t="s">
        <v>2202</v>
      </c>
    </row>
    <row r="1999" spans="1:7" x14ac:dyDescent="0.3">
      <c r="A1999">
        <v>1997</v>
      </c>
      <c r="B1999" t="s">
        <v>2219</v>
      </c>
      <c r="C1999" t="s">
        <v>2122</v>
      </c>
      <c r="D1999">
        <v>169</v>
      </c>
      <c r="E1999">
        <v>123</v>
      </c>
      <c r="F1999" t="s">
        <v>1847</v>
      </c>
      <c r="G1999" t="s">
        <v>2202</v>
      </c>
    </row>
    <row r="2000" spans="1:7" x14ac:dyDescent="0.3">
      <c r="A2000">
        <v>1998</v>
      </c>
      <c r="B2000" t="s">
        <v>2219</v>
      </c>
      <c r="C2000" t="s">
        <v>2122</v>
      </c>
      <c r="D2000">
        <v>299</v>
      </c>
      <c r="E2000">
        <v>245</v>
      </c>
      <c r="F2000" t="s">
        <v>2218</v>
      </c>
      <c r="G2000" t="s">
        <v>2202</v>
      </c>
    </row>
    <row r="2001" spans="1:7" x14ac:dyDescent="0.3">
      <c r="A2001">
        <v>1999</v>
      </c>
      <c r="B2001" t="s">
        <v>2220</v>
      </c>
      <c r="C2001" t="s">
        <v>1165</v>
      </c>
      <c r="D2001">
        <v>310</v>
      </c>
      <c r="E2001">
        <v>220</v>
      </c>
      <c r="F2001" t="s">
        <v>1371</v>
      </c>
      <c r="G2001" t="s">
        <v>2202</v>
      </c>
    </row>
    <row r="2002" spans="1:7" x14ac:dyDescent="0.3">
      <c r="A2002">
        <v>2000</v>
      </c>
      <c r="B2002" t="s">
        <v>2221</v>
      </c>
      <c r="C2002" t="s">
        <v>2133</v>
      </c>
      <c r="D2002">
        <v>169</v>
      </c>
      <c r="E2002">
        <v>155</v>
      </c>
      <c r="F2002" t="s">
        <v>1847</v>
      </c>
      <c r="G2002" t="s">
        <v>2202</v>
      </c>
    </row>
    <row r="2003" spans="1:7" x14ac:dyDescent="0.3">
      <c r="A2003">
        <v>2001</v>
      </c>
      <c r="B2003" t="s">
        <v>2221</v>
      </c>
      <c r="C2003" t="s">
        <v>2133</v>
      </c>
      <c r="D2003">
        <v>399</v>
      </c>
      <c r="E2003">
        <v>329</v>
      </c>
      <c r="F2003" t="s">
        <v>2222</v>
      </c>
      <c r="G2003" t="s">
        <v>2202</v>
      </c>
    </row>
    <row r="2004" spans="1:7" x14ac:dyDescent="0.3">
      <c r="A2004">
        <v>2002</v>
      </c>
      <c r="B2004" t="s">
        <v>2223</v>
      </c>
      <c r="C2004" t="s">
        <v>2133</v>
      </c>
      <c r="D2004">
        <v>169</v>
      </c>
      <c r="E2004">
        <v>149</v>
      </c>
      <c r="F2004" t="s">
        <v>1847</v>
      </c>
      <c r="G2004" t="s">
        <v>2202</v>
      </c>
    </row>
    <row r="2005" spans="1:7" x14ac:dyDescent="0.3">
      <c r="A2005">
        <v>2003</v>
      </c>
      <c r="B2005" t="s">
        <v>2223</v>
      </c>
      <c r="C2005" t="s">
        <v>2133</v>
      </c>
      <c r="D2005">
        <v>399</v>
      </c>
      <c r="E2005">
        <v>329</v>
      </c>
      <c r="F2005" t="s">
        <v>2222</v>
      </c>
      <c r="G2005" t="s">
        <v>2202</v>
      </c>
    </row>
    <row r="2006" spans="1:7" x14ac:dyDescent="0.3">
      <c r="A2006">
        <v>2004</v>
      </c>
      <c r="B2006" t="s">
        <v>2224</v>
      </c>
      <c r="C2006" t="s">
        <v>2225</v>
      </c>
      <c r="D2006">
        <v>175</v>
      </c>
      <c r="E2006">
        <v>140</v>
      </c>
      <c r="F2006" t="s">
        <v>652</v>
      </c>
      <c r="G2006" t="s">
        <v>2202</v>
      </c>
    </row>
    <row r="2007" spans="1:7" x14ac:dyDescent="0.3">
      <c r="A2007">
        <v>2005</v>
      </c>
      <c r="B2007" t="s">
        <v>2224</v>
      </c>
      <c r="C2007" t="s">
        <v>2225</v>
      </c>
      <c r="D2007">
        <v>449</v>
      </c>
      <c r="E2007">
        <v>361</v>
      </c>
      <c r="F2007" t="s">
        <v>15</v>
      </c>
      <c r="G2007" t="s">
        <v>2202</v>
      </c>
    </row>
    <row r="2008" spans="1:7" x14ac:dyDescent="0.3">
      <c r="A2008">
        <v>2006</v>
      </c>
      <c r="B2008" t="s">
        <v>2226</v>
      </c>
      <c r="C2008" t="s">
        <v>2225</v>
      </c>
      <c r="D2008">
        <v>175</v>
      </c>
      <c r="E2008">
        <v>140</v>
      </c>
      <c r="F2008" t="s">
        <v>652</v>
      </c>
      <c r="G2008" t="s">
        <v>2202</v>
      </c>
    </row>
    <row r="2009" spans="1:7" x14ac:dyDescent="0.3">
      <c r="A2009">
        <v>2007</v>
      </c>
      <c r="B2009" t="s">
        <v>2226</v>
      </c>
      <c r="C2009" t="s">
        <v>2225</v>
      </c>
      <c r="D2009">
        <v>449</v>
      </c>
      <c r="E2009">
        <v>325</v>
      </c>
      <c r="F2009" t="s">
        <v>15</v>
      </c>
      <c r="G2009" t="s">
        <v>2202</v>
      </c>
    </row>
    <row r="2010" spans="1:7" x14ac:dyDescent="0.3">
      <c r="A2010">
        <v>2008</v>
      </c>
      <c r="B2010" t="s">
        <v>2227</v>
      </c>
      <c r="C2010" t="s">
        <v>2133</v>
      </c>
      <c r="D2010">
        <v>199</v>
      </c>
      <c r="E2010">
        <v>172</v>
      </c>
      <c r="F2010" t="s">
        <v>652</v>
      </c>
      <c r="G2010" t="s">
        <v>2202</v>
      </c>
    </row>
    <row r="2011" spans="1:7" x14ac:dyDescent="0.3">
      <c r="A2011">
        <v>2009</v>
      </c>
      <c r="B2011" t="s">
        <v>2228</v>
      </c>
      <c r="C2011" t="s">
        <v>2122</v>
      </c>
      <c r="D2011">
        <v>99</v>
      </c>
      <c r="E2011">
        <v>84</v>
      </c>
      <c r="F2011" t="s">
        <v>107</v>
      </c>
      <c r="G2011" t="s">
        <v>2202</v>
      </c>
    </row>
    <row r="2012" spans="1:7" x14ac:dyDescent="0.3">
      <c r="A2012">
        <v>2010</v>
      </c>
      <c r="B2012" t="s">
        <v>2229</v>
      </c>
      <c r="C2012" t="s">
        <v>2122</v>
      </c>
      <c r="D2012">
        <v>179</v>
      </c>
      <c r="E2012">
        <v>164</v>
      </c>
      <c r="F2012" t="s">
        <v>201</v>
      </c>
      <c r="G2012" t="s">
        <v>2202</v>
      </c>
    </row>
    <row r="2013" spans="1:7" x14ac:dyDescent="0.3">
      <c r="A2013">
        <v>2011</v>
      </c>
      <c r="B2013" t="s">
        <v>2230</v>
      </c>
      <c r="C2013" t="s">
        <v>1165</v>
      </c>
      <c r="D2013">
        <v>335</v>
      </c>
      <c r="E2013">
        <v>230</v>
      </c>
      <c r="F2013" t="s">
        <v>652</v>
      </c>
      <c r="G2013" t="s">
        <v>2202</v>
      </c>
    </row>
    <row r="2014" spans="1:7" x14ac:dyDescent="0.3">
      <c r="A2014">
        <v>2012</v>
      </c>
      <c r="B2014" t="s">
        <v>2231</v>
      </c>
      <c r="C2014" t="s">
        <v>482</v>
      </c>
      <c r="D2014">
        <v>310</v>
      </c>
      <c r="E2014">
        <v>155</v>
      </c>
      <c r="F2014" t="s">
        <v>2232</v>
      </c>
      <c r="G2014" t="s">
        <v>2202</v>
      </c>
    </row>
    <row r="2015" spans="1:7" x14ac:dyDescent="0.3">
      <c r="A2015">
        <v>2013</v>
      </c>
      <c r="B2015" t="s">
        <v>2233</v>
      </c>
      <c r="C2015" t="s">
        <v>2234</v>
      </c>
      <c r="D2015">
        <v>599</v>
      </c>
      <c r="E2015">
        <v>489</v>
      </c>
      <c r="F2015" t="s">
        <v>76</v>
      </c>
      <c r="G2015" t="s">
        <v>2202</v>
      </c>
    </row>
    <row r="2016" spans="1:7" x14ac:dyDescent="0.3">
      <c r="A2016">
        <v>2014</v>
      </c>
      <c r="B2016" t="s">
        <v>2235</v>
      </c>
      <c r="C2016" t="s">
        <v>2234</v>
      </c>
      <c r="D2016">
        <v>649</v>
      </c>
      <c r="E2016">
        <v>499</v>
      </c>
      <c r="F2016" t="s">
        <v>1067</v>
      </c>
      <c r="G2016" t="s">
        <v>2202</v>
      </c>
    </row>
    <row r="2017" spans="1:7" x14ac:dyDescent="0.3">
      <c r="A2017">
        <v>2015</v>
      </c>
      <c r="B2017" t="s">
        <v>2236</v>
      </c>
      <c r="C2017" t="s">
        <v>2237</v>
      </c>
      <c r="D2017">
        <v>120</v>
      </c>
      <c r="E2017">
        <v>111</v>
      </c>
      <c r="F2017" t="s">
        <v>107</v>
      </c>
      <c r="G2017" t="s">
        <v>1954</v>
      </c>
    </row>
    <row r="2018" spans="1:7" x14ac:dyDescent="0.3">
      <c r="A2018">
        <v>2016</v>
      </c>
      <c r="B2018" t="s">
        <v>2236</v>
      </c>
      <c r="C2018" t="s">
        <v>2237</v>
      </c>
      <c r="D2018">
        <v>240</v>
      </c>
      <c r="E2018">
        <v>205</v>
      </c>
      <c r="F2018" t="s">
        <v>9</v>
      </c>
      <c r="G2018" t="s">
        <v>1954</v>
      </c>
    </row>
    <row r="2019" spans="1:7" x14ac:dyDescent="0.3">
      <c r="A2019">
        <v>2017</v>
      </c>
      <c r="B2019" t="s">
        <v>2238</v>
      </c>
      <c r="C2019" t="s">
        <v>2237</v>
      </c>
      <c r="D2019">
        <v>365</v>
      </c>
      <c r="E2019">
        <v>295</v>
      </c>
      <c r="F2019" t="s">
        <v>76</v>
      </c>
      <c r="G2019" t="s">
        <v>2202</v>
      </c>
    </row>
    <row r="2020" spans="1:7" x14ac:dyDescent="0.3">
      <c r="A2020">
        <v>2018</v>
      </c>
      <c r="B2020" t="s">
        <v>2239</v>
      </c>
      <c r="C2020" t="s">
        <v>410</v>
      </c>
      <c r="D2020">
        <v>95</v>
      </c>
      <c r="E2020">
        <v>80</v>
      </c>
      <c r="F2020" t="s">
        <v>107</v>
      </c>
      <c r="G2020" t="s">
        <v>1510</v>
      </c>
    </row>
    <row r="2021" spans="1:7" x14ac:dyDescent="0.3">
      <c r="A2021">
        <v>2019</v>
      </c>
      <c r="B2021" t="s">
        <v>2240</v>
      </c>
      <c r="C2021" t="s">
        <v>133</v>
      </c>
      <c r="D2021">
        <v>275</v>
      </c>
      <c r="E2021">
        <v>137</v>
      </c>
      <c r="F2021" t="s">
        <v>9</v>
      </c>
      <c r="G2021" t="s">
        <v>2202</v>
      </c>
    </row>
    <row r="2022" spans="1:7" x14ac:dyDescent="0.3">
      <c r="A2022">
        <v>2020</v>
      </c>
      <c r="B2022" t="s">
        <v>2240</v>
      </c>
      <c r="C2022" t="s">
        <v>133</v>
      </c>
      <c r="D2022">
        <v>499</v>
      </c>
      <c r="E2022">
        <v>249</v>
      </c>
      <c r="F2022" t="s">
        <v>182</v>
      </c>
      <c r="G2022" t="s">
        <v>2202</v>
      </c>
    </row>
    <row r="2023" spans="1:7" x14ac:dyDescent="0.3">
      <c r="A2023">
        <v>2021</v>
      </c>
      <c r="B2023" t="s">
        <v>2241</v>
      </c>
      <c r="C2023" t="s">
        <v>113</v>
      </c>
      <c r="D2023">
        <v>240</v>
      </c>
      <c r="E2023">
        <v>120</v>
      </c>
      <c r="F2023" t="s">
        <v>9</v>
      </c>
      <c r="G2023" t="s">
        <v>2202</v>
      </c>
    </row>
    <row r="2024" spans="1:7" x14ac:dyDescent="0.3">
      <c r="A2024">
        <v>2022</v>
      </c>
      <c r="B2024" t="s">
        <v>2241</v>
      </c>
      <c r="C2024" t="s">
        <v>113</v>
      </c>
      <c r="D2024">
        <v>475</v>
      </c>
      <c r="E2024">
        <v>399</v>
      </c>
      <c r="F2024" t="s">
        <v>15</v>
      </c>
      <c r="G2024" t="s">
        <v>2202</v>
      </c>
    </row>
    <row r="2025" spans="1:7" x14ac:dyDescent="0.3">
      <c r="A2025">
        <v>2023</v>
      </c>
      <c r="B2025" t="s">
        <v>2242</v>
      </c>
      <c r="C2025" t="s">
        <v>2243</v>
      </c>
      <c r="D2025">
        <v>630</v>
      </c>
      <c r="E2025">
        <v>469</v>
      </c>
      <c r="F2025" t="s">
        <v>876</v>
      </c>
      <c r="G2025" t="s">
        <v>1510</v>
      </c>
    </row>
    <row r="2026" spans="1:7" x14ac:dyDescent="0.3">
      <c r="A2026">
        <v>2024</v>
      </c>
      <c r="B2026" t="s">
        <v>2244</v>
      </c>
      <c r="C2026" t="s">
        <v>70</v>
      </c>
      <c r="D2026">
        <v>150</v>
      </c>
      <c r="E2026">
        <v>125</v>
      </c>
      <c r="F2026" t="s">
        <v>107</v>
      </c>
      <c r="G2026" t="s">
        <v>2202</v>
      </c>
    </row>
    <row r="2027" spans="1:7" x14ac:dyDescent="0.3">
      <c r="A2027">
        <v>2025</v>
      </c>
      <c r="B2027" t="s">
        <v>2245</v>
      </c>
      <c r="C2027" t="s">
        <v>1285</v>
      </c>
      <c r="D2027">
        <v>410</v>
      </c>
      <c r="E2027">
        <v>310</v>
      </c>
      <c r="F2027" t="s">
        <v>15</v>
      </c>
      <c r="G2027" t="s">
        <v>2202</v>
      </c>
    </row>
    <row r="2028" spans="1:7" x14ac:dyDescent="0.3">
      <c r="A2028">
        <v>2026</v>
      </c>
      <c r="B2028" t="s">
        <v>2246</v>
      </c>
      <c r="C2028" t="s">
        <v>475</v>
      </c>
      <c r="D2028">
        <v>195</v>
      </c>
      <c r="E2028">
        <v>175</v>
      </c>
      <c r="F2028" t="s">
        <v>107</v>
      </c>
      <c r="G2028" t="s">
        <v>2202</v>
      </c>
    </row>
    <row r="2029" spans="1:7" x14ac:dyDescent="0.3">
      <c r="A2029">
        <v>2027</v>
      </c>
      <c r="B2029" t="s">
        <v>2247</v>
      </c>
      <c r="C2029" t="s">
        <v>2122</v>
      </c>
      <c r="D2029">
        <v>265</v>
      </c>
      <c r="E2029">
        <v>179</v>
      </c>
      <c r="F2029" t="s">
        <v>1899</v>
      </c>
      <c r="G2029" t="s">
        <v>2202</v>
      </c>
    </row>
    <row r="2030" spans="1:7" x14ac:dyDescent="0.3">
      <c r="A2030">
        <v>2028</v>
      </c>
      <c r="B2030" t="s">
        <v>2247</v>
      </c>
      <c r="C2030" t="s">
        <v>2122</v>
      </c>
      <c r="D2030">
        <v>45</v>
      </c>
      <c r="E2030">
        <v>39</v>
      </c>
      <c r="F2030" t="s">
        <v>11</v>
      </c>
      <c r="G2030" t="s">
        <v>2202</v>
      </c>
    </row>
    <row r="2031" spans="1:7" x14ac:dyDescent="0.3">
      <c r="A2031">
        <v>2029</v>
      </c>
      <c r="B2031" t="s">
        <v>2248</v>
      </c>
      <c r="C2031" t="s">
        <v>2133</v>
      </c>
      <c r="D2031">
        <v>265</v>
      </c>
      <c r="E2031">
        <v>169</v>
      </c>
      <c r="F2031" t="s">
        <v>2249</v>
      </c>
      <c r="G2031" t="s">
        <v>2202</v>
      </c>
    </row>
    <row r="2032" spans="1:7" x14ac:dyDescent="0.3">
      <c r="A2032">
        <v>2030</v>
      </c>
      <c r="B2032" t="s">
        <v>2248</v>
      </c>
      <c r="C2032" t="s">
        <v>2133</v>
      </c>
      <c r="D2032">
        <v>89</v>
      </c>
      <c r="E2032">
        <v>82</v>
      </c>
      <c r="F2032" t="s">
        <v>107</v>
      </c>
      <c r="G2032" t="s">
        <v>2202</v>
      </c>
    </row>
    <row r="2033" spans="1:7" x14ac:dyDescent="0.3">
      <c r="A2033">
        <v>2031</v>
      </c>
      <c r="B2033" t="s">
        <v>2248</v>
      </c>
      <c r="C2033" t="s">
        <v>2133</v>
      </c>
      <c r="D2033">
        <v>149</v>
      </c>
      <c r="E2033">
        <v>137</v>
      </c>
      <c r="F2033" t="s">
        <v>9</v>
      </c>
      <c r="G2033" t="s">
        <v>2202</v>
      </c>
    </row>
    <row r="2034" spans="1:7" x14ac:dyDescent="0.3">
      <c r="A2034">
        <v>2032</v>
      </c>
      <c r="B2034" t="s">
        <v>2250</v>
      </c>
      <c r="C2034" t="s">
        <v>1653</v>
      </c>
      <c r="D2034">
        <v>199</v>
      </c>
      <c r="E2034">
        <v>99</v>
      </c>
      <c r="F2034" t="s">
        <v>1413</v>
      </c>
      <c r="G2034" t="s">
        <v>2202</v>
      </c>
    </row>
    <row r="2035" spans="1:7" x14ac:dyDescent="0.3">
      <c r="A2035">
        <v>2033</v>
      </c>
      <c r="B2035" t="s">
        <v>2251</v>
      </c>
      <c r="C2035" t="s">
        <v>2252</v>
      </c>
      <c r="D2035">
        <v>185</v>
      </c>
      <c r="E2035">
        <v>160</v>
      </c>
      <c r="F2035" t="s">
        <v>1413</v>
      </c>
      <c r="G2035" t="s">
        <v>2202</v>
      </c>
    </row>
    <row r="2036" spans="1:7" x14ac:dyDescent="0.3">
      <c r="A2036">
        <v>2034</v>
      </c>
      <c r="B2036" t="s">
        <v>2253</v>
      </c>
      <c r="C2036" t="s">
        <v>393</v>
      </c>
      <c r="D2036">
        <v>219</v>
      </c>
      <c r="E2036">
        <v>149</v>
      </c>
      <c r="F2036" t="s">
        <v>254</v>
      </c>
      <c r="G2036" t="s">
        <v>2202</v>
      </c>
    </row>
    <row r="2037" spans="1:7" x14ac:dyDescent="0.3">
      <c r="A2037">
        <v>2035</v>
      </c>
      <c r="B2037" t="s">
        <v>2248</v>
      </c>
      <c r="C2037" t="s">
        <v>2133</v>
      </c>
      <c r="D2037">
        <v>50</v>
      </c>
      <c r="E2037">
        <v>42</v>
      </c>
      <c r="F2037" t="s">
        <v>715</v>
      </c>
      <c r="G2037" t="s">
        <v>2202</v>
      </c>
    </row>
    <row r="2038" spans="1:7" x14ac:dyDescent="0.3">
      <c r="A2038">
        <v>2036</v>
      </c>
      <c r="B2038" t="s">
        <v>2254</v>
      </c>
      <c r="C2038" t="s">
        <v>2133</v>
      </c>
      <c r="D2038">
        <v>89</v>
      </c>
      <c r="E2038">
        <v>73</v>
      </c>
      <c r="F2038" t="s">
        <v>107</v>
      </c>
      <c r="G2038" t="s">
        <v>2202</v>
      </c>
    </row>
    <row r="2039" spans="1:7" x14ac:dyDescent="0.3">
      <c r="A2039">
        <v>2037</v>
      </c>
      <c r="B2039" t="s">
        <v>2251</v>
      </c>
      <c r="C2039" t="s">
        <v>2252</v>
      </c>
      <c r="D2039">
        <v>90</v>
      </c>
      <c r="E2039">
        <v>79</v>
      </c>
      <c r="F2039" t="s">
        <v>1512</v>
      </c>
      <c r="G2039" t="s">
        <v>2202</v>
      </c>
    </row>
    <row r="2040" spans="1:7" x14ac:dyDescent="0.3">
      <c r="A2040">
        <v>2038</v>
      </c>
      <c r="B2040" t="s">
        <v>2255</v>
      </c>
      <c r="C2040" t="s">
        <v>2133</v>
      </c>
      <c r="D2040">
        <v>89</v>
      </c>
      <c r="E2040">
        <v>80</v>
      </c>
      <c r="F2040" t="s">
        <v>107</v>
      </c>
      <c r="G2040" t="s">
        <v>2202</v>
      </c>
    </row>
    <row r="2041" spans="1:7" x14ac:dyDescent="0.3">
      <c r="A2041">
        <v>2039</v>
      </c>
      <c r="B2041" t="s">
        <v>2256</v>
      </c>
      <c r="C2041" t="s">
        <v>1653</v>
      </c>
      <c r="D2041">
        <v>199</v>
      </c>
      <c r="E2041">
        <v>134</v>
      </c>
      <c r="F2041" t="s">
        <v>201</v>
      </c>
      <c r="G2041" t="s">
        <v>2202</v>
      </c>
    </row>
    <row r="2042" spans="1:7" x14ac:dyDescent="0.3">
      <c r="A2042">
        <v>2040</v>
      </c>
      <c r="B2042" t="s">
        <v>2257</v>
      </c>
      <c r="C2042" t="s">
        <v>2122</v>
      </c>
      <c r="D2042">
        <v>175</v>
      </c>
      <c r="E2042">
        <v>139</v>
      </c>
      <c r="F2042" t="s">
        <v>1371</v>
      </c>
      <c r="G2042" t="s">
        <v>2202</v>
      </c>
    </row>
    <row r="2043" spans="1:7" x14ac:dyDescent="0.3">
      <c r="A2043">
        <v>2041</v>
      </c>
      <c r="B2043" t="s">
        <v>2258</v>
      </c>
      <c r="C2043" t="s">
        <v>2122</v>
      </c>
      <c r="D2043">
        <v>89</v>
      </c>
      <c r="E2043">
        <v>65</v>
      </c>
      <c r="F2043" t="s">
        <v>107</v>
      </c>
      <c r="G2043" t="s">
        <v>2202</v>
      </c>
    </row>
    <row r="2044" spans="1:7" x14ac:dyDescent="0.3">
      <c r="A2044">
        <v>2042</v>
      </c>
      <c r="B2044" t="s">
        <v>2259</v>
      </c>
      <c r="C2044" t="s">
        <v>2122</v>
      </c>
      <c r="D2044">
        <v>175</v>
      </c>
      <c r="E2044">
        <v>148</v>
      </c>
      <c r="F2044" t="s">
        <v>1371</v>
      </c>
      <c r="G2044" t="s">
        <v>2202</v>
      </c>
    </row>
    <row r="2045" spans="1:7" x14ac:dyDescent="0.3">
      <c r="A2045">
        <v>2043</v>
      </c>
      <c r="B2045" t="s">
        <v>2260</v>
      </c>
      <c r="C2045" t="s">
        <v>2122</v>
      </c>
      <c r="D2045">
        <v>155</v>
      </c>
      <c r="E2045">
        <v>142</v>
      </c>
      <c r="F2045" t="s">
        <v>1371</v>
      </c>
      <c r="G2045" t="s">
        <v>2202</v>
      </c>
    </row>
    <row r="2046" spans="1:7" x14ac:dyDescent="0.3">
      <c r="A2046">
        <v>2044</v>
      </c>
      <c r="B2046" t="s">
        <v>2261</v>
      </c>
      <c r="C2046" t="s">
        <v>2122</v>
      </c>
      <c r="D2046">
        <v>175</v>
      </c>
      <c r="E2046">
        <v>160</v>
      </c>
      <c r="F2046" t="s">
        <v>1371</v>
      </c>
      <c r="G2046" t="s">
        <v>2202</v>
      </c>
    </row>
    <row r="2047" spans="1:7" x14ac:dyDescent="0.3">
      <c r="A2047">
        <v>2045</v>
      </c>
      <c r="B2047" t="s">
        <v>2262</v>
      </c>
      <c r="C2047" t="s">
        <v>2133</v>
      </c>
      <c r="D2047">
        <v>89</v>
      </c>
      <c r="E2047">
        <v>75</v>
      </c>
      <c r="F2047" t="s">
        <v>2134</v>
      </c>
      <c r="G2047" t="s">
        <v>2202</v>
      </c>
    </row>
    <row r="2048" spans="1:7" x14ac:dyDescent="0.3">
      <c r="A2048">
        <v>2046</v>
      </c>
      <c r="B2048" t="s">
        <v>2263</v>
      </c>
      <c r="C2048" t="s">
        <v>2122</v>
      </c>
      <c r="D2048">
        <v>141</v>
      </c>
      <c r="E2048">
        <v>111</v>
      </c>
      <c r="F2048" t="s">
        <v>1371</v>
      </c>
      <c r="G2048" t="s">
        <v>2202</v>
      </c>
    </row>
    <row r="2049" spans="1:7" x14ac:dyDescent="0.3">
      <c r="A2049">
        <v>2047</v>
      </c>
      <c r="B2049" t="s">
        <v>2264</v>
      </c>
      <c r="C2049" t="s">
        <v>2122</v>
      </c>
      <c r="D2049">
        <v>135</v>
      </c>
      <c r="E2049">
        <v>105</v>
      </c>
      <c r="F2049" t="s">
        <v>652</v>
      </c>
      <c r="G2049" t="s">
        <v>2202</v>
      </c>
    </row>
    <row r="2050" spans="1:7" x14ac:dyDescent="0.3">
      <c r="A2050">
        <v>2048</v>
      </c>
      <c r="B2050" t="s">
        <v>2265</v>
      </c>
      <c r="C2050" t="s">
        <v>2122</v>
      </c>
      <c r="D2050">
        <v>99</v>
      </c>
      <c r="E2050">
        <v>82</v>
      </c>
      <c r="F2050" t="s">
        <v>107</v>
      </c>
      <c r="G2050" t="s">
        <v>2202</v>
      </c>
    </row>
    <row r="2051" spans="1:7" x14ac:dyDescent="0.3">
      <c r="A2051">
        <v>2049</v>
      </c>
      <c r="B2051" t="s">
        <v>2266</v>
      </c>
      <c r="C2051" t="s">
        <v>2154</v>
      </c>
      <c r="D2051">
        <v>165</v>
      </c>
      <c r="E2051">
        <v>130</v>
      </c>
      <c r="F2051" t="s">
        <v>2267</v>
      </c>
      <c r="G2051" t="s">
        <v>2202</v>
      </c>
    </row>
    <row r="2052" spans="1:7" x14ac:dyDescent="0.3">
      <c r="A2052">
        <v>2050</v>
      </c>
      <c r="B2052" t="s">
        <v>2268</v>
      </c>
      <c r="C2052" t="s">
        <v>1653</v>
      </c>
      <c r="D2052">
        <v>99</v>
      </c>
      <c r="E2052">
        <v>75</v>
      </c>
      <c r="F2052" t="s">
        <v>1015</v>
      </c>
      <c r="G2052" t="s">
        <v>2202</v>
      </c>
    </row>
    <row r="2053" spans="1:7" x14ac:dyDescent="0.3">
      <c r="A2053">
        <v>2051</v>
      </c>
      <c r="B2053" t="s">
        <v>2269</v>
      </c>
      <c r="C2053" t="s">
        <v>2270</v>
      </c>
      <c r="D2053">
        <v>350</v>
      </c>
      <c r="E2053">
        <v>299</v>
      </c>
      <c r="F2053" t="s">
        <v>2271</v>
      </c>
      <c r="G2053" t="s">
        <v>2202</v>
      </c>
    </row>
    <row r="2054" spans="1:7" x14ac:dyDescent="0.3">
      <c r="A2054">
        <v>2052</v>
      </c>
      <c r="B2054" t="s">
        <v>2272</v>
      </c>
      <c r="C2054" t="s">
        <v>2270</v>
      </c>
      <c r="D2054">
        <v>350</v>
      </c>
      <c r="E2054">
        <v>299</v>
      </c>
      <c r="F2054" t="s">
        <v>2271</v>
      </c>
      <c r="G2054" t="s">
        <v>2202</v>
      </c>
    </row>
    <row r="2055" spans="1:7" x14ac:dyDescent="0.3">
      <c r="A2055">
        <v>2053</v>
      </c>
      <c r="B2055" t="s">
        <v>2273</v>
      </c>
      <c r="C2055" t="s">
        <v>2270</v>
      </c>
      <c r="D2055">
        <v>350</v>
      </c>
      <c r="E2055">
        <v>299</v>
      </c>
      <c r="F2055" t="s">
        <v>2271</v>
      </c>
      <c r="G2055" t="s">
        <v>2202</v>
      </c>
    </row>
    <row r="2056" spans="1:7" x14ac:dyDescent="0.3">
      <c r="A2056">
        <v>2054</v>
      </c>
      <c r="B2056" t="s">
        <v>2274</v>
      </c>
      <c r="C2056" t="s">
        <v>2213</v>
      </c>
      <c r="D2056">
        <v>325</v>
      </c>
      <c r="E2056">
        <v>269</v>
      </c>
      <c r="F2056" t="s">
        <v>1847</v>
      </c>
      <c r="G2056" t="s">
        <v>2202</v>
      </c>
    </row>
    <row r="2057" spans="1:7" x14ac:dyDescent="0.3">
      <c r="A2057">
        <v>2055</v>
      </c>
      <c r="B2057" t="s">
        <v>2275</v>
      </c>
      <c r="C2057" t="s">
        <v>663</v>
      </c>
      <c r="D2057">
        <v>140</v>
      </c>
      <c r="E2057">
        <v>120</v>
      </c>
      <c r="F2057" t="s">
        <v>2276</v>
      </c>
      <c r="G2057" t="s">
        <v>2277</v>
      </c>
    </row>
    <row r="2058" spans="1:7" x14ac:dyDescent="0.3">
      <c r="A2058">
        <v>2056</v>
      </c>
      <c r="B2058" t="s">
        <v>2275</v>
      </c>
      <c r="C2058" t="s">
        <v>663</v>
      </c>
      <c r="D2058">
        <v>94</v>
      </c>
      <c r="E2058">
        <v>73</v>
      </c>
      <c r="F2058" t="s">
        <v>2232</v>
      </c>
      <c r="G2058" t="s">
        <v>2277</v>
      </c>
    </row>
    <row r="2059" spans="1:7" x14ac:dyDescent="0.3">
      <c r="A2059">
        <v>2057</v>
      </c>
      <c r="B2059" t="s">
        <v>2278</v>
      </c>
      <c r="C2059" t="s">
        <v>1354</v>
      </c>
      <c r="D2059">
        <v>105</v>
      </c>
      <c r="E2059">
        <v>79</v>
      </c>
      <c r="F2059" t="s">
        <v>2279</v>
      </c>
      <c r="G2059" t="s">
        <v>2277</v>
      </c>
    </row>
    <row r="2060" spans="1:7" x14ac:dyDescent="0.3">
      <c r="A2060">
        <v>2058</v>
      </c>
      <c r="B2060" t="s">
        <v>2280</v>
      </c>
      <c r="C2060" t="s">
        <v>2281</v>
      </c>
      <c r="D2060">
        <v>105</v>
      </c>
      <c r="E2060">
        <v>70</v>
      </c>
      <c r="F2060" t="s">
        <v>2282</v>
      </c>
      <c r="G2060" t="s">
        <v>2277</v>
      </c>
    </row>
    <row r="2061" spans="1:7" x14ac:dyDescent="0.3">
      <c r="A2061">
        <v>2059</v>
      </c>
      <c r="B2061" t="s">
        <v>2283</v>
      </c>
      <c r="C2061" t="s">
        <v>663</v>
      </c>
      <c r="D2061">
        <v>110</v>
      </c>
      <c r="E2061">
        <v>98</v>
      </c>
      <c r="F2061" t="s">
        <v>2232</v>
      </c>
      <c r="G2061" t="s">
        <v>2277</v>
      </c>
    </row>
    <row r="2062" spans="1:7" x14ac:dyDescent="0.3">
      <c r="A2062">
        <v>2060</v>
      </c>
      <c r="B2062" t="s">
        <v>2284</v>
      </c>
      <c r="C2062" t="s">
        <v>2285</v>
      </c>
      <c r="D2062">
        <v>100</v>
      </c>
      <c r="E2062">
        <v>70</v>
      </c>
      <c r="F2062" t="s">
        <v>2140</v>
      </c>
      <c r="G2062" t="s">
        <v>2277</v>
      </c>
    </row>
    <row r="2063" spans="1:7" x14ac:dyDescent="0.3">
      <c r="A2063">
        <v>2061</v>
      </c>
      <c r="B2063" t="s">
        <v>2286</v>
      </c>
      <c r="C2063" t="s">
        <v>663</v>
      </c>
      <c r="D2063">
        <v>20</v>
      </c>
      <c r="E2063">
        <v>18</v>
      </c>
      <c r="F2063" t="s">
        <v>1697</v>
      </c>
      <c r="G2063" t="s">
        <v>2277</v>
      </c>
    </row>
    <row r="2064" spans="1:7" x14ac:dyDescent="0.3">
      <c r="A2064">
        <v>2062</v>
      </c>
      <c r="B2064" t="s">
        <v>2287</v>
      </c>
      <c r="C2064" t="s">
        <v>663</v>
      </c>
      <c r="D2064">
        <v>18</v>
      </c>
      <c r="E2064">
        <v>16</v>
      </c>
      <c r="F2064" t="s">
        <v>1697</v>
      </c>
      <c r="G2064" t="s">
        <v>2277</v>
      </c>
    </row>
    <row r="2065" spans="1:7" x14ac:dyDescent="0.3">
      <c r="A2065">
        <v>2063</v>
      </c>
      <c r="B2065" t="s">
        <v>2288</v>
      </c>
      <c r="C2065" t="s">
        <v>2289</v>
      </c>
      <c r="D2065">
        <v>12</v>
      </c>
      <c r="E2065">
        <v>11</v>
      </c>
      <c r="F2065" t="s">
        <v>709</v>
      </c>
      <c r="G2065" t="s">
        <v>2277</v>
      </c>
    </row>
    <row r="2066" spans="1:7" x14ac:dyDescent="0.3">
      <c r="A2066">
        <v>2064</v>
      </c>
      <c r="B2066" t="s">
        <v>2288</v>
      </c>
      <c r="C2066" t="s">
        <v>2289</v>
      </c>
      <c r="D2066">
        <v>53</v>
      </c>
      <c r="E2066">
        <v>49</v>
      </c>
      <c r="F2066" t="s">
        <v>2082</v>
      </c>
      <c r="G2066" t="s">
        <v>2277</v>
      </c>
    </row>
    <row r="2067" spans="1:7" x14ac:dyDescent="0.3">
      <c r="A2067">
        <v>2065</v>
      </c>
      <c r="B2067" t="s">
        <v>2288</v>
      </c>
      <c r="C2067" t="s">
        <v>2289</v>
      </c>
      <c r="D2067">
        <v>78</v>
      </c>
      <c r="E2067">
        <v>52</v>
      </c>
      <c r="F2067" t="s">
        <v>1834</v>
      </c>
      <c r="G2067" t="s">
        <v>2277</v>
      </c>
    </row>
    <row r="2068" spans="1:7" x14ac:dyDescent="0.3">
      <c r="A2068">
        <v>2066</v>
      </c>
      <c r="B2068" t="s">
        <v>2290</v>
      </c>
      <c r="C2068" t="s">
        <v>726</v>
      </c>
      <c r="D2068">
        <v>60</v>
      </c>
      <c r="E2068">
        <v>39</v>
      </c>
      <c r="F2068" t="s">
        <v>2082</v>
      </c>
      <c r="G2068" t="s">
        <v>2277</v>
      </c>
    </row>
    <row r="2069" spans="1:7" x14ac:dyDescent="0.3">
      <c r="A2069">
        <v>2067</v>
      </c>
      <c r="B2069" t="s">
        <v>2291</v>
      </c>
      <c r="C2069" t="s">
        <v>726</v>
      </c>
      <c r="D2069">
        <v>60</v>
      </c>
      <c r="E2069">
        <v>39</v>
      </c>
      <c r="F2069" t="s">
        <v>2082</v>
      </c>
      <c r="G2069" t="s">
        <v>2277</v>
      </c>
    </row>
    <row r="2070" spans="1:7" x14ac:dyDescent="0.3">
      <c r="A2070">
        <v>2068</v>
      </c>
      <c r="B2070" t="s">
        <v>2292</v>
      </c>
      <c r="C2070" t="s">
        <v>113</v>
      </c>
      <c r="D2070">
        <v>80</v>
      </c>
      <c r="E2070">
        <v>40</v>
      </c>
      <c r="F2070" t="s">
        <v>2293</v>
      </c>
      <c r="G2070" t="s">
        <v>2277</v>
      </c>
    </row>
    <row r="2071" spans="1:7" x14ac:dyDescent="0.3">
      <c r="A2071">
        <v>2069</v>
      </c>
      <c r="B2071" t="s">
        <v>2294</v>
      </c>
      <c r="C2071" t="s">
        <v>726</v>
      </c>
      <c r="D2071">
        <v>60</v>
      </c>
      <c r="E2071">
        <v>39</v>
      </c>
      <c r="F2071" t="s">
        <v>2082</v>
      </c>
      <c r="G2071" t="s">
        <v>2277</v>
      </c>
    </row>
    <row r="2072" spans="1:7" x14ac:dyDescent="0.3">
      <c r="A2072">
        <v>2070</v>
      </c>
      <c r="B2072" t="s">
        <v>2295</v>
      </c>
      <c r="C2072" t="s">
        <v>2296</v>
      </c>
      <c r="D2072">
        <v>40</v>
      </c>
      <c r="E2072">
        <v>20</v>
      </c>
      <c r="F2072" t="s">
        <v>188</v>
      </c>
      <c r="G2072" t="s">
        <v>2277</v>
      </c>
    </row>
    <row r="2073" spans="1:7" x14ac:dyDescent="0.3">
      <c r="A2073">
        <v>2071</v>
      </c>
      <c r="B2073" t="s">
        <v>2292</v>
      </c>
      <c r="C2073" t="s">
        <v>113</v>
      </c>
      <c r="D2073">
        <v>20</v>
      </c>
      <c r="E2073">
        <v>12</v>
      </c>
      <c r="F2073" t="s">
        <v>2297</v>
      </c>
      <c r="G2073" t="s">
        <v>2277</v>
      </c>
    </row>
    <row r="2074" spans="1:7" x14ac:dyDescent="0.3">
      <c r="A2074">
        <v>2072</v>
      </c>
      <c r="B2074" t="s">
        <v>2298</v>
      </c>
      <c r="C2074" t="s">
        <v>2299</v>
      </c>
      <c r="D2074">
        <v>109</v>
      </c>
      <c r="E2074">
        <v>89</v>
      </c>
      <c r="F2074" t="s">
        <v>715</v>
      </c>
      <c r="G2074" t="s">
        <v>2277</v>
      </c>
    </row>
    <row r="2075" spans="1:7" x14ac:dyDescent="0.3">
      <c r="A2075">
        <v>2073</v>
      </c>
      <c r="B2075" t="s">
        <v>2300</v>
      </c>
      <c r="C2075" t="s">
        <v>2299</v>
      </c>
      <c r="D2075">
        <v>109</v>
      </c>
      <c r="E2075">
        <v>89</v>
      </c>
      <c r="F2075" t="s">
        <v>715</v>
      </c>
      <c r="G2075" t="s">
        <v>2277</v>
      </c>
    </row>
    <row r="2076" spans="1:7" x14ac:dyDescent="0.3">
      <c r="A2076">
        <v>2074</v>
      </c>
      <c r="B2076" t="s">
        <v>2301</v>
      </c>
      <c r="C2076" t="s">
        <v>2299</v>
      </c>
      <c r="D2076">
        <v>109</v>
      </c>
      <c r="E2076">
        <v>89</v>
      </c>
      <c r="F2076" t="s">
        <v>715</v>
      </c>
      <c r="G2076" t="s">
        <v>2277</v>
      </c>
    </row>
    <row r="2077" spans="1:7" x14ac:dyDescent="0.3">
      <c r="A2077">
        <v>2075</v>
      </c>
      <c r="B2077" t="s">
        <v>2302</v>
      </c>
      <c r="C2077" t="s">
        <v>2303</v>
      </c>
      <c r="D2077">
        <v>129</v>
      </c>
      <c r="E2077">
        <v>64</v>
      </c>
      <c r="F2077" t="s">
        <v>2304</v>
      </c>
      <c r="G2077" t="s">
        <v>2277</v>
      </c>
    </row>
    <row r="2078" spans="1:7" x14ac:dyDescent="0.3">
      <c r="A2078">
        <v>2076</v>
      </c>
      <c r="B2078" t="s">
        <v>2305</v>
      </c>
      <c r="C2078" t="s">
        <v>2303</v>
      </c>
      <c r="D2078">
        <v>129</v>
      </c>
      <c r="E2078">
        <v>64</v>
      </c>
      <c r="F2078" t="s">
        <v>2304</v>
      </c>
      <c r="G2078" t="s">
        <v>2277</v>
      </c>
    </row>
    <row r="2079" spans="1:7" x14ac:dyDescent="0.3">
      <c r="A2079">
        <v>2077</v>
      </c>
      <c r="B2079" t="s">
        <v>2306</v>
      </c>
      <c r="C2079" t="s">
        <v>663</v>
      </c>
      <c r="D2079">
        <v>14</v>
      </c>
      <c r="E2079">
        <v>13</v>
      </c>
      <c r="F2079" t="s">
        <v>1697</v>
      </c>
      <c r="G2079" t="s">
        <v>2277</v>
      </c>
    </row>
    <row r="2080" spans="1:7" x14ac:dyDescent="0.3">
      <c r="A2080">
        <v>2078</v>
      </c>
      <c r="B2080" t="s">
        <v>2306</v>
      </c>
      <c r="C2080" t="s">
        <v>663</v>
      </c>
      <c r="D2080">
        <v>55</v>
      </c>
      <c r="E2080">
        <v>49</v>
      </c>
      <c r="F2080" t="s">
        <v>2140</v>
      </c>
      <c r="G2080" t="s">
        <v>2277</v>
      </c>
    </row>
    <row r="2081" spans="1:7" x14ac:dyDescent="0.3">
      <c r="A2081">
        <v>2079</v>
      </c>
      <c r="B2081" t="s">
        <v>2306</v>
      </c>
      <c r="C2081" t="s">
        <v>663</v>
      </c>
      <c r="D2081">
        <v>82</v>
      </c>
      <c r="E2081">
        <v>72</v>
      </c>
      <c r="F2081" t="s">
        <v>1816</v>
      </c>
      <c r="G2081" t="s">
        <v>2277</v>
      </c>
    </row>
    <row r="2082" spans="1:7" x14ac:dyDescent="0.3">
      <c r="A2082">
        <v>2080</v>
      </c>
      <c r="B2082" t="s">
        <v>2306</v>
      </c>
      <c r="C2082" t="s">
        <v>663</v>
      </c>
      <c r="D2082">
        <v>109</v>
      </c>
      <c r="E2082">
        <v>92</v>
      </c>
      <c r="F2082" t="s">
        <v>2307</v>
      </c>
      <c r="G2082" t="s">
        <v>2277</v>
      </c>
    </row>
    <row r="2083" spans="1:7" x14ac:dyDescent="0.3">
      <c r="A2083">
        <v>2081</v>
      </c>
      <c r="B2083" t="s">
        <v>2308</v>
      </c>
      <c r="C2083" t="s">
        <v>726</v>
      </c>
      <c r="D2083">
        <v>30</v>
      </c>
      <c r="E2083">
        <v>25</v>
      </c>
      <c r="F2083" t="s">
        <v>913</v>
      </c>
      <c r="G2083" t="s">
        <v>2277</v>
      </c>
    </row>
    <row r="2084" spans="1:7" x14ac:dyDescent="0.3">
      <c r="A2084">
        <v>2082</v>
      </c>
      <c r="B2084" t="s">
        <v>2309</v>
      </c>
      <c r="C2084" t="s">
        <v>2296</v>
      </c>
      <c r="D2084">
        <v>220</v>
      </c>
      <c r="E2084">
        <v>110</v>
      </c>
      <c r="F2084" t="s">
        <v>254</v>
      </c>
      <c r="G2084" t="s">
        <v>2277</v>
      </c>
    </row>
    <row r="2085" spans="1:7" x14ac:dyDescent="0.3">
      <c r="A2085">
        <v>2083</v>
      </c>
      <c r="B2085" t="s">
        <v>2310</v>
      </c>
      <c r="C2085" t="s">
        <v>396</v>
      </c>
      <c r="D2085">
        <v>299</v>
      </c>
      <c r="E2085">
        <v>125</v>
      </c>
      <c r="F2085" t="s">
        <v>9</v>
      </c>
      <c r="G2085" t="s">
        <v>2277</v>
      </c>
    </row>
    <row r="2086" spans="1:7" x14ac:dyDescent="0.3">
      <c r="A2086">
        <v>2084</v>
      </c>
      <c r="B2086" t="s">
        <v>2311</v>
      </c>
      <c r="C2086" t="s">
        <v>396</v>
      </c>
      <c r="D2086">
        <v>299</v>
      </c>
      <c r="E2086">
        <v>149</v>
      </c>
      <c r="F2086" t="s">
        <v>9</v>
      </c>
      <c r="G2086" t="s">
        <v>2277</v>
      </c>
    </row>
    <row r="2087" spans="1:7" x14ac:dyDescent="0.3">
      <c r="A2087">
        <v>2085</v>
      </c>
      <c r="B2087" t="s">
        <v>2312</v>
      </c>
      <c r="C2087" t="s">
        <v>663</v>
      </c>
      <c r="D2087">
        <v>28</v>
      </c>
      <c r="E2087">
        <v>25</v>
      </c>
      <c r="F2087" t="s">
        <v>1697</v>
      </c>
      <c r="G2087" t="s">
        <v>2277</v>
      </c>
    </row>
    <row r="2088" spans="1:7" x14ac:dyDescent="0.3">
      <c r="A2088">
        <v>2086</v>
      </c>
      <c r="B2088" t="s">
        <v>2313</v>
      </c>
      <c r="C2088" t="s">
        <v>396</v>
      </c>
      <c r="D2088">
        <v>299</v>
      </c>
      <c r="E2088">
        <v>149</v>
      </c>
      <c r="F2088" t="s">
        <v>9</v>
      </c>
      <c r="G2088" t="s">
        <v>2277</v>
      </c>
    </row>
    <row r="2089" spans="1:7" x14ac:dyDescent="0.3">
      <c r="A2089">
        <v>2087</v>
      </c>
      <c r="B2089" t="s">
        <v>2314</v>
      </c>
      <c r="C2089" t="s">
        <v>518</v>
      </c>
      <c r="D2089">
        <v>135</v>
      </c>
      <c r="E2089">
        <v>67</v>
      </c>
      <c r="F2089" t="s">
        <v>9</v>
      </c>
      <c r="G2089" t="s">
        <v>2277</v>
      </c>
    </row>
    <row r="2090" spans="1:7" x14ac:dyDescent="0.3">
      <c r="A2090">
        <v>2088</v>
      </c>
      <c r="B2090" t="s">
        <v>2315</v>
      </c>
      <c r="C2090" t="s">
        <v>663</v>
      </c>
      <c r="D2090">
        <v>28</v>
      </c>
      <c r="E2090">
        <v>26</v>
      </c>
      <c r="F2090" t="s">
        <v>1805</v>
      </c>
      <c r="G2090" t="s">
        <v>2277</v>
      </c>
    </row>
    <row r="2091" spans="1:7" x14ac:dyDescent="0.3">
      <c r="A2091">
        <v>2089</v>
      </c>
      <c r="B2091" t="s">
        <v>2316</v>
      </c>
      <c r="C2091" t="s">
        <v>518</v>
      </c>
      <c r="D2091">
        <v>135</v>
      </c>
      <c r="E2091">
        <v>67</v>
      </c>
      <c r="F2091" t="s">
        <v>9</v>
      </c>
      <c r="G2091" t="s">
        <v>2277</v>
      </c>
    </row>
    <row r="2092" spans="1:7" x14ac:dyDescent="0.3">
      <c r="A2092">
        <v>2090</v>
      </c>
      <c r="B2092" t="s">
        <v>2317</v>
      </c>
      <c r="C2092" t="s">
        <v>2318</v>
      </c>
      <c r="D2092">
        <v>75</v>
      </c>
      <c r="E2092">
        <v>55</v>
      </c>
      <c r="F2092" t="s">
        <v>1895</v>
      </c>
      <c r="G2092" t="s">
        <v>2277</v>
      </c>
    </row>
    <row r="2093" spans="1:7" x14ac:dyDescent="0.3">
      <c r="A2093">
        <v>2091</v>
      </c>
      <c r="B2093" t="s">
        <v>2319</v>
      </c>
      <c r="C2093" t="s">
        <v>396</v>
      </c>
      <c r="D2093">
        <v>250</v>
      </c>
      <c r="E2093">
        <v>125</v>
      </c>
      <c r="F2093" t="s">
        <v>9</v>
      </c>
      <c r="G2093" t="s">
        <v>2277</v>
      </c>
    </row>
    <row r="2094" spans="1:7" x14ac:dyDescent="0.3">
      <c r="A2094">
        <v>2092</v>
      </c>
      <c r="B2094" t="s">
        <v>2320</v>
      </c>
      <c r="C2094" t="s">
        <v>518</v>
      </c>
      <c r="D2094">
        <v>135</v>
      </c>
      <c r="E2094">
        <v>67</v>
      </c>
      <c r="F2094" t="s">
        <v>9</v>
      </c>
      <c r="G2094" t="s">
        <v>2277</v>
      </c>
    </row>
    <row r="2095" spans="1:7" x14ac:dyDescent="0.3">
      <c r="A2095">
        <v>2093</v>
      </c>
      <c r="B2095" t="s">
        <v>2321</v>
      </c>
      <c r="C2095" t="s">
        <v>1354</v>
      </c>
      <c r="D2095">
        <v>28</v>
      </c>
      <c r="E2095">
        <v>24</v>
      </c>
      <c r="F2095" t="s">
        <v>1805</v>
      </c>
      <c r="G2095" t="s">
        <v>2277</v>
      </c>
    </row>
    <row r="2096" spans="1:7" x14ac:dyDescent="0.3">
      <c r="A2096">
        <v>2094</v>
      </c>
      <c r="B2096" t="s">
        <v>2322</v>
      </c>
      <c r="C2096" t="s">
        <v>2323</v>
      </c>
      <c r="D2096">
        <v>28</v>
      </c>
      <c r="E2096">
        <v>25</v>
      </c>
      <c r="F2096" t="s">
        <v>1805</v>
      </c>
      <c r="G2096" t="s">
        <v>2277</v>
      </c>
    </row>
    <row r="2097" spans="1:7" x14ac:dyDescent="0.3">
      <c r="A2097">
        <v>2095</v>
      </c>
      <c r="B2097" t="s">
        <v>2324</v>
      </c>
      <c r="C2097" t="s">
        <v>2289</v>
      </c>
      <c r="D2097">
        <v>28</v>
      </c>
      <c r="E2097">
        <v>24</v>
      </c>
      <c r="F2097" t="s">
        <v>1805</v>
      </c>
      <c r="G2097" t="s">
        <v>2277</v>
      </c>
    </row>
    <row r="2098" spans="1:7" x14ac:dyDescent="0.3">
      <c r="A2098">
        <v>2096</v>
      </c>
      <c r="B2098" t="s">
        <v>2325</v>
      </c>
      <c r="C2098" t="s">
        <v>2169</v>
      </c>
      <c r="D2098">
        <v>299</v>
      </c>
      <c r="E2098">
        <v>249</v>
      </c>
      <c r="F2098" t="s">
        <v>9</v>
      </c>
      <c r="G2098" t="s">
        <v>472</v>
      </c>
    </row>
    <row r="2099" spans="1:7" x14ac:dyDescent="0.3">
      <c r="A2099">
        <v>2097</v>
      </c>
      <c r="B2099" t="s">
        <v>2326</v>
      </c>
      <c r="C2099" t="s">
        <v>2169</v>
      </c>
      <c r="D2099">
        <v>299</v>
      </c>
      <c r="E2099">
        <v>235</v>
      </c>
      <c r="F2099" t="s">
        <v>9</v>
      </c>
      <c r="G2099" t="s">
        <v>472</v>
      </c>
    </row>
    <row r="2100" spans="1:7" x14ac:dyDescent="0.3">
      <c r="A2100">
        <v>2098</v>
      </c>
      <c r="B2100" t="s">
        <v>2327</v>
      </c>
      <c r="C2100" t="s">
        <v>2115</v>
      </c>
      <c r="D2100">
        <v>40</v>
      </c>
      <c r="E2100">
        <v>34</v>
      </c>
      <c r="F2100" t="s">
        <v>76</v>
      </c>
      <c r="G2100" t="s">
        <v>2277</v>
      </c>
    </row>
    <row r="2101" spans="1:7" x14ac:dyDescent="0.3">
      <c r="A2101">
        <v>2099</v>
      </c>
      <c r="B2101" t="s">
        <v>2328</v>
      </c>
      <c r="C2101" t="s">
        <v>2169</v>
      </c>
      <c r="D2101">
        <v>249</v>
      </c>
      <c r="E2101">
        <v>199</v>
      </c>
      <c r="F2101" t="s">
        <v>9</v>
      </c>
      <c r="G2101" t="s">
        <v>472</v>
      </c>
    </row>
    <row r="2102" spans="1:7" x14ac:dyDescent="0.3">
      <c r="A2102">
        <v>2100</v>
      </c>
      <c r="B2102" t="s">
        <v>2329</v>
      </c>
      <c r="C2102" t="s">
        <v>396</v>
      </c>
      <c r="D2102">
        <v>160</v>
      </c>
      <c r="E2102">
        <v>80</v>
      </c>
      <c r="F2102" t="s">
        <v>652</v>
      </c>
      <c r="G2102" t="s">
        <v>2277</v>
      </c>
    </row>
    <row r="2103" spans="1:7" x14ac:dyDescent="0.3">
      <c r="A2103">
        <v>2101</v>
      </c>
      <c r="B2103" t="s">
        <v>2330</v>
      </c>
      <c r="C2103" t="s">
        <v>2169</v>
      </c>
      <c r="D2103">
        <v>299</v>
      </c>
      <c r="E2103">
        <v>235</v>
      </c>
      <c r="F2103" t="s">
        <v>9</v>
      </c>
      <c r="G2103" t="s">
        <v>472</v>
      </c>
    </row>
    <row r="2104" spans="1:7" x14ac:dyDescent="0.3">
      <c r="A2104">
        <v>2102</v>
      </c>
      <c r="B2104" t="s">
        <v>2331</v>
      </c>
      <c r="C2104" t="s">
        <v>396</v>
      </c>
      <c r="D2104">
        <v>160</v>
      </c>
      <c r="E2104">
        <v>99</v>
      </c>
      <c r="F2104" t="s">
        <v>652</v>
      </c>
      <c r="G2104" t="s">
        <v>2277</v>
      </c>
    </row>
    <row r="2105" spans="1:7" x14ac:dyDescent="0.3">
      <c r="A2105">
        <v>2103</v>
      </c>
      <c r="B2105" t="s">
        <v>2332</v>
      </c>
      <c r="C2105" t="s">
        <v>654</v>
      </c>
      <c r="D2105">
        <v>295</v>
      </c>
      <c r="E2105">
        <v>147</v>
      </c>
      <c r="F2105" t="s">
        <v>12</v>
      </c>
      <c r="G2105" t="s">
        <v>2277</v>
      </c>
    </row>
    <row r="2106" spans="1:7" x14ac:dyDescent="0.3">
      <c r="A2106">
        <v>2104</v>
      </c>
      <c r="B2106" t="s">
        <v>2333</v>
      </c>
      <c r="C2106" t="s">
        <v>654</v>
      </c>
      <c r="D2106">
        <v>295</v>
      </c>
      <c r="E2106">
        <v>147</v>
      </c>
      <c r="F2106" t="s">
        <v>12</v>
      </c>
      <c r="G2106" t="s">
        <v>2277</v>
      </c>
    </row>
    <row r="2107" spans="1:7" x14ac:dyDescent="0.3">
      <c r="A2107">
        <v>2105</v>
      </c>
      <c r="B2107" t="s">
        <v>2334</v>
      </c>
      <c r="C2107" t="s">
        <v>678</v>
      </c>
      <c r="D2107">
        <v>87</v>
      </c>
      <c r="E2107">
        <v>59</v>
      </c>
      <c r="F2107" t="s">
        <v>2335</v>
      </c>
      <c r="G2107" t="s">
        <v>2277</v>
      </c>
    </row>
    <row r="2108" spans="1:7" x14ac:dyDescent="0.3">
      <c r="A2108">
        <v>2106</v>
      </c>
      <c r="B2108" t="s">
        <v>2336</v>
      </c>
      <c r="C2108" t="s">
        <v>17</v>
      </c>
      <c r="D2108">
        <v>65</v>
      </c>
      <c r="E2108">
        <v>58</v>
      </c>
      <c r="F2108" t="s">
        <v>76</v>
      </c>
      <c r="G2108" t="s">
        <v>2277</v>
      </c>
    </row>
    <row r="2109" spans="1:7" x14ac:dyDescent="0.3">
      <c r="A2109">
        <v>2107</v>
      </c>
      <c r="B2109" t="s">
        <v>2337</v>
      </c>
      <c r="C2109" t="s">
        <v>2115</v>
      </c>
      <c r="D2109">
        <v>90</v>
      </c>
      <c r="E2109">
        <v>59</v>
      </c>
      <c r="F2109" t="s">
        <v>2335</v>
      </c>
      <c r="G2109" t="s">
        <v>2277</v>
      </c>
    </row>
    <row r="2110" spans="1:7" x14ac:dyDescent="0.3">
      <c r="A2110">
        <v>2108</v>
      </c>
      <c r="B2110" t="s">
        <v>2338</v>
      </c>
      <c r="C2110" t="s">
        <v>2339</v>
      </c>
      <c r="D2110">
        <v>100</v>
      </c>
      <c r="E2110">
        <v>50</v>
      </c>
      <c r="F2110" t="s">
        <v>201</v>
      </c>
      <c r="G2110" t="s">
        <v>2277</v>
      </c>
    </row>
    <row r="2111" spans="1:7" x14ac:dyDescent="0.3">
      <c r="A2111">
        <v>2109</v>
      </c>
      <c r="B2111" t="s">
        <v>2340</v>
      </c>
      <c r="C2111" t="s">
        <v>17</v>
      </c>
      <c r="D2111">
        <v>42</v>
      </c>
      <c r="E2111">
        <v>37</v>
      </c>
      <c r="F2111" t="s">
        <v>76</v>
      </c>
      <c r="G2111" t="s">
        <v>2277</v>
      </c>
    </row>
    <row r="2112" spans="1:7" x14ac:dyDescent="0.3">
      <c r="A2112">
        <v>2110</v>
      </c>
      <c r="B2112" t="s">
        <v>2341</v>
      </c>
      <c r="C2112" t="s">
        <v>2115</v>
      </c>
      <c r="D2112">
        <v>75</v>
      </c>
      <c r="E2112">
        <v>49</v>
      </c>
      <c r="F2112" t="s">
        <v>2335</v>
      </c>
      <c r="G2112" t="s">
        <v>2277</v>
      </c>
    </row>
    <row r="2113" spans="1:7" x14ac:dyDescent="0.3">
      <c r="A2113">
        <v>2111</v>
      </c>
      <c r="B2113" t="s">
        <v>2342</v>
      </c>
      <c r="C2113" t="s">
        <v>2343</v>
      </c>
      <c r="D2113">
        <v>110</v>
      </c>
      <c r="E2113">
        <v>80</v>
      </c>
      <c r="F2113" t="s">
        <v>1897</v>
      </c>
      <c r="G2113" t="s">
        <v>2277</v>
      </c>
    </row>
    <row r="2114" spans="1:7" x14ac:dyDescent="0.3">
      <c r="A2114">
        <v>2112</v>
      </c>
      <c r="B2114" t="s">
        <v>2344</v>
      </c>
      <c r="C2114" t="s">
        <v>678</v>
      </c>
      <c r="D2114">
        <v>58</v>
      </c>
      <c r="E2114">
        <v>42</v>
      </c>
      <c r="F2114" t="s">
        <v>76</v>
      </c>
      <c r="G2114" t="s">
        <v>2277</v>
      </c>
    </row>
    <row r="2115" spans="1:7" x14ac:dyDescent="0.3">
      <c r="A2115">
        <v>2113</v>
      </c>
      <c r="B2115" t="s">
        <v>2345</v>
      </c>
      <c r="C2115" t="s">
        <v>1753</v>
      </c>
      <c r="D2115">
        <v>68</v>
      </c>
      <c r="E2115">
        <v>34</v>
      </c>
      <c r="F2115" t="s">
        <v>12</v>
      </c>
      <c r="G2115" t="s">
        <v>1866</v>
      </c>
    </row>
    <row r="2116" spans="1:7" x14ac:dyDescent="0.3">
      <c r="A2116">
        <v>2114</v>
      </c>
      <c r="B2116" t="s">
        <v>2346</v>
      </c>
      <c r="C2116" t="s">
        <v>1753</v>
      </c>
      <c r="D2116">
        <v>80</v>
      </c>
      <c r="E2116">
        <v>40</v>
      </c>
      <c r="F2116" t="s">
        <v>12</v>
      </c>
      <c r="G2116" t="s">
        <v>1866</v>
      </c>
    </row>
    <row r="2117" spans="1:7" x14ac:dyDescent="0.3">
      <c r="A2117">
        <v>2115</v>
      </c>
      <c r="B2117" t="s">
        <v>2347</v>
      </c>
      <c r="C2117" t="s">
        <v>2348</v>
      </c>
      <c r="D2117">
        <v>165</v>
      </c>
      <c r="E2117">
        <v>140</v>
      </c>
      <c r="F2117" t="s">
        <v>76</v>
      </c>
      <c r="G2117" t="s">
        <v>1866</v>
      </c>
    </row>
    <row r="2118" spans="1:7" x14ac:dyDescent="0.3">
      <c r="A2118">
        <v>2116</v>
      </c>
      <c r="B2118" t="s">
        <v>2349</v>
      </c>
      <c r="C2118" t="s">
        <v>2348</v>
      </c>
      <c r="D2118">
        <v>130</v>
      </c>
      <c r="E2118">
        <v>75</v>
      </c>
      <c r="F2118" t="s">
        <v>107</v>
      </c>
      <c r="G2118" t="s">
        <v>1866</v>
      </c>
    </row>
    <row r="2119" spans="1:7" x14ac:dyDescent="0.3">
      <c r="A2119">
        <v>2117</v>
      </c>
      <c r="B2119" t="s">
        <v>2350</v>
      </c>
      <c r="C2119" t="s">
        <v>790</v>
      </c>
      <c r="D2119">
        <v>31</v>
      </c>
      <c r="E2119">
        <v>19</v>
      </c>
      <c r="F2119" t="s">
        <v>1697</v>
      </c>
      <c r="G2119" t="s">
        <v>1866</v>
      </c>
    </row>
    <row r="2120" spans="1:7" x14ac:dyDescent="0.3">
      <c r="A2120">
        <v>2118</v>
      </c>
      <c r="B2120" t="s">
        <v>2351</v>
      </c>
      <c r="C2120" t="s">
        <v>2352</v>
      </c>
      <c r="D2120">
        <v>390</v>
      </c>
      <c r="E2120">
        <v>195</v>
      </c>
      <c r="F2120" t="s">
        <v>1413</v>
      </c>
      <c r="G2120" t="s">
        <v>1866</v>
      </c>
    </row>
    <row r="2121" spans="1:7" x14ac:dyDescent="0.3">
      <c r="A2121">
        <v>2119</v>
      </c>
      <c r="B2121" t="s">
        <v>2353</v>
      </c>
      <c r="C2121" t="s">
        <v>2354</v>
      </c>
      <c r="D2121">
        <v>84</v>
      </c>
      <c r="E2121">
        <v>42</v>
      </c>
      <c r="F2121" t="s">
        <v>1015</v>
      </c>
      <c r="G2121" t="s">
        <v>1866</v>
      </c>
    </row>
    <row r="2122" spans="1:7" x14ac:dyDescent="0.3">
      <c r="A2122">
        <v>2120</v>
      </c>
      <c r="B2122" t="s">
        <v>2355</v>
      </c>
      <c r="C2122" t="s">
        <v>2348</v>
      </c>
      <c r="D2122">
        <v>130</v>
      </c>
      <c r="E2122">
        <v>99</v>
      </c>
      <c r="F2122" t="s">
        <v>107</v>
      </c>
      <c r="G2122" t="s">
        <v>1866</v>
      </c>
    </row>
    <row r="2123" spans="1:7" x14ac:dyDescent="0.3">
      <c r="A2123">
        <v>2121</v>
      </c>
      <c r="B2123" t="s">
        <v>2356</v>
      </c>
      <c r="C2123" t="s">
        <v>2354</v>
      </c>
      <c r="D2123">
        <v>35</v>
      </c>
      <c r="E2123">
        <v>30</v>
      </c>
      <c r="F2123" t="s">
        <v>188</v>
      </c>
      <c r="G2123" t="s">
        <v>1866</v>
      </c>
    </row>
    <row r="2124" spans="1:7" x14ac:dyDescent="0.3">
      <c r="A2124">
        <v>2122</v>
      </c>
      <c r="B2124" t="s">
        <v>2357</v>
      </c>
      <c r="C2124" t="s">
        <v>1551</v>
      </c>
      <c r="D2124">
        <v>300</v>
      </c>
      <c r="E2124">
        <v>199</v>
      </c>
      <c r="F2124" t="s">
        <v>15</v>
      </c>
      <c r="G2124" t="s">
        <v>1866</v>
      </c>
    </row>
    <row r="2125" spans="1:7" x14ac:dyDescent="0.3">
      <c r="A2125">
        <v>2123</v>
      </c>
      <c r="B2125" t="s">
        <v>2358</v>
      </c>
      <c r="C2125" t="s">
        <v>2348</v>
      </c>
      <c r="D2125">
        <v>84</v>
      </c>
      <c r="E2125">
        <v>42</v>
      </c>
      <c r="F2125" t="s">
        <v>1015</v>
      </c>
      <c r="G2125" t="s">
        <v>1866</v>
      </c>
    </row>
    <row r="2126" spans="1:7" x14ac:dyDescent="0.3">
      <c r="A2126">
        <v>2124</v>
      </c>
      <c r="B2126" t="s">
        <v>2359</v>
      </c>
      <c r="C2126" t="s">
        <v>2360</v>
      </c>
      <c r="D2126">
        <v>190</v>
      </c>
      <c r="E2126">
        <v>145</v>
      </c>
      <c r="F2126" t="s">
        <v>9</v>
      </c>
      <c r="G2126" t="s">
        <v>1866</v>
      </c>
    </row>
    <row r="2127" spans="1:7" x14ac:dyDescent="0.3">
      <c r="A2127">
        <v>2125</v>
      </c>
      <c r="B2127" t="s">
        <v>2361</v>
      </c>
      <c r="C2127" t="s">
        <v>2348</v>
      </c>
      <c r="D2127">
        <v>73</v>
      </c>
      <c r="E2127">
        <v>58</v>
      </c>
      <c r="F2127" t="s">
        <v>1015</v>
      </c>
      <c r="G2127" t="s">
        <v>1866</v>
      </c>
    </row>
    <row r="2128" spans="1:7" x14ac:dyDescent="0.3">
      <c r="A2128">
        <v>2126</v>
      </c>
      <c r="B2128" t="s">
        <v>2362</v>
      </c>
      <c r="C2128" t="s">
        <v>2348</v>
      </c>
      <c r="D2128">
        <v>73</v>
      </c>
      <c r="E2128">
        <v>55</v>
      </c>
      <c r="F2128" t="s">
        <v>1015</v>
      </c>
      <c r="G2128" t="s">
        <v>1866</v>
      </c>
    </row>
    <row r="2129" spans="1:7" x14ac:dyDescent="0.3">
      <c r="A2129">
        <v>2127</v>
      </c>
      <c r="B2129" t="s">
        <v>2363</v>
      </c>
      <c r="C2129" t="s">
        <v>2360</v>
      </c>
      <c r="D2129">
        <v>180</v>
      </c>
      <c r="E2129">
        <v>90</v>
      </c>
      <c r="F2129" t="s">
        <v>76</v>
      </c>
      <c r="G2129" t="s">
        <v>1866</v>
      </c>
    </row>
    <row r="2130" spans="1:7" x14ac:dyDescent="0.3">
      <c r="A2130">
        <v>2128</v>
      </c>
      <c r="B2130" t="s">
        <v>2364</v>
      </c>
      <c r="C2130" t="s">
        <v>2354</v>
      </c>
      <c r="D2130">
        <v>35</v>
      </c>
      <c r="E2130">
        <v>30</v>
      </c>
      <c r="F2130" t="s">
        <v>188</v>
      </c>
      <c r="G2130" t="s">
        <v>1866</v>
      </c>
    </row>
    <row r="2131" spans="1:7" x14ac:dyDescent="0.3">
      <c r="A2131">
        <v>2129</v>
      </c>
      <c r="B2131" t="s">
        <v>2365</v>
      </c>
      <c r="C2131" t="s">
        <v>2354</v>
      </c>
      <c r="D2131">
        <v>35</v>
      </c>
      <c r="E2131">
        <v>30</v>
      </c>
      <c r="F2131" t="s">
        <v>188</v>
      </c>
      <c r="G2131" t="s">
        <v>1866</v>
      </c>
    </row>
    <row r="2132" spans="1:7" x14ac:dyDescent="0.3">
      <c r="A2132">
        <v>2130</v>
      </c>
      <c r="B2132" t="s">
        <v>2366</v>
      </c>
      <c r="C2132" t="s">
        <v>1573</v>
      </c>
      <c r="D2132">
        <v>32</v>
      </c>
      <c r="E2132">
        <v>16</v>
      </c>
      <c r="F2132" t="s">
        <v>12</v>
      </c>
      <c r="G2132" t="s">
        <v>1866</v>
      </c>
    </row>
    <row r="2133" spans="1:7" x14ac:dyDescent="0.3">
      <c r="A2133">
        <v>2131</v>
      </c>
      <c r="B2133" t="s">
        <v>2367</v>
      </c>
      <c r="C2133" t="s">
        <v>2354</v>
      </c>
      <c r="D2133">
        <v>35</v>
      </c>
      <c r="E2133">
        <v>30</v>
      </c>
      <c r="F2133" t="s">
        <v>188</v>
      </c>
      <c r="G2133" t="s">
        <v>1866</v>
      </c>
    </row>
    <row r="2134" spans="1:7" x14ac:dyDescent="0.3">
      <c r="A2134">
        <v>2132</v>
      </c>
      <c r="B2134" t="s">
        <v>2368</v>
      </c>
      <c r="C2134" t="s">
        <v>1668</v>
      </c>
      <c r="D2134">
        <v>38</v>
      </c>
      <c r="E2134">
        <v>19</v>
      </c>
      <c r="F2134" t="s">
        <v>11</v>
      </c>
      <c r="G2134" t="s">
        <v>1866</v>
      </c>
    </row>
    <row r="2135" spans="1:7" x14ac:dyDescent="0.3">
      <c r="A2135">
        <v>2133</v>
      </c>
      <c r="B2135" t="s">
        <v>2369</v>
      </c>
      <c r="C2135" t="s">
        <v>1668</v>
      </c>
      <c r="D2135">
        <v>34</v>
      </c>
      <c r="E2135">
        <v>17</v>
      </c>
      <c r="F2135" t="s">
        <v>12</v>
      </c>
      <c r="G2135" t="s">
        <v>1866</v>
      </c>
    </row>
    <row r="2136" spans="1:7" x14ac:dyDescent="0.3">
      <c r="A2136">
        <v>2134</v>
      </c>
      <c r="B2136" t="s">
        <v>2370</v>
      </c>
      <c r="C2136" t="s">
        <v>1668</v>
      </c>
      <c r="D2136">
        <v>38</v>
      </c>
      <c r="E2136">
        <v>19</v>
      </c>
      <c r="F2136" t="s">
        <v>11</v>
      </c>
      <c r="G2136" t="s">
        <v>1866</v>
      </c>
    </row>
    <row r="2137" spans="1:7" x14ac:dyDescent="0.3">
      <c r="A2137">
        <v>2135</v>
      </c>
      <c r="B2137" t="s">
        <v>2371</v>
      </c>
      <c r="C2137" t="s">
        <v>2372</v>
      </c>
      <c r="D2137">
        <v>140</v>
      </c>
      <c r="E2137">
        <v>120</v>
      </c>
      <c r="F2137" t="s">
        <v>9</v>
      </c>
      <c r="G2137" t="s">
        <v>1866</v>
      </c>
    </row>
    <row r="2138" spans="1:7" x14ac:dyDescent="0.3">
      <c r="A2138">
        <v>2136</v>
      </c>
      <c r="B2138" t="s">
        <v>2373</v>
      </c>
      <c r="C2138" t="s">
        <v>2374</v>
      </c>
      <c r="D2138">
        <v>105</v>
      </c>
      <c r="E2138">
        <v>85</v>
      </c>
      <c r="F2138" t="s">
        <v>12</v>
      </c>
      <c r="G2138" t="s">
        <v>1866</v>
      </c>
    </row>
    <row r="2139" spans="1:7" x14ac:dyDescent="0.3">
      <c r="A2139">
        <v>2137</v>
      </c>
      <c r="B2139" t="s">
        <v>2373</v>
      </c>
      <c r="C2139" t="s">
        <v>2374</v>
      </c>
      <c r="D2139">
        <v>225</v>
      </c>
      <c r="E2139">
        <v>170</v>
      </c>
      <c r="F2139" t="s">
        <v>9</v>
      </c>
      <c r="G2139" t="s">
        <v>1866</v>
      </c>
    </row>
    <row r="2140" spans="1:7" x14ac:dyDescent="0.3">
      <c r="A2140">
        <v>2138</v>
      </c>
      <c r="B2140" t="s">
        <v>2375</v>
      </c>
      <c r="C2140" t="s">
        <v>678</v>
      </c>
      <c r="D2140">
        <v>250</v>
      </c>
      <c r="E2140">
        <v>184</v>
      </c>
      <c r="F2140" t="s">
        <v>15</v>
      </c>
      <c r="G2140" t="s">
        <v>1866</v>
      </c>
    </row>
    <row r="2141" spans="1:7" x14ac:dyDescent="0.3">
      <c r="A2141">
        <v>2139</v>
      </c>
      <c r="B2141" t="s">
        <v>2376</v>
      </c>
      <c r="C2141" t="s">
        <v>1108</v>
      </c>
      <c r="D2141">
        <v>85</v>
      </c>
      <c r="E2141">
        <v>72</v>
      </c>
      <c r="F2141" t="s">
        <v>15</v>
      </c>
      <c r="G2141" t="s">
        <v>1866</v>
      </c>
    </row>
    <row r="2142" spans="1:7" x14ac:dyDescent="0.3">
      <c r="A2142">
        <v>2140</v>
      </c>
      <c r="B2142" t="s">
        <v>2377</v>
      </c>
      <c r="C2142" t="s">
        <v>2378</v>
      </c>
      <c r="D2142">
        <v>90</v>
      </c>
      <c r="E2142">
        <v>83</v>
      </c>
      <c r="F2142" t="s">
        <v>12</v>
      </c>
      <c r="G2142" t="s">
        <v>1866</v>
      </c>
    </row>
    <row r="2143" spans="1:7" x14ac:dyDescent="0.3">
      <c r="A2143">
        <v>2141</v>
      </c>
      <c r="B2143" t="s">
        <v>2379</v>
      </c>
      <c r="C2143" t="s">
        <v>2378</v>
      </c>
      <c r="D2143">
        <v>90</v>
      </c>
      <c r="E2143">
        <v>81</v>
      </c>
      <c r="F2143" t="s">
        <v>76</v>
      </c>
      <c r="G2143" t="s">
        <v>1866</v>
      </c>
    </row>
    <row r="2144" spans="1:7" x14ac:dyDescent="0.3">
      <c r="A2144">
        <v>2142</v>
      </c>
      <c r="B2144" t="s">
        <v>2380</v>
      </c>
      <c r="C2144" t="s">
        <v>2381</v>
      </c>
      <c r="D2144">
        <v>130</v>
      </c>
      <c r="E2144">
        <v>105</v>
      </c>
      <c r="F2144" t="s">
        <v>107</v>
      </c>
      <c r="G2144" t="s">
        <v>1866</v>
      </c>
    </row>
    <row r="2145" spans="1:7" x14ac:dyDescent="0.3">
      <c r="A2145">
        <v>2143</v>
      </c>
      <c r="B2145" t="s">
        <v>2380</v>
      </c>
      <c r="C2145" t="s">
        <v>2381</v>
      </c>
      <c r="D2145">
        <v>415</v>
      </c>
      <c r="E2145">
        <v>325</v>
      </c>
      <c r="F2145" t="s">
        <v>15</v>
      </c>
      <c r="G2145" t="s">
        <v>1866</v>
      </c>
    </row>
    <row r="2146" spans="1:7" x14ac:dyDescent="0.3">
      <c r="A2146">
        <v>2144</v>
      </c>
      <c r="B2146" t="s">
        <v>2380</v>
      </c>
      <c r="C2146" t="s">
        <v>2381</v>
      </c>
      <c r="D2146">
        <v>240</v>
      </c>
      <c r="E2146">
        <v>140</v>
      </c>
      <c r="F2146" t="s">
        <v>9</v>
      </c>
      <c r="G2146" t="s">
        <v>1866</v>
      </c>
    </row>
    <row r="2147" spans="1:7" x14ac:dyDescent="0.3">
      <c r="A2147">
        <v>2145</v>
      </c>
      <c r="B2147" t="s">
        <v>2382</v>
      </c>
      <c r="C2147" t="s">
        <v>2383</v>
      </c>
      <c r="D2147">
        <v>115</v>
      </c>
      <c r="E2147">
        <v>103</v>
      </c>
      <c r="F2147" t="s">
        <v>9</v>
      </c>
      <c r="G2147" t="s">
        <v>1866</v>
      </c>
    </row>
    <row r="2148" spans="1:7" x14ac:dyDescent="0.3">
      <c r="A2148">
        <v>2146</v>
      </c>
      <c r="B2148" t="s">
        <v>2384</v>
      </c>
      <c r="C2148" t="s">
        <v>2385</v>
      </c>
      <c r="D2148">
        <v>75</v>
      </c>
      <c r="E2148">
        <v>37</v>
      </c>
      <c r="F2148" t="s">
        <v>12</v>
      </c>
      <c r="G2148" t="s">
        <v>1866</v>
      </c>
    </row>
    <row r="2149" spans="1:7" x14ac:dyDescent="0.3">
      <c r="A2149">
        <v>2147</v>
      </c>
      <c r="B2149" t="s">
        <v>2386</v>
      </c>
      <c r="C2149" t="s">
        <v>2374</v>
      </c>
      <c r="D2149">
        <v>70</v>
      </c>
      <c r="E2149">
        <v>55</v>
      </c>
      <c r="F2149" t="s">
        <v>1015</v>
      </c>
      <c r="G2149" t="s">
        <v>1866</v>
      </c>
    </row>
    <row r="2150" spans="1:7" x14ac:dyDescent="0.3">
      <c r="A2150">
        <v>2148</v>
      </c>
      <c r="B2150" t="s">
        <v>2386</v>
      </c>
      <c r="C2150" t="s">
        <v>2374</v>
      </c>
      <c r="D2150">
        <v>120</v>
      </c>
      <c r="E2150">
        <v>89</v>
      </c>
      <c r="F2150" t="s">
        <v>9</v>
      </c>
      <c r="G2150" t="s">
        <v>1866</v>
      </c>
    </row>
    <row r="2151" spans="1:7" x14ac:dyDescent="0.3">
      <c r="A2151">
        <v>2149</v>
      </c>
      <c r="B2151" t="s">
        <v>2387</v>
      </c>
      <c r="C2151" t="s">
        <v>1560</v>
      </c>
      <c r="D2151">
        <v>140</v>
      </c>
      <c r="E2151">
        <v>70</v>
      </c>
      <c r="F2151" t="s">
        <v>1371</v>
      </c>
      <c r="G2151" t="s">
        <v>1866</v>
      </c>
    </row>
    <row r="2152" spans="1:7" x14ac:dyDescent="0.3">
      <c r="A2152">
        <v>2150</v>
      </c>
      <c r="B2152" t="s">
        <v>2382</v>
      </c>
      <c r="C2152" t="s">
        <v>2372</v>
      </c>
      <c r="D2152">
        <v>56</v>
      </c>
      <c r="E2152">
        <v>50</v>
      </c>
      <c r="F2152" t="s">
        <v>12</v>
      </c>
      <c r="G2152" t="s">
        <v>1866</v>
      </c>
    </row>
    <row r="2153" spans="1:7" x14ac:dyDescent="0.3">
      <c r="A2153">
        <v>2151</v>
      </c>
      <c r="B2153" t="s">
        <v>2388</v>
      </c>
      <c r="C2153" t="s">
        <v>2383</v>
      </c>
      <c r="D2153">
        <v>105</v>
      </c>
      <c r="E2153">
        <v>94</v>
      </c>
      <c r="F2153" t="s">
        <v>9</v>
      </c>
      <c r="G2153" t="s">
        <v>1866</v>
      </c>
    </row>
    <row r="2154" spans="1:7" x14ac:dyDescent="0.3">
      <c r="A2154">
        <v>2152</v>
      </c>
      <c r="B2154" t="s">
        <v>2389</v>
      </c>
      <c r="C2154" t="s">
        <v>2390</v>
      </c>
      <c r="D2154">
        <v>80</v>
      </c>
      <c r="E2154">
        <v>40</v>
      </c>
      <c r="F2154" t="s">
        <v>1027</v>
      </c>
      <c r="G2154" t="s">
        <v>1866</v>
      </c>
    </row>
    <row r="2155" spans="1:7" x14ac:dyDescent="0.3">
      <c r="A2155">
        <v>2153</v>
      </c>
      <c r="B2155" t="s">
        <v>2391</v>
      </c>
      <c r="C2155" t="s">
        <v>678</v>
      </c>
      <c r="D2155">
        <v>170</v>
      </c>
      <c r="E2155">
        <v>154</v>
      </c>
      <c r="F2155" t="s">
        <v>9</v>
      </c>
      <c r="G2155" t="s">
        <v>1866</v>
      </c>
    </row>
    <row r="2156" spans="1:7" x14ac:dyDescent="0.3">
      <c r="A2156">
        <v>2154</v>
      </c>
      <c r="B2156" t="s">
        <v>2392</v>
      </c>
      <c r="C2156" t="s">
        <v>2393</v>
      </c>
      <c r="D2156">
        <v>48</v>
      </c>
      <c r="E2156">
        <v>41</v>
      </c>
      <c r="F2156" t="s">
        <v>1118</v>
      </c>
      <c r="G2156" t="s">
        <v>1866</v>
      </c>
    </row>
    <row r="2157" spans="1:7" x14ac:dyDescent="0.3">
      <c r="A2157">
        <v>2155</v>
      </c>
      <c r="B2157" t="s">
        <v>2394</v>
      </c>
      <c r="C2157" t="s">
        <v>678</v>
      </c>
      <c r="D2157">
        <v>27</v>
      </c>
      <c r="E2157">
        <v>13</v>
      </c>
      <c r="F2157" t="s">
        <v>709</v>
      </c>
      <c r="G2157" t="s">
        <v>1866</v>
      </c>
    </row>
    <row r="2158" spans="1:7" x14ac:dyDescent="0.3">
      <c r="A2158">
        <v>2156</v>
      </c>
      <c r="B2158" t="s">
        <v>2395</v>
      </c>
      <c r="C2158" t="s">
        <v>678</v>
      </c>
      <c r="D2158">
        <v>135</v>
      </c>
      <c r="E2158">
        <v>99</v>
      </c>
      <c r="F2158" t="s">
        <v>9</v>
      </c>
      <c r="G2158" t="s">
        <v>1866</v>
      </c>
    </row>
    <row r="2159" spans="1:7" x14ac:dyDescent="0.3">
      <c r="A2159">
        <v>2157</v>
      </c>
      <c r="B2159" t="s">
        <v>2396</v>
      </c>
      <c r="C2159" t="s">
        <v>678</v>
      </c>
      <c r="D2159">
        <v>27</v>
      </c>
      <c r="E2159">
        <v>13</v>
      </c>
      <c r="F2159" t="s">
        <v>709</v>
      </c>
      <c r="G2159" t="s">
        <v>1866</v>
      </c>
    </row>
    <row r="2160" spans="1:7" x14ac:dyDescent="0.3">
      <c r="A2160">
        <v>2158</v>
      </c>
      <c r="B2160" t="s">
        <v>2397</v>
      </c>
      <c r="C2160" t="s">
        <v>2378</v>
      </c>
      <c r="D2160">
        <v>165</v>
      </c>
      <c r="E2160">
        <v>150</v>
      </c>
      <c r="F2160" t="s">
        <v>76</v>
      </c>
      <c r="G2160" t="s">
        <v>1866</v>
      </c>
    </row>
    <row r="2161" spans="1:7" x14ac:dyDescent="0.3">
      <c r="A2161">
        <v>2159</v>
      </c>
      <c r="B2161" t="s">
        <v>2398</v>
      </c>
      <c r="C2161" t="s">
        <v>2378</v>
      </c>
      <c r="D2161">
        <v>47</v>
      </c>
      <c r="E2161">
        <v>42</v>
      </c>
      <c r="F2161" t="s">
        <v>2399</v>
      </c>
      <c r="G2161" t="s">
        <v>1866</v>
      </c>
    </row>
    <row r="2162" spans="1:7" x14ac:dyDescent="0.3">
      <c r="A2162">
        <v>2160</v>
      </c>
      <c r="B2162" t="s">
        <v>2400</v>
      </c>
      <c r="C2162" t="s">
        <v>2401</v>
      </c>
      <c r="D2162">
        <v>250</v>
      </c>
      <c r="E2162">
        <v>125</v>
      </c>
      <c r="F2162" t="s">
        <v>9</v>
      </c>
      <c r="G2162" t="s">
        <v>1866</v>
      </c>
    </row>
    <row r="2163" spans="1:7" x14ac:dyDescent="0.3">
      <c r="A2163">
        <v>2161</v>
      </c>
      <c r="B2163" t="s">
        <v>2402</v>
      </c>
      <c r="C2163" t="s">
        <v>482</v>
      </c>
      <c r="D2163">
        <v>40</v>
      </c>
      <c r="E2163">
        <v>30</v>
      </c>
      <c r="F2163" t="s">
        <v>11</v>
      </c>
      <c r="G2163" t="s">
        <v>1866</v>
      </c>
    </row>
    <row r="2164" spans="1:7" x14ac:dyDescent="0.3">
      <c r="A2164">
        <v>2162</v>
      </c>
      <c r="B2164" t="s">
        <v>2403</v>
      </c>
      <c r="C2164" t="s">
        <v>807</v>
      </c>
      <c r="D2164">
        <v>70</v>
      </c>
      <c r="E2164">
        <v>35</v>
      </c>
      <c r="F2164" t="s">
        <v>11</v>
      </c>
      <c r="G2164" t="s">
        <v>1866</v>
      </c>
    </row>
    <row r="2165" spans="1:7" x14ac:dyDescent="0.3">
      <c r="A2165">
        <v>2163</v>
      </c>
      <c r="B2165" t="s">
        <v>2404</v>
      </c>
      <c r="C2165" t="s">
        <v>2374</v>
      </c>
      <c r="D2165">
        <v>90</v>
      </c>
      <c r="E2165">
        <v>65</v>
      </c>
      <c r="F2165" t="s">
        <v>1501</v>
      </c>
      <c r="G2165" t="s">
        <v>1866</v>
      </c>
    </row>
    <row r="2166" spans="1:7" x14ac:dyDescent="0.3">
      <c r="A2166">
        <v>2164</v>
      </c>
      <c r="B2166" t="s">
        <v>2405</v>
      </c>
      <c r="C2166" t="s">
        <v>518</v>
      </c>
      <c r="D2166">
        <v>40</v>
      </c>
      <c r="E2166">
        <v>35</v>
      </c>
      <c r="F2166" t="s">
        <v>11</v>
      </c>
      <c r="G2166" t="s">
        <v>1866</v>
      </c>
    </row>
    <row r="2167" spans="1:7" x14ac:dyDescent="0.3">
      <c r="A2167">
        <v>2165</v>
      </c>
      <c r="B2167" t="s">
        <v>2406</v>
      </c>
      <c r="C2167" t="s">
        <v>1108</v>
      </c>
      <c r="D2167">
        <v>90</v>
      </c>
      <c r="E2167">
        <v>75</v>
      </c>
      <c r="F2167" t="s">
        <v>1865</v>
      </c>
      <c r="G2167" t="s">
        <v>1866</v>
      </c>
    </row>
    <row r="2168" spans="1:7" x14ac:dyDescent="0.3">
      <c r="A2168">
        <v>2166</v>
      </c>
      <c r="B2168" t="s">
        <v>2407</v>
      </c>
      <c r="C2168" t="s">
        <v>533</v>
      </c>
      <c r="D2168">
        <v>40</v>
      </c>
      <c r="E2168">
        <v>34</v>
      </c>
      <c r="F2168" t="s">
        <v>11</v>
      </c>
      <c r="G2168" t="s">
        <v>1866</v>
      </c>
    </row>
    <row r="2169" spans="1:7" x14ac:dyDescent="0.3">
      <c r="A2169">
        <v>2167</v>
      </c>
      <c r="B2169" t="s">
        <v>2408</v>
      </c>
      <c r="C2169" t="s">
        <v>981</v>
      </c>
      <c r="D2169">
        <v>140</v>
      </c>
      <c r="E2169">
        <v>130</v>
      </c>
      <c r="F2169" t="s">
        <v>9</v>
      </c>
      <c r="G2169" t="s">
        <v>1866</v>
      </c>
    </row>
    <row r="2170" spans="1:7" x14ac:dyDescent="0.3">
      <c r="A2170">
        <v>2168</v>
      </c>
      <c r="B2170" t="s">
        <v>2409</v>
      </c>
      <c r="C2170" t="s">
        <v>2385</v>
      </c>
      <c r="D2170">
        <v>90</v>
      </c>
      <c r="E2170">
        <v>45</v>
      </c>
      <c r="F2170" t="s">
        <v>12</v>
      </c>
      <c r="G2170" t="s">
        <v>1866</v>
      </c>
    </row>
    <row r="2171" spans="1:7" x14ac:dyDescent="0.3">
      <c r="A2171">
        <v>2169</v>
      </c>
      <c r="B2171" t="s">
        <v>2410</v>
      </c>
      <c r="C2171" t="s">
        <v>678</v>
      </c>
      <c r="D2171">
        <v>55</v>
      </c>
      <c r="E2171">
        <v>45</v>
      </c>
      <c r="F2171" t="s">
        <v>1027</v>
      </c>
      <c r="G2171" t="s">
        <v>1866</v>
      </c>
    </row>
    <row r="2172" spans="1:7" x14ac:dyDescent="0.3">
      <c r="A2172">
        <v>2170</v>
      </c>
      <c r="B2172" t="s">
        <v>2411</v>
      </c>
      <c r="C2172" t="s">
        <v>1108</v>
      </c>
      <c r="D2172">
        <v>75</v>
      </c>
      <c r="E2172">
        <v>65</v>
      </c>
      <c r="F2172" t="s">
        <v>2412</v>
      </c>
      <c r="G2172" t="s">
        <v>1866</v>
      </c>
    </row>
    <row r="2173" spans="1:7" x14ac:dyDescent="0.3">
      <c r="A2173">
        <v>2171</v>
      </c>
      <c r="B2173" t="s">
        <v>2413</v>
      </c>
      <c r="C2173" t="s">
        <v>678</v>
      </c>
      <c r="D2173">
        <v>70</v>
      </c>
      <c r="E2173">
        <v>35</v>
      </c>
      <c r="F2173" t="s">
        <v>11</v>
      </c>
      <c r="G2173" t="s">
        <v>1866</v>
      </c>
    </row>
    <row r="2174" spans="1:7" x14ac:dyDescent="0.3">
      <c r="A2174">
        <v>2172</v>
      </c>
      <c r="B2174" t="s">
        <v>2414</v>
      </c>
      <c r="C2174" t="s">
        <v>2385</v>
      </c>
      <c r="D2174">
        <v>90</v>
      </c>
      <c r="E2174">
        <v>45</v>
      </c>
      <c r="F2174" t="s">
        <v>12</v>
      </c>
      <c r="G2174" t="s">
        <v>1866</v>
      </c>
    </row>
    <row r="2175" spans="1:7" x14ac:dyDescent="0.3">
      <c r="A2175">
        <v>2173</v>
      </c>
      <c r="B2175" t="s">
        <v>2415</v>
      </c>
      <c r="C2175" t="s">
        <v>482</v>
      </c>
      <c r="D2175">
        <v>115</v>
      </c>
      <c r="E2175">
        <v>75</v>
      </c>
      <c r="F2175" t="s">
        <v>2416</v>
      </c>
      <c r="G2175" t="s">
        <v>1866</v>
      </c>
    </row>
    <row r="2176" spans="1:7" x14ac:dyDescent="0.3">
      <c r="A2176">
        <v>2174</v>
      </c>
      <c r="B2176" t="s">
        <v>2417</v>
      </c>
      <c r="C2176" t="s">
        <v>482</v>
      </c>
      <c r="D2176">
        <v>190</v>
      </c>
      <c r="E2176">
        <v>139</v>
      </c>
      <c r="F2176" t="s">
        <v>2418</v>
      </c>
      <c r="G2176" t="s">
        <v>1866</v>
      </c>
    </row>
    <row r="2177" spans="1:7" x14ac:dyDescent="0.3">
      <c r="A2177">
        <v>2175</v>
      </c>
      <c r="B2177" t="s">
        <v>2419</v>
      </c>
      <c r="C2177" t="s">
        <v>678</v>
      </c>
      <c r="D2177">
        <v>200</v>
      </c>
      <c r="E2177">
        <v>178</v>
      </c>
      <c r="F2177" t="s">
        <v>9</v>
      </c>
      <c r="G2177" t="s">
        <v>1866</v>
      </c>
    </row>
    <row r="2178" spans="1:7" x14ac:dyDescent="0.3">
      <c r="A2178">
        <v>2176</v>
      </c>
      <c r="B2178" t="s">
        <v>2420</v>
      </c>
      <c r="C2178" t="s">
        <v>2421</v>
      </c>
      <c r="D2178">
        <v>259</v>
      </c>
      <c r="E2178">
        <v>129</v>
      </c>
      <c r="F2178" t="s">
        <v>107</v>
      </c>
      <c r="G2178" t="s">
        <v>1866</v>
      </c>
    </row>
    <row r="2179" spans="1:7" x14ac:dyDescent="0.3">
      <c r="A2179">
        <v>2177</v>
      </c>
      <c r="B2179" t="s">
        <v>2422</v>
      </c>
      <c r="C2179" t="s">
        <v>518</v>
      </c>
      <c r="D2179">
        <v>50</v>
      </c>
      <c r="E2179">
        <v>40</v>
      </c>
      <c r="F2179" t="s">
        <v>11</v>
      </c>
      <c r="G2179" t="s">
        <v>1866</v>
      </c>
    </row>
    <row r="2180" spans="1:7" x14ac:dyDescent="0.3">
      <c r="A2180">
        <v>2178</v>
      </c>
      <c r="B2180" t="s">
        <v>2423</v>
      </c>
      <c r="C2180" t="s">
        <v>518</v>
      </c>
      <c r="D2180">
        <v>30</v>
      </c>
      <c r="E2180">
        <v>27</v>
      </c>
      <c r="F2180" t="s">
        <v>613</v>
      </c>
      <c r="G2180" t="s">
        <v>1866</v>
      </c>
    </row>
    <row r="2181" spans="1:7" x14ac:dyDescent="0.3">
      <c r="A2181">
        <v>2179</v>
      </c>
      <c r="B2181" t="s">
        <v>2424</v>
      </c>
      <c r="C2181" t="s">
        <v>2425</v>
      </c>
      <c r="D2181">
        <v>355</v>
      </c>
      <c r="E2181">
        <v>255</v>
      </c>
      <c r="F2181" t="s">
        <v>1825</v>
      </c>
      <c r="G2181" t="s">
        <v>1866</v>
      </c>
    </row>
    <row r="2182" spans="1:7" x14ac:dyDescent="0.3">
      <c r="A2182">
        <v>2180</v>
      </c>
      <c r="B2182" t="s">
        <v>2426</v>
      </c>
      <c r="C2182" t="s">
        <v>2421</v>
      </c>
      <c r="D2182">
        <v>279</v>
      </c>
      <c r="E2182">
        <v>139</v>
      </c>
      <c r="F2182" t="s">
        <v>107</v>
      </c>
      <c r="G2182" t="s">
        <v>1866</v>
      </c>
    </row>
    <row r="2183" spans="1:7" x14ac:dyDescent="0.3">
      <c r="A2183">
        <v>2181</v>
      </c>
      <c r="B2183" t="s">
        <v>2427</v>
      </c>
      <c r="C2183" t="s">
        <v>2374</v>
      </c>
      <c r="D2183">
        <v>99</v>
      </c>
      <c r="E2183">
        <v>69</v>
      </c>
      <c r="F2183" t="s">
        <v>11</v>
      </c>
      <c r="G2183" t="s">
        <v>1866</v>
      </c>
    </row>
    <row r="2184" spans="1:7" x14ac:dyDescent="0.3">
      <c r="A2184">
        <v>2182</v>
      </c>
      <c r="B2184" t="s">
        <v>2428</v>
      </c>
      <c r="C2184" t="s">
        <v>804</v>
      </c>
      <c r="D2184">
        <v>249</v>
      </c>
      <c r="E2184">
        <v>124</v>
      </c>
      <c r="F2184" t="s">
        <v>11</v>
      </c>
      <c r="G2184" t="s">
        <v>1866</v>
      </c>
    </row>
    <row r="2185" spans="1:7" x14ac:dyDescent="0.3">
      <c r="A2185">
        <v>2183</v>
      </c>
      <c r="B2185" t="s">
        <v>2429</v>
      </c>
      <c r="C2185" t="s">
        <v>2383</v>
      </c>
      <c r="D2185">
        <v>108</v>
      </c>
      <c r="E2185">
        <v>85</v>
      </c>
      <c r="F2185" t="s">
        <v>9</v>
      </c>
      <c r="G2185" t="s">
        <v>1866</v>
      </c>
    </row>
    <row r="2186" spans="1:7" x14ac:dyDescent="0.3">
      <c r="A2186">
        <v>2184</v>
      </c>
      <c r="B2186" t="s">
        <v>2430</v>
      </c>
      <c r="C2186" t="s">
        <v>2431</v>
      </c>
      <c r="D2186">
        <v>37</v>
      </c>
      <c r="E2186">
        <v>34</v>
      </c>
      <c r="F2186" t="s">
        <v>11</v>
      </c>
      <c r="G2186" t="s">
        <v>1866</v>
      </c>
    </row>
    <row r="2187" spans="1:7" x14ac:dyDescent="0.3">
      <c r="A2187">
        <v>2185</v>
      </c>
      <c r="B2187" t="s">
        <v>2432</v>
      </c>
      <c r="C2187" t="s">
        <v>2421</v>
      </c>
      <c r="D2187">
        <v>179</v>
      </c>
      <c r="E2187">
        <v>89</v>
      </c>
      <c r="F2187" t="s">
        <v>12</v>
      </c>
      <c r="G2187" t="s">
        <v>1866</v>
      </c>
    </row>
    <row r="2188" spans="1:7" x14ac:dyDescent="0.3">
      <c r="A2188">
        <v>2186</v>
      </c>
      <c r="B2188" t="s">
        <v>2433</v>
      </c>
      <c r="C2188" t="s">
        <v>2421</v>
      </c>
      <c r="D2188">
        <v>179</v>
      </c>
      <c r="E2188">
        <v>89</v>
      </c>
      <c r="F2188" t="s">
        <v>12</v>
      </c>
      <c r="G2188" t="s">
        <v>1866</v>
      </c>
    </row>
    <row r="2189" spans="1:7" x14ac:dyDescent="0.3">
      <c r="A2189">
        <v>2187</v>
      </c>
      <c r="B2189" t="s">
        <v>2434</v>
      </c>
      <c r="C2189" t="s">
        <v>2421</v>
      </c>
      <c r="D2189">
        <v>149</v>
      </c>
      <c r="E2189">
        <v>99</v>
      </c>
      <c r="F2189" t="s">
        <v>11</v>
      </c>
      <c r="G2189" t="s">
        <v>1866</v>
      </c>
    </row>
    <row r="2190" spans="1:7" x14ac:dyDescent="0.3">
      <c r="A2190">
        <v>2188</v>
      </c>
      <c r="B2190" t="s">
        <v>2435</v>
      </c>
      <c r="C2190" t="s">
        <v>28</v>
      </c>
      <c r="D2190">
        <v>38</v>
      </c>
      <c r="E2190">
        <v>35</v>
      </c>
      <c r="F2190" t="s">
        <v>11</v>
      </c>
      <c r="G2190" t="s">
        <v>1866</v>
      </c>
    </row>
    <row r="2191" spans="1:7" x14ac:dyDescent="0.3">
      <c r="A2191">
        <v>2189</v>
      </c>
      <c r="B2191" t="s">
        <v>2436</v>
      </c>
      <c r="C2191" t="s">
        <v>842</v>
      </c>
      <c r="D2191">
        <v>70</v>
      </c>
      <c r="E2191">
        <v>52</v>
      </c>
      <c r="F2191" t="s">
        <v>216</v>
      </c>
      <c r="G2191" t="s">
        <v>1866</v>
      </c>
    </row>
    <row r="2192" spans="1:7" x14ac:dyDescent="0.3">
      <c r="A2192">
        <v>2190</v>
      </c>
      <c r="B2192" t="s">
        <v>2437</v>
      </c>
      <c r="C2192" t="s">
        <v>842</v>
      </c>
      <c r="D2192">
        <v>70</v>
      </c>
      <c r="E2192">
        <v>52</v>
      </c>
      <c r="F2192" t="s">
        <v>216</v>
      </c>
      <c r="G2192" t="s">
        <v>1866</v>
      </c>
    </row>
    <row r="2193" spans="1:7" x14ac:dyDescent="0.3">
      <c r="A2193">
        <v>2191</v>
      </c>
      <c r="B2193" t="s">
        <v>2438</v>
      </c>
      <c r="C2193" t="s">
        <v>2122</v>
      </c>
      <c r="D2193">
        <v>141</v>
      </c>
      <c r="E2193">
        <v>109</v>
      </c>
      <c r="F2193" t="s">
        <v>1834</v>
      </c>
      <c r="G2193" t="s">
        <v>472</v>
      </c>
    </row>
    <row r="2194" spans="1:7" x14ac:dyDescent="0.3">
      <c r="A2194">
        <v>2192</v>
      </c>
      <c r="B2194" t="s">
        <v>2181</v>
      </c>
      <c r="C2194" t="s">
        <v>2182</v>
      </c>
      <c r="D2194">
        <v>50</v>
      </c>
      <c r="E2194">
        <v>1</v>
      </c>
      <c r="F2194" t="s">
        <v>740</v>
      </c>
      <c r="G2194" t="s">
        <v>472</v>
      </c>
    </row>
    <row r="2195" spans="1:7" x14ac:dyDescent="0.3">
      <c r="A2195">
        <v>2193</v>
      </c>
      <c r="B2195" t="s">
        <v>2183</v>
      </c>
      <c r="C2195" t="s">
        <v>2182</v>
      </c>
      <c r="D2195">
        <v>50</v>
      </c>
      <c r="E2195">
        <v>1</v>
      </c>
      <c r="F2195" t="s">
        <v>740</v>
      </c>
      <c r="G2195" t="s">
        <v>472</v>
      </c>
    </row>
    <row r="2196" spans="1:7" x14ac:dyDescent="0.3">
      <c r="A2196">
        <v>2194</v>
      </c>
      <c r="B2196" t="s">
        <v>2184</v>
      </c>
      <c r="C2196" t="s">
        <v>2182</v>
      </c>
      <c r="D2196">
        <v>50</v>
      </c>
      <c r="E2196">
        <v>1</v>
      </c>
      <c r="F2196" t="s">
        <v>740</v>
      </c>
      <c r="G2196" t="s">
        <v>472</v>
      </c>
    </row>
    <row r="2197" spans="1:7" x14ac:dyDescent="0.3">
      <c r="A2197">
        <v>2195</v>
      </c>
      <c r="B2197" t="s">
        <v>2439</v>
      </c>
      <c r="C2197" t="s">
        <v>2440</v>
      </c>
      <c r="D2197">
        <v>300</v>
      </c>
      <c r="E2197">
        <v>240</v>
      </c>
      <c r="F2197" t="s">
        <v>720</v>
      </c>
      <c r="G2197" t="s">
        <v>472</v>
      </c>
    </row>
    <row r="2198" spans="1:7" x14ac:dyDescent="0.3">
      <c r="A2198">
        <v>2196</v>
      </c>
      <c r="B2198" t="s">
        <v>2441</v>
      </c>
      <c r="C2198" t="s">
        <v>2440</v>
      </c>
      <c r="D2198">
        <v>325</v>
      </c>
      <c r="E2198">
        <v>260</v>
      </c>
      <c r="F2198" t="s">
        <v>720</v>
      </c>
      <c r="G2198" t="s">
        <v>472</v>
      </c>
    </row>
    <row r="2199" spans="1:7" x14ac:dyDescent="0.3">
      <c r="A2199">
        <v>2197</v>
      </c>
      <c r="B2199" t="s">
        <v>2442</v>
      </c>
      <c r="C2199" t="s">
        <v>2440</v>
      </c>
      <c r="D2199">
        <v>300</v>
      </c>
      <c r="E2199">
        <v>240</v>
      </c>
      <c r="F2199" t="s">
        <v>720</v>
      </c>
      <c r="G2199" t="s">
        <v>472</v>
      </c>
    </row>
    <row r="2200" spans="1:7" x14ac:dyDescent="0.3">
      <c r="A2200">
        <v>2198</v>
      </c>
      <c r="B2200" t="s">
        <v>2443</v>
      </c>
      <c r="C2200" t="s">
        <v>2440</v>
      </c>
      <c r="D2200">
        <v>300</v>
      </c>
      <c r="E2200">
        <v>240</v>
      </c>
      <c r="F2200" t="s">
        <v>720</v>
      </c>
      <c r="G2200" t="s">
        <v>472</v>
      </c>
    </row>
    <row r="2201" spans="1:7" x14ac:dyDescent="0.3">
      <c r="A2201">
        <v>2199</v>
      </c>
      <c r="B2201" t="s">
        <v>2444</v>
      </c>
      <c r="C2201" t="s">
        <v>2440</v>
      </c>
      <c r="D2201">
        <v>300</v>
      </c>
      <c r="E2201">
        <v>240</v>
      </c>
      <c r="F2201" t="s">
        <v>720</v>
      </c>
      <c r="G2201" t="s">
        <v>472</v>
      </c>
    </row>
    <row r="2202" spans="1:7" x14ac:dyDescent="0.3">
      <c r="A2202">
        <v>2200</v>
      </c>
      <c r="B2202" t="s">
        <v>2445</v>
      </c>
      <c r="C2202" t="s">
        <v>2440</v>
      </c>
      <c r="D2202">
        <v>325</v>
      </c>
      <c r="E2202">
        <v>260</v>
      </c>
      <c r="F2202" t="s">
        <v>720</v>
      </c>
      <c r="G2202" t="s">
        <v>472</v>
      </c>
    </row>
    <row r="2203" spans="1:7" x14ac:dyDescent="0.3">
      <c r="A2203">
        <v>2201</v>
      </c>
      <c r="B2203" t="s">
        <v>2446</v>
      </c>
      <c r="C2203" t="s">
        <v>1351</v>
      </c>
      <c r="D2203">
        <v>120</v>
      </c>
      <c r="E2203">
        <v>60</v>
      </c>
      <c r="F2203" t="s">
        <v>12</v>
      </c>
      <c r="G2203" t="s">
        <v>1954</v>
      </c>
    </row>
    <row r="2204" spans="1:7" x14ac:dyDescent="0.3">
      <c r="A2204">
        <v>2202</v>
      </c>
      <c r="B2204" t="s">
        <v>2447</v>
      </c>
      <c r="C2204" t="s">
        <v>1690</v>
      </c>
      <c r="D2204">
        <v>70</v>
      </c>
      <c r="E2204">
        <v>35</v>
      </c>
      <c r="F2204" t="s">
        <v>11</v>
      </c>
      <c r="G2204" t="s">
        <v>1958</v>
      </c>
    </row>
    <row r="2205" spans="1:7" x14ac:dyDescent="0.3">
      <c r="A2205">
        <v>2203</v>
      </c>
      <c r="B2205" t="s">
        <v>2448</v>
      </c>
      <c r="C2205" t="s">
        <v>2449</v>
      </c>
      <c r="D2205">
        <v>250</v>
      </c>
      <c r="E2205">
        <v>125</v>
      </c>
      <c r="F2205" t="s">
        <v>1166</v>
      </c>
      <c r="G2205" t="s">
        <v>1958</v>
      </c>
    </row>
    <row r="2206" spans="1:7" x14ac:dyDescent="0.3">
      <c r="A2206">
        <v>2204</v>
      </c>
      <c r="B2206" t="s">
        <v>2450</v>
      </c>
      <c r="C2206" t="s">
        <v>2031</v>
      </c>
      <c r="D2206">
        <v>150</v>
      </c>
      <c r="E2206">
        <v>75</v>
      </c>
      <c r="F2206" t="s">
        <v>2451</v>
      </c>
      <c r="G2206" t="s">
        <v>1958</v>
      </c>
    </row>
    <row r="2207" spans="1:7" x14ac:dyDescent="0.3">
      <c r="A2207">
        <v>2205</v>
      </c>
      <c r="B2207" t="s">
        <v>2452</v>
      </c>
      <c r="C2207" t="s">
        <v>2243</v>
      </c>
      <c r="D2207">
        <v>170</v>
      </c>
      <c r="E2207">
        <v>85</v>
      </c>
      <c r="F2207" t="s">
        <v>107</v>
      </c>
      <c r="G2207" t="s">
        <v>1958</v>
      </c>
    </row>
    <row r="2208" spans="1:7" x14ac:dyDescent="0.3">
      <c r="A2208">
        <v>2206</v>
      </c>
      <c r="B2208" t="s">
        <v>2453</v>
      </c>
      <c r="C2208" t="s">
        <v>2454</v>
      </c>
      <c r="D2208">
        <v>26</v>
      </c>
      <c r="E2208">
        <v>15</v>
      </c>
      <c r="F2208" t="s">
        <v>11</v>
      </c>
      <c r="G2208" t="s">
        <v>1958</v>
      </c>
    </row>
    <row r="2209" spans="1:7" x14ac:dyDescent="0.3">
      <c r="A2209">
        <v>2207</v>
      </c>
      <c r="B2209" t="s">
        <v>2455</v>
      </c>
      <c r="C2209" t="s">
        <v>1349</v>
      </c>
      <c r="D2209">
        <v>50</v>
      </c>
      <c r="E2209">
        <v>39</v>
      </c>
      <c r="F2209" t="s">
        <v>2456</v>
      </c>
      <c r="G2209" t="s">
        <v>1958</v>
      </c>
    </row>
    <row r="2210" spans="1:7" x14ac:dyDescent="0.3">
      <c r="A2210">
        <v>2208</v>
      </c>
      <c r="B2210" t="s">
        <v>2457</v>
      </c>
      <c r="C2210" t="s">
        <v>1720</v>
      </c>
      <c r="D2210">
        <v>75</v>
      </c>
      <c r="E2210">
        <v>37</v>
      </c>
      <c r="F2210" t="s">
        <v>11</v>
      </c>
      <c r="G2210" t="s">
        <v>1958</v>
      </c>
    </row>
    <row r="2211" spans="1:7" x14ac:dyDescent="0.3">
      <c r="A2211">
        <v>2209</v>
      </c>
      <c r="B2211" t="s">
        <v>2458</v>
      </c>
      <c r="C2211" t="s">
        <v>1690</v>
      </c>
      <c r="D2211">
        <v>80</v>
      </c>
      <c r="E2211">
        <v>40</v>
      </c>
      <c r="F2211" t="s">
        <v>11</v>
      </c>
      <c r="G2211" t="s">
        <v>1958</v>
      </c>
    </row>
    <row r="2212" spans="1:7" x14ac:dyDescent="0.3">
      <c r="A2212">
        <v>2210</v>
      </c>
      <c r="B2212" t="s">
        <v>2459</v>
      </c>
      <c r="C2212" t="s">
        <v>2460</v>
      </c>
      <c r="D2212">
        <v>65</v>
      </c>
      <c r="E2212">
        <v>32</v>
      </c>
      <c r="F2212" t="s">
        <v>188</v>
      </c>
      <c r="G2212" t="s">
        <v>1958</v>
      </c>
    </row>
    <row r="2213" spans="1:7" x14ac:dyDescent="0.3">
      <c r="A2213">
        <v>2211</v>
      </c>
      <c r="B2213" t="s">
        <v>2461</v>
      </c>
      <c r="C2213" t="s">
        <v>2460</v>
      </c>
      <c r="D2213">
        <v>18</v>
      </c>
      <c r="E2213">
        <v>9</v>
      </c>
      <c r="F2213" t="s">
        <v>2462</v>
      </c>
      <c r="G2213" t="s">
        <v>1958</v>
      </c>
    </row>
    <row r="2214" spans="1:7" x14ac:dyDescent="0.3">
      <c r="A2214">
        <v>2212</v>
      </c>
      <c r="B2214" t="s">
        <v>2463</v>
      </c>
      <c r="C2214" t="s">
        <v>1349</v>
      </c>
      <c r="D2214">
        <v>50</v>
      </c>
      <c r="E2214">
        <v>45</v>
      </c>
      <c r="F2214" t="s">
        <v>2464</v>
      </c>
      <c r="G2214" t="s">
        <v>1958</v>
      </c>
    </row>
    <row r="2215" spans="1:7" x14ac:dyDescent="0.3">
      <c r="A2215">
        <v>2213</v>
      </c>
      <c r="B2215" t="s">
        <v>2465</v>
      </c>
      <c r="C2215" t="s">
        <v>2460</v>
      </c>
      <c r="D2215">
        <v>65</v>
      </c>
      <c r="E2215">
        <v>32</v>
      </c>
      <c r="F2215" t="s">
        <v>188</v>
      </c>
      <c r="G2215" t="s">
        <v>1958</v>
      </c>
    </row>
    <row r="2216" spans="1:7" x14ac:dyDescent="0.3">
      <c r="A2216">
        <v>2214</v>
      </c>
      <c r="B2216" t="s">
        <v>2466</v>
      </c>
      <c r="C2216" t="s">
        <v>2449</v>
      </c>
      <c r="D2216">
        <v>150</v>
      </c>
      <c r="E2216">
        <v>75</v>
      </c>
      <c r="F2216" t="s">
        <v>1027</v>
      </c>
      <c r="G2216" t="s">
        <v>1958</v>
      </c>
    </row>
    <row r="2217" spans="1:7" x14ac:dyDescent="0.3">
      <c r="A2217">
        <v>2215</v>
      </c>
      <c r="B2217" t="s">
        <v>2467</v>
      </c>
      <c r="C2217" t="s">
        <v>1690</v>
      </c>
      <c r="D2217">
        <v>65</v>
      </c>
      <c r="E2217">
        <v>32</v>
      </c>
      <c r="F2217" t="s">
        <v>11</v>
      </c>
      <c r="G2217" t="s">
        <v>1958</v>
      </c>
    </row>
    <row r="2218" spans="1:7" x14ac:dyDescent="0.3">
      <c r="A2218">
        <v>2216</v>
      </c>
      <c r="B2218" t="s">
        <v>2468</v>
      </c>
      <c r="C2218" t="s">
        <v>2454</v>
      </c>
      <c r="D2218">
        <v>26</v>
      </c>
      <c r="E2218">
        <v>15</v>
      </c>
      <c r="F2218" t="s">
        <v>11</v>
      </c>
      <c r="G2218" t="s">
        <v>1958</v>
      </c>
    </row>
    <row r="2219" spans="1:7" x14ac:dyDescent="0.3">
      <c r="A2219">
        <v>2217</v>
      </c>
      <c r="B2219" t="s">
        <v>2469</v>
      </c>
      <c r="C2219" t="s">
        <v>1690</v>
      </c>
      <c r="D2219">
        <v>65</v>
      </c>
      <c r="E2219">
        <v>32</v>
      </c>
      <c r="F2219" t="s">
        <v>11</v>
      </c>
      <c r="G2219" t="s">
        <v>1958</v>
      </c>
    </row>
    <row r="2220" spans="1:7" x14ac:dyDescent="0.3">
      <c r="A2220">
        <v>2218</v>
      </c>
      <c r="B2220" t="s">
        <v>2470</v>
      </c>
      <c r="C2220" t="s">
        <v>2471</v>
      </c>
      <c r="D2220">
        <v>100</v>
      </c>
      <c r="E2220">
        <v>70</v>
      </c>
      <c r="F2220" t="s">
        <v>1118</v>
      </c>
      <c r="G2220" t="s">
        <v>1958</v>
      </c>
    </row>
    <row r="2221" spans="1:7" x14ac:dyDescent="0.3">
      <c r="A2221">
        <v>2219</v>
      </c>
      <c r="B2221" t="s">
        <v>2472</v>
      </c>
      <c r="C2221" t="s">
        <v>2473</v>
      </c>
      <c r="D2221">
        <v>18</v>
      </c>
      <c r="E2221">
        <v>9</v>
      </c>
      <c r="F2221" t="s">
        <v>2462</v>
      </c>
      <c r="G2221" t="s">
        <v>1958</v>
      </c>
    </row>
    <row r="2222" spans="1:7" x14ac:dyDescent="0.3">
      <c r="A2222">
        <v>2220</v>
      </c>
      <c r="B2222" t="s">
        <v>2474</v>
      </c>
      <c r="C2222" t="s">
        <v>2454</v>
      </c>
      <c r="D2222">
        <v>26</v>
      </c>
      <c r="E2222">
        <v>15</v>
      </c>
      <c r="F2222" t="s">
        <v>11</v>
      </c>
      <c r="G2222" t="s">
        <v>1958</v>
      </c>
    </row>
    <row r="2223" spans="1:7" x14ac:dyDescent="0.3">
      <c r="A2223">
        <v>2221</v>
      </c>
      <c r="B2223" t="s">
        <v>2475</v>
      </c>
      <c r="C2223" t="s">
        <v>2476</v>
      </c>
      <c r="D2223">
        <v>45</v>
      </c>
      <c r="E2223">
        <v>22</v>
      </c>
      <c r="F2223" t="s">
        <v>1027</v>
      </c>
      <c r="G2223" t="s">
        <v>1958</v>
      </c>
    </row>
    <row r="2224" spans="1:7" x14ac:dyDescent="0.3">
      <c r="A2224">
        <v>2222</v>
      </c>
      <c r="B2224" t="s">
        <v>1955</v>
      </c>
      <c r="C2224" t="s">
        <v>1436</v>
      </c>
      <c r="D2224">
        <v>50</v>
      </c>
      <c r="E2224">
        <v>45</v>
      </c>
      <c r="F2224" t="s">
        <v>2477</v>
      </c>
      <c r="G2224" t="s">
        <v>1958</v>
      </c>
    </row>
    <row r="2225" spans="1:7" x14ac:dyDescent="0.3">
      <c r="A2225">
        <v>2223</v>
      </c>
      <c r="B2225" t="s">
        <v>2478</v>
      </c>
      <c r="C2225" t="s">
        <v>2479</v>
      </c>
      <c r="D2225">
        <v>50</v>
      </c>
      <c r="E2225">
        <v>45</v>
      </c>
      <c r="F2225" t="s">
        <v>1903</v>
      </c>
      <c r="G2225" t="s">
        <v>1958</v>
      </c>
    </row>
    <row r="2226" spans="1:7" x14ac:dyDescent="0.3">
      <c r="A2226">
        <v>2224</v>
      </c>
      <c r="B2226" t="s">
        <v>2480</v>
      </c>
      <c r="C2226" t="s">
        <v>2449</v>
      </c>
      <c r="D2226">
        <v>150</v>
      </c>
      <c r="E2226">
        <v>75</v>
      </c>
      <c r="F2226" t="s">
        <v>188</v>
      </c>
      <c r="G2226" t="s">
        <v>1958</v>
      </c>
    </row>
    <row r="2227" spans="1:7" x14ac:dyDescent="0.3">
      <c r="A2227">
        <v>2225</v>
      </c>
      <c r="B2227" t="s">
        <v>2481</v>
      </c>
      <c r="C2227" t="s">
        <v>2449</v>
      </c>
      <c r="D2227">
        <v>150</v>
      </c>
      <c r="E2227">
        <v>75</v>
      </c>
      <c r="F2227" t="s">
        <v>1027</v>
      </c>
      <c r="G2227" t="s">
        <v>1958</v>
      </c>
    </row>
    <row r="2228" spans="1:7" x14ac:dyDescent="0.3">
      <c r="A2228">
        <v>2226</v>
      </c>
      <c r="B2228" t="s">
        <v>2482</v>
      </c>
      <c r="C2228" t="s">
        <v>2483</v>
      </c>
      <c r="D2228">
        <v>50</v>
      </c>
      <c r="E2228">
        <v>43</v>
      </c>
      <c r="F2228" t="s">
        <v>2484</v>
      </c>
      <c r="G2228" t="s">
        <v>1958</v>
      </c>
    </row>
    <row r="2229" spans="1:7" x14ac:dyDescent="0.3">
      <c r="A2229">
        <v>2227</v>
      </c>
      <c r="B2229" t="s">
        <v>2485</v>
      </c>
      <c r="C2229" t="s">
        <v>2486</v>
      </c>
      <c r="D2229">
        <v>50</v>
      </c>
      <c r="E2229">
        <v>45</v>
      </c>
      <c r="F2229" t="s">
        <v>1903</v>
      </c>
      <c r="G2229" t="s">
        <v>1958</v>
      </c>
    </row>
    <row r="2230" spans="1:7" x14ac:dyDescent="0.3">
      <c r="A2230">
        <v>2228</v>
      </c>
      <c r="B2230" t="s">
        <v>2487</v>
      </c>
      <c r="C2230" t="s">
        <v>2471</v>
      </c>
      <c r="D2230">
        <v>100</v>
      </c>
      <c r="E2230">
        <v>90</v>
      </c>
      <c r="F2230" t="s">
        <v>1118</v>
      </c>
      <c r="G2230" t="s">
        <v>1958</v>
      </c>
    </row>
    <row r="2231" spans="1:7" x14ac:dyDescent="0.3">
      <c r="A2231">
        <v>2229</v>
      </c>
      <c r="B2231" t="s">
        <v>2488</v>
      </c>
      <c r="C2231" t="s">
        <v>2449</v>
      </c>
      <c r="D2231">
        <v>150</v>
      </c>
      <c r="E2231">
        <v>75</v>
      </c>
      <c r="F2231" t="s">
        <v>1527</v>
      </c>
      <c r="G2231" t="s">
        <v>1958</v>
      </c>
    </row>
    <row r="2232" spans="1:7" x14ac:dyDescent="0.3">
      <c r="A2232">
        <v>2230</v>
      </c>
      <c r="B2232" t="s">
        <v>2489</v>
      </c>
      <c r="C2232" t="s">
        <v>1690</v>
      </c>
      <c r="D2232">
        <v>60</v>
      </c>
      <c r="E2232">
        <v>30</v>
      </c>
      <c r="F2232" t="s">
        <v>11</v>
      </c>
      <c r="G2232" t="s">
        <v>1958</v>
      </c>
    </row>
    <row r="2233" spans="1:7" x14ac:dyDescent="0.3">
      <c r="A2233">
        <v>2231</v>
      </c>
      <c r="B2233" t="s">
        <v>2490</v>
      </c>
      <c r="C2233" t="s">
        <v>2491</v>
      </c>
      <c r="D2233">
        <v>0</v>
      </c>
      <c r="E2233">
        <v>0</v>
      </c>
      <c r="F2233" t="s">
        <v>913</v>
      </c>
      <c r="G2233" t="s">
        <v>1958</v>
      </c>
    </row>
    <row r="2234" spans="1:7" x14ac:dyDescent="0.3">
      <c r="A2234">
        <v>2232</v>
      </c>
      <c r="B2234" t="s">
        <v>2492</v>
      </c>
      <c r="C2234" t="s">
        <v>2493</v>
      </c>
      <c r="D2234">
        <v>50</v>
      </c>
      <c r="E2234">
        <v>45</v>
      </c>
      <c r="F2234" t="s">
        <v>2494</v>
      </c>
      <c r="G2234" t="s">
        <v>1958</v>
      </c>
    </row>
    <row r="2235" spans="1:7" x14ac:dyDescent="0.3">
      <c r="A2235">
        <v>2233</v>
      </c>
      <c r="B2235" t="s">
        <v>2495</v>
      </c>
      <c r="C2235" t="s">
        <v>2493</v>
      </c>
      <c r="D2235">
        <v>50</v>
      </c>
      <c r="E2235">
        <v>39</v>
      </c>
      <c r="F2235" t="s">
        <v>2496</v>
      </c>
      <c r="G2235" t="s">
        <v>1958</v>
      </c>
    </row>
    <row r="2236" spans="1:7" x14ac:dyDescent="0.3">
      <c r="A2236">
        <v>2234</v>
      </c>
      <c r="B2236" t="s">
        <v>2497</v>
      </c>
      <c r="C2236" t="s">
        <v>2498</v>
      </c>
      <c r="D2236">
        <v>15</v>
      </c>
      <c r="E2236">
        <v>13</v>
      </c>
      <c r="F2236" t="s">
        <v>2499</v>
      </c>
      <c r="G2236" t="s">
        <v>1958</v>
      </c>
    </row>
    <row r="2237" spans="1:7" x14ac:dyDescent="0.3">
      <c r="A2237">
        <v>2235</v>
      </c>
      <c r="B2237" t="s">
        <v>2500</v>
      </c>
      <c r="C2237" t="s">
        <v>2498</v>
      </c>
      <c r="D2237">
        <v>15</v>
      </c>
      <c r="E2237">
        <v>13</v>
      </c>
      <c r="F2237" t="s">
        <v>2499</v>
      </c>
      <c r="G2237" t="s">
        <v>1958</v>
      </c>
    </row>
    <row r="2238" spans="1:7" x14ac:dyDescent="0.3">
      <c r="A2238">
        <v>2236</v>
      </c>
      <c r="B2238" t="s">
        <v>2501</v>
      </c>
      <c r="C2238" t="s">
        <v>2498</v>
      </c>
      <c r="D2238">
        <v>15</v>
      </c>
      <c r="E2238">
        <v>13</v>
      </c>
      <c r="F2238" t="s">
        <v>2499</v>
      </c>
      <c r="G2238" t="s">
        <v>1958</v>
      </c>
    </row>
    <row r="2239" spans="1:7" x14ac:dyDescent="0.3">
      <c r="A2239">
        <v>2237</v>
      </c>
      <c r="B2239" t="s">
        <v>2502</v>
      </c>
      <c r="C2239" t="s">
        <v>2498</v>
      </c>
      <c r="D2239">
        <v>10</v>
      </c>
      <c r="E2239">
        <v>9</v>
      </c>
      <c r="F2239" t="s">
        <v>2499</v>
      </c>
      <c r="G2239" t="s">
        <v>1958</v>
      </c>
    </row>
    <row r="2240" spans="1:7" x14ac:dyDescent="0.3">
      <c r="A2240">
        <v>2238</v>
      </c>
      <c r="B2240" t="s">
        <v>2503</v>
      </c>
      <c r="C2240" t="s">
        <v>2479</v>
      </c>
      <c r="D2240">
        <v>50</v>
      </c>
      <c r="E2240">
        <v>39</v>
      </c>
      <c r="F2240" t="s">
        <v>1903</v>
      </c>
      <c r="G2240" t="s">
        <v>1958</v>
      </c>
    </row>
    <row r="2241" spans="1:7" x14ac:dyDescent="0.3">
      <c r="A2241">
        <v>2239</v>
      </c>
      <c r="B2241" t="s">
        <v>2504</v>
      </c>
      <c r="C2241" t="s">
        <v>1517</v>
      </c>
      <c r="D2241">
        <v>70</v>
      </c>
      <c r="E2241">
        <v>60</v>
      </c>
      <c r="F2241" t="s">
        <v>107</v>
      </c>
      <c r="G2241" t="s">
        <v>1958</v>
      </c>
    </row>
    <row r="2242" spans="1:7" x14ac:dyDescent="0.3">
      <c r="A2242">
        <v>2240</v>
      </c>
      <c r="B2242" t="s">
        <v>2504</v>
      </c>
      <c r="C2242" t="s">
        <v>1517</v>
      </c>
      <c r="D2242">
        <v>130</v>
      </c>
      <c r="E2242">
        <v>105</v>
      </c>
      <c r="F2242" t="s">
        <v>9</v>
      </c>
      <c r="G2242" t="s">
        <v>1958</v>
      </c>
    </row>
    <row r="2243" spans="1:7" x14ac:dyDescent="0.3">
      <c r="A2243">
        <v>2241</v>
      </c>
      <c r="B2243" t="s">
        <v>2505</v>
      </c>
      <c r="C2243" t="s">
        <v>1517</v>
      </c>
      <c r="D2243">
        <v>210</v>
      </c>
      <c r="E2243">
        <v>169</v>
      </c>
      <c r="F2243" t="s">
        <v>15</v>
      </c>
      <c r="G2243" t="s">
        <v>1958</v>
      </c>
    </row>
    <row r="2244" spans="1:7" x14ac:dyDescent="0.3">
      <c r="A2244">
        <v>2242</v>
      </c>
      <c r="B2244" t="s">
        <v>2506</v>
      </c>
      <c r="C2244" t="s">
        <v>1517</v>
      </c>
      <c r="D2244">
        <v>210</v>
      </c>
      <c r="E2244">
        <v>170</v>
      </c>
      <c r="F2244" t="s">
        <v>15</v>
      </c>
      <c r="G2244" t="s">
        <v>1958</v>
      </c>
    </row>
    <row r="2245" spans="1:7" x14ac:dyDescent="0.3">
      <c r="A2245">
        <v>2243</v>
      </c>
      <c r="B2245" t="s">
        <v>2507</v>
      </c>
      <c r="C2245" t="s">
        <v>1525</v>
      </c>
      <c r="D2245">
        <v>250</v>
      </c>
      <c r="E2245">
        <v>165</v>
      </c>
      <c r="F2245" t="s">
        <v>2222</v>
      </c>
      <c r="G2245" t="s">
        <v>1958</v>
      </c>
    </row>
    <row r="2246" spans="1:7" x14ac:dyDescent="0.3">
      <c r="A2246">
        <v>2244</v>
      </c>
      <c r="B2246" t="s">
        <v>2508</v>
      </c>
      <c r="C2246" t="s">
        <v>1525</v>
      </c>
      <c r="D2246">
        <v>265</v>
      </c>
      <c r="E2246">
        <v>180</v>
      </c>
      <c r="F2246" t="s">
        <v>2222</v>
      </c>
      <c r="G2246" t="s">
        <v>1958</v>
      </c>
    </row>
    <row r="2247" spans="1:7" x14ac:dyDescent="0.3">
      <c r="A2247">
        <v>2245</v>
      </c>
      <c r="B2247" t="s">
        <v>2509</v>
      </c>
      <c r="C2247" t="s">
        <v>1753</v>
      </c>
      <c r="D2247">
        <v>205</v>
      </c>
      <c r="E2247">
        <v>102</v>
      </c>
      <c r="F2247" t="s">
        <v>15</v>
      </c>
      <c r="G2247" t="s">
        <v>1958</v>
      </c>
    </row>
    <row r="2248" spans="1:7" x14ac:dyDescent="0.3">
      <c r="A2248">
        <v>2246</v>
      </c>
      <c r="B2248" t="s">
        <v>2510</v>
      </c>
      <c r="C2248" t="s">
        <v>2511</v>
      </c>
      <c r="D2248">
        <v>130</v>
      </c>
      <c r="E2248">
        <v>89</v>
      </c>
      <c r="F2248" t="s">
        <v>12</v>
      </c>
      <c r="G2248" t="s">
        <v>1958</v>
      </c>
    </row>
    <row r="2249" spans="1:7" x14ac:dyDescent="0.3">
      <c r="A2249">
        <v>2247</v>
      </c>
      <c r="B2249" t="s">
        <v>2512</v>
      </c>
      <c r="C2249" t="s">
        <v>2513</v>
      </c>
      <c r="D2249">
        <v>68</v>
      </c>
      <c r="E2249">
        <v>34</v>
      </c>
      <c r="F2249" t="s">
        <v>12</v>
      </c>
      <c r="G2249" t="s">
        <v>1958</v>
      </c>
    </row>
    <row r="2250" spans="1:7" x14ac:dyDescent="0.3">
      <c r="A2250">
        <v>2248</v>
      </c>
      <c r="B2250" t="s">
        <v>2514</v>
      </c>
      <c r="C2250" t="s">
        <v>2511</v>
      </c>
      <c r="D2250">
        <v>130</v>
      </c>
      <c r="E2250">
        <v>109</v>
      </c>
      <c r="F2250" t="s">
        <v>12</v>
      </c>
      <c r="G2250" t="s">
        <v>1958</v>
      </c>
    </row>
    <row r="2251" spans="1:7" x14ac:dyDescent="0.3">
      <c r="A2251">
        <v>2249</v>
      </c>
      <c r="B2251" t="s">
        <v>2515</v>
      </c>
      <c r="C2251" t="s">
        <v>1517</v>
      </c>
      <c r="D2251">
        <v>300</v>
      </c>
      <c r="E2251">
        <v>150</v>
      </c>
      <c r="F2251" t="s">
        <v>9</v>
      </c>
      <c r="G2251" t="s">
        <v>1958</v>
      </c>
    </row>
    <row r="2252" spans="1:7" x14ac:dyDescent="0.3">
      <c r="A2252">
        <v>2250</v>
      </c>
      <c r="B2252" t="s">
        <v>2516</v>
      </c>
      <c r="C2252" t="s">
        <v>438</v>
      </c>
      <c r="D2252">
        <v>190</v>
      </c>
      <c r="E2252">
        <v>176</v>
      </c>
      <c r="F2252" t="s">
        <v>12</v>
      </c>
      <c r="G2252" t="s">
        <v>1958</v>
      </c>
    </row>
    <row r="2253" spans="1:7" x14ac:dyDescent="0.3">
      <c r="A2253">
        <v>2251</v>
      </c>
      <c r="B2253" t="s">
        <v>2516</v>
      </c>
      <c r="C2253" t="s">
        <v>438</v>
      </c>
      <c r="D2253">
        <v>435</v>
      </c>
      <c r="E2253">
        <v>404</v>
      </c>
      <c r="F2253" t="s">
        <v>9</v>
      </c>
      <c r="G2253" t="s">
        <v>1958</v>
      </c>
    </row>
    <row r="2254" spans="1:7" x14ac:dyDescent="0.3">
      <c r="A2254">
        <v>2252</v>
      </c>
      <c r="B2254" t="s">
        <v>2517</v>
      </c>
      <c r="C2254" t="s">
        <v>2518</v>
      </c>
      <c r="D2254">
        <v>170</v>
      </c>
      <c r="E2254">
        <v>100</v>
      </c>
      <c r="F2254" t="s">
        <v>15</v>
      </c>
      <c r="G2254" t="s">
        <v>1958</v>
      </c>
    </row>
    <row r="2255" spans="1:7" x14ac:dyDescent="0.3">
      <c r="A2255">
        <v>2253</v>
      </c>
      <c r="B2255" t="s">
        <v>2519</v>
      </c>
      <c r="C2255" t="s">
        <v>1753</v>
      </c>
      <c r="D2255">
        <v>200</v>
      </c>
      <c r="E2255">
        <v>100</v>
      </c>
      <c r="F2255" t="s">
        <v>15</v>
      </c>
      <c r="G2255" t="s">
        <v>1958</v>
      </c>
    </row>
    <row r="2256" spans="1:7" x14ac:dyDescent="0.3">
      <c r="A2256">
        <v>2254</v>
      </c>
      <c r="B2256" t="s">
        <v>2520</v>
      </c>
      <c r="C2256" t="s">
        <v>2511</v>
      </c>
      <c r="D2256">
        <v>130</v>
      </c>
      <c r="E2256">
        <v>65</v>
      </c>
      <c r="F2256" t="s">
        <v>12</v>
      </c>
      <c r="G2256" t="s">
        <v>1958</v>
      </c>
    </row>
    <row r="2257" spans="1:7" x14ac:dyDescent="0.3">
      <c r="A2257">
        <v>2255</v>
      </c>
      <c r="B2257" t="s">
        <v>2521</v>
      </c>
      <c r="C2257" t="s">
        <v>2243</v>
      </c>
      <c r="D2257">
        <v>118</v>
      </c>
      <c r="E2257">
        <v>85</v>
      </c>
      <c r="F2257" t="s">
        <v>12</v>
      </c>
      <c r="G2257" t="s">
        <v>1958</v>
      </c>
    </row>
    <row r="2258" spans="1:7" x14ac:dyDescent="0.3">
      <c r="A2258">
        <v>2256</v>
      </c>
      <c r="B2258" t="s">
        <v>2522</v>
      </c>
      <c r="C2258" t="s">
        <v>1525</v>
      </c>
      <c r="D2258">
        <v>135</v>
      </c>
      <c r="E2258">
        <v>94</v>
      </c>
      <c r="F2258" t="s">
        <v>201</v>
      </c>
      <c r="G2258" t="s">
        <v>1958</v>
      </c>
    </row>
    <row r="2259" spans="1:7" x14ac:dyDescent="0.3">
      <c r="A2259">
        <v>2257</v>
      </c>
      <c r="B2259" t="s">
        <v>2523</v>
      </c>
      <c r="C2259" t="s">
        <v>2524</v>
      </c>
      <c r="D2259">
        <v>135</v>
      </c>
      <c r="E2259">
        <v>75</v>
      </c>
      <c r="F2259" t="s">
        <v>76</v>
      </c>
      <c r="G2259" t="s">
        <v>1958</v>
      </c>
    </row>
    <row r="2260" spans="1:7" x14ac:dyDescent="0.3">
      <c r="A2260">
        <v>2258</v>
      </c>
      <c r="B2260" t="s">
        <v>2525</v>
      </c>
      <c r="C2260" t="s">
        <v>2524</v>
      </c>
      <c r="D2260">
        <v>250</v>
      </c>
      <c r="E2260">
        <v>150</v>
      </c>
      <c r="F2260" t="s">
        <v>2222</v>
      </c>
      <c r="G2260" t="s">
        <v>1958</v>
      </c>
    </row>
    <row r="2261" spans="1:7" x14ac:dyDescent="0.3">
      <c r="A2261">
        <v>2259</v>
      </c>
      <c r="B2261" t="s">
        <v>2526</v>
      </c>
      <c r="C2261" t="s">
        <v>2524</v>
      </c>
      <c r="D2261">
        <v>99</v>
      </c>
      <c r="E2261">
        <v>49</v>
      </c>
      <c r="F2261" t="s">
        <v>12</v>
      </c>
      <c r="G2261" t="s">
        <v>1958</v>
      </c>
    </row>
    <row r="2262" spans="1:7" x14ac:dyDescent="0.3">
      <c r="A2262">
        <v>2260</v>
      </c>
      <c r="B2262" t="s">
        <v>2527</v>
      </c>
      <c r="C2262" t="s">
        <v>1517</v>
      </c>
      <c r="D2262">
        <v>50</v>
      </c>
      <c r="E2262">
        <v>45</v>
      </c>
      <c r="F2262" t="s">
        <v>12</v>
      </c>
      <c r="G2262" t="s">
        <v>1958</v>
      </c>
    </row>
    <row r="2263" spans="1:7" x14ac:dyDescent="0.3">
      <c r="A2263">
        <v>2261</v>
      </c>
      <c r="B2263" t="s">
        <v>2527</v>
      </c>
      <c r="C2263" t="s">
        <v>1517</v>
      </c>
      <c r="D2263">
        <v>90</v>
      </c>
      <c r="E2263">
        <v>70</v>
      </c>
      <c r="F2263" t="s">
        <v>76</v>
      </c>
      <c r="G2263" t="s">
        <v>1958</v>
      </c>
    </row>
    <row r="2264" spans="1:7" x14ac:dyDescent="0.3">
      <c r="A2264">
        <v>2262</v>
      </c>
      <c r="B2264" t="s">
        <v>2528</v>
      </c>
      <c r="C2264" t="s">
        <v>2511</v>
      </c>
      <c r="D2264">
        <v>395</v>
      </c>
      <c r="E2264">
        <v>197</v>
      </c>
      <c r="F2264" t="s">
        <v>1854</v>
      </c>
      <c r="G2264" t="s">
        <v>1958</v>
      </c>
    </row>
    <row r="2265" spans="1:7" x14ac:dyDescent="0.3">
      <c r="A2265">
        <v>2263</v>
      </c>
      <c r="B2265" t="s">
        <v>2529</v>
      </c>
      <c r="C2265" t="s">
        <v>438</v>
      </c>
      <c r="D2265">
        <v>115</v>
      </c>
      <c r="E2265">
        <v>105</v>
      </c>
      <c r="F2265" t="s">
        <v>12</v>
      </c>
      <c r="G2265" t="s">
        <v>1958</v>
      </c>
    </row>
    <row r="2266" spans="1:7" x14ac:dyDescent="0.3">
      <c r="A2266">
        <v>2264</v>
      </c>
      <c r="B2266" t="s">
        <v>2530</v>
      </c>
      <c r="C2266" t="s">
        <v>1573</v>
      </c>
      <c r="D2266">
        <v>75</v>
      </c>
      <c r="E2266">
        <v>37</v>
      </c>
      <c r="F2266" t="s">
        <v>12</v>
      </c>
      <c r="G2266" t="s">
        <v>1958</v>
      </c>
    </row>
    <row r="2267" spans="1:7" x14ac:dyDescent="0.3">
      <c r="A2267">
        <v>2265</v>
      </c>
      <c r="B2267" t="s">
        <v>2531</v>
      </c>
      <c r="C2267" t="s">
        <v>2532</v>
      </c>
      <c r="D2267">
        <v>68</v>
      </c>
      <c r="E2267">
        <v>34</v>
      </c>
      <c r="F2267" t="s">
        <v>12</v>
      </c>
      <c r="G2267" t="s">
        <v>1958</v>
      </c>
    </row>
    <row r="2268" spans="1:7" x14ac:dyDescent="0.3">
      <c r="A2268">
        <v>2266</v>
      </c>
      <c r="B2268" t="s">
        <v>2533</v>
      </c>
      <c r="C2268" t="s">
        <v>2511</v>
      </c>
      <c r="D2268">
        <v>110</v>
      </c>
      <c r="E2268">
        <v>55</v>
      </c>
      <c r="F2268" t="s">
        <v>12</v>
      </c>
      <c r="G2268" t="s">
        <v>1958</v>
      </c>
    </row>
    <row r="2269" spans="1:7" x14ac:dyDescent="0.3">
      <c r="A2269">
        <v>2267</v>
      </c>
      <c r="B2269" t="s">
        <v>2534</v>
      </c>
      <c r="C2269" t="s">
        <v>438</v>
      </c>
      <c r="D2269">
        <v>110</v>
      </c>
      <c r="E2269">
        <v>99</v>
      </c>
      <c r="F2269" t="s">
        <v>12</v>
      </c>
      <c r="G2269" t="s">
        <v>1958</v>
      </c>
    </row>
    <row r="2270" spans="1:7" x14ac:dyDescent="0.3">
      <c r="A2270">
        <v>2268</v>
      </c>
      <c r="B2270" t="s">
        <v>2535</v>
      </c>
      <c r="C2270" t="s">
        <v>2536</v>
      </c>
      <c r="D2270">
        <v>75</v>
      </c>
      <c r="E2270">
        <v>68</v>
      </c>
      <c r="F2270" t="s">
        <v>76</v>
      </c>
      <c r="G2270" t="s">
        <v>1958</v>
      </c>
    </row>
    <row r="2271" spans="1:7" x14ac:dyDescent="0.3">
      <c r="A2271">
        <v>2269</v>
      </c>
      <c r="B2271" t="s">
        <v>2537</v>
      </c>
      <c r="C2271" t="s">
        <v>2538</v>
      </c>
      <c r="D2271">
        <v>200</v>
      </c>
      <c r="E2271">
        <v>150</v>
      </c>
      <c r="F2271" t="s">
        <v>107</v>
      </c>
      <c r="G2271" t="s">
        <v>1958</v>
      </c>
    </row>
    <row r="2272" spans="1:7" x14ac:dyDescent="0.3">
      <c r="A2272">
        <v>2270</v>
      </c>
      <c r="B2272" t="s">
        <v>2539</v>
      </c>
      <c r="C2272" t="s">
        <v>2524</v>
      </c>
      <c r="D2272">
        <v>265</v>
      </c>
      <c r="E2272">
        <v>165</v>
      </c>
      <c r="F2272" t="s">
        <v>2222</v>
      </c>
      <c r="G2272" t="s">
        <v>1958</v>
      </c>
    </row>
    <row r="2273" spans="1:7" x14ac:dyDescent="0.3">
      <c r="A2273">
        <v>2271</v>
      </c>
      <c r="B2273" t="s">
        <v>2540</v>
      </c>
      <c r="C2273" t="s">
        <v>438</v>
      </c>
      <c r="D2273">
        <v>115</v>
      </c>
      <c r="E2273">
        <v>105</v>
      </c>
      <c r="F2273" t="s">
        <v>12</v>
      </c>
      <c r="G2273" t="s">
        <v>1958</v>
      </c>
    </row>
    <row r="2274" spans="1:7" x14ac:dyDescent="0.3">
      <c r="A2274">
        <v>2272</v>
      </c>
      <c r="B2274" t="s">
        <v>2541</v>
      </c>
      <c r="C2274" t="s">
        <v>2538</v>
      </c>
      <c r="D2274">
        <v>200</v>
      </c>
      <c r="E2274">
        <v>150</v>
      </c>
      <c r="F2274" t="s">
        <v>107</v>
      </c>
      <c r="G2274" t="s">
        <v>1958</v>
      </c>
    </row>
    <row r="2275" spans="1:7" x14ac:dyDescent="0.3">
      <c r="A2275">
        <v>2273</v>
      </c>
      <c r="B2275" t="s">
        <v>2542</v>
      </c>
      <c r="C2275" t="s">
        <v>2538</v>
      </c>
      <c r="D2275">
        <v>200</v>
      </c>
      <c r="E2275">
        <v>150</v>
      </c>
      <c r="F2275" t="s">
        <v>107</v>
      </c>
      <c r="G2275" t="s">
        <v>1958</v>
      </c>
    </row>
    <row r="2276" spans="1:7" x14ac:dyDescent="0.3">
      <c r="A2276">
        <v>2274</v>
      </c>
      <c r="B2276" t="s">
        <v>2543</v>
      </c>
      <c r="C2276" t="s">
        <v>2544</v>
      </c>
      <c r="D2276">
        <v>140</v>
      </c>
      <c r="E2276">
        <v>99</v>
      </c>
      <c r="F2276" t="s">
        <v>9</v>
      </c>
      <c r="G2276" t="s">
        <v>1958</v>
      </c>
    </row>
    <row r="2277" spans="1:7" x14ac:dyDescent="0.3">
      <c r="A2277">
        <v>2275</v>
      </c>
      <c r="B2277" t="s">
        <v>2545</v>
      </c>
      <c r="C2277" t="s">
        <v>2538</v>
      </c>
      <c r="D2277">
        <v>200</v>
      </c>
      <c r="E2277">
        <v>150</v>
      </c>
      <c r="F2277" t="s">
        <v>107</v>
      </c>
      <c r="G2277" t="s">
        <v>1958</v>
      </c>
    </row>
    <row r="2278" spans="1:7" x14ac:dyDescent="0.3">
      <c r="A2278">
        <v>2276</v>
      </c>
      <c r="B2278" t="s">
        <v>2546</v>
      </c>
      <c r="C2278" t="s">
        <v>2538</v>
      </c>
      <c r="D2278">
        <v>200</v>
      </c>
      <c r="E2278">
        <v>150</v>
      </c>
      <c r="F2278" t="s">
        <v>107</v>
      </c>
      <c r="G2278" t="s">
        <v>1958</v>
      </c>
    </row>
    <row r="2279" spans="1:7" x14ac:dyDescent="0.3">
      <c r="A2279">
        <v>2277</v>
      </c>
      <c r="B2279" t="s">
        <v>2547</v>
      </c>
      <c r="C2279" t="s">
        <v>2538</v>
      </c>
      <c r="D2279">
        <v>200</v>
      </c>
      <c r="E2279">
        <v>150</v>
      </c>
      <c r="F2279" t="s">
        <v>107</v>
      </c>
      <c r="G2279" t="s">
        <v>1958</v>
      </c>
    </row>
    <row r="2280" spans="1:7" x14ac:dyDescent="0.3">
      <c r="A2280">
        <v>2278</v>
      </c>
      <c r="B2280" t="s">
        <v>2548</v>
      </c>
      <c r="C2280" t="s">
        <v>2538</v>
      </c>
      <c r="D2280">
        <v>200</v>
      </c>
      <c r="E2280">
        <v>150</v>
      </c>
      <c r="F2280" t="s">
        <v>107</v>
      </c>
      <c r="G2280" t="s">
        <v>1958</v>
      </c>
    </row>
    <row r="2281" spans="1:7" x14ac:dyDescent="0.3">
      <c r="A2281">
        <v>2279</v>
      </c>
      <c r="B2281" t="s">
        <v>2549</v>
      </c>
      <c r="C2281" t="s">
        <v>2544</v>
      </c>
      <c r="D2281">
        <v>500</v>
      </c>
      <c r="E2281">
        <v>326</v>
      </c>
      <c r="F2281" t="s">
        <v>15</v>
      </c>
      <c r="G2281" t="s">
        <v>1958</v>
      </c>
    </row>
    <row r="2282" spans="1:7" x14ac:dyDescent="0.3">
      <c r="A2282">
        <v>2280</v>
      </c>
      <c r="B2282" t="s">
        <v>2550</v>
      </c>
      <c r="C2282" t="s">
        <v>2551</v>
      </c>
      <c r="D2282">
        <v>240</v>
      </c>
      <c r="E2282">
        <v>99</v>
      </c>
      <c r="F2282" t="s">
        <v>15</v>
      </c>
      <c r="G2282" t="s">
        <v>1958</v>
      </c>
    </row>
    <row r="2283" spans="1:7" x14ac:dyDescent="0.3">
      <c r="A2283">
        <v>2281</v>
      </c>
      <c r="B2283" t="s">
        <v>2552</v>
      </c>
      <c r="C2283" t="s">
        <v>60</v>
      </c>
      <c r="D2283">
        <v>160</v>
      </c>
      <c r="E2283">
        <v>125</v>
      </c>
      <c r="F2283" t="s">
        <v>1027</v>
      </c>
      <c r="G2283" t="s">
        <v>1958</v>
      </c>
    </row>
    <row r="2284" spans="1:7" x14ac:dyDescent="0.3">
      <c r="A2284">
        <v>2282</v>
      </c>
      <c r="B2284" t="s">
        <v>2553</v>
      </c>
      <c r="C2284" t="s">
        <v>60</v>
      </c>
      <c r="D2284">
        <v>100</v>
      </c>
      <c r="E2284">
        <v>70</v>
      </c>
      <c r="F2284" t="s">
        <v>1027</v>
      </c>
      <c r="G2284" t="s">
        <v>1958</v>
      </c>
    </row>
    <row r="2285" spans="1:7" x14ac:dyDescent="0.3">
      <c r="A2285">
        <v>2283</v>
      </c>
      <c r="B2285" t="s">
        <v>2554</v>
      </c>
      <c r="C2285" t="s">
        <v>981</v>
      </c>
      <c r="D2285">
        <v>240</v>
      </c>
      <c r="E2285">
        <v>223</v>
      </c>
      <c r="F2285" t="s">
        <v>107</v>
      </c>
      <c r="G2285" t="s">
        <v>1958</v>
      </c>
    </row>
    <row r="2286" spans="1:7" x14ac:dyDescent="0.3">
      <c r="A2286">
        <v>2284</v>
      </c>
      <c r="B2286" t="s">
        <v>2555</v>
      </c>
      <c r="C2286" t="s">
        <v>542</v>
      </c>
      <c r="D2286">
        <v>250</v>
      </c>
      <c r="E2286">
        <v>200</v>
      </c>
      <c r="F2286" t="s">
        <v>9</v>
      </c>
      <c r="G2286" t="s">
        <v>1958</v>
      </c>
    </row>
    <row r="2287" spans="1:7" x14ac:dyDescent="0.3">
      <c r="A2287">
        <v>2285</v>
      </c>
      <c r="B2287" t="s">
        <v>2556</v>
      </c>
      <c r="C2287" t="s">
        <v>542</v>
      </c>
      <c r="D2287">
        <v>140</v>
      </c>
      <c r="E2287">
        <v>120</v>
      </c>
      <c r="F2287" t="s">
        <v>1371</v>
      </c>
      <c r="G2287" t="s">
        <v>1958</v>
      </c>
    </row>
    <row r="2288" spans="1:7" x14ac:dyDescent="0.3">
      <c r="A2288">
        <v>2286</v>
      </c>
      <c r="B2288" t="s">
        <v>2557</v>
      </c>
      <c r="C2288" t="s">
        <v>2190</v>
      </c>
      <c r="D2288">
        <v>225</v>
      </c>
      <c r="E2288">
        <v>112</v>
      </c>
      <c r="F2288" t="s">
        <v>15</v>
      </c>
      <c r="G2288" t="s">
        <v>704</v>
      </c>
    </row>
    <row r="2289" spans="1:7" x14ac:dyDescent="0.3">
      <c r="A2289">
        <v>2287</v>
      </c>
      <c r="B2289" t="s">
        <v>2558</v>
      </c>
      <c r="C2289" t="s">
        <v>790</v>
      </c>
      <c r="D2289">
        <v>219</v>
      </c>
      <c r="E2289">
        <v>109</v>
      </c>
      <c r="F2289" t="s">
        <v>15</v>
      </c>
      <c r="G2289" t="s">
        <v>704</v>
      </c>
    </row>
    <row r="2290" spans="1:7" x14ac:dyDescent="0.3">
      <c r="A2290">
        <v>2288</v>
      </c>
      <c r="B2290" t="s">
        <v>2559</v>
      </c>
      <c r="C2290" t="s">
        <v>2190</v>
      </c>
      <c r="D2290">
        <v>60</v>
      </c>
      <c r="E2290">
        <v>49</v>
      </c>
      <c r="F2290" t="s">
        <v>12</v>
      </c>
      <c r="G2290" t="s">
        <v>704</v>
      </c>
    </row>
    <row r="2291" spans="1:7" x14ac:dyDescent="0.3">
      <c r="A2291">
        <v>2289</v>
      </c>
      <c r="B2291" t="s">
        <v>2559</v>
      </c>
      <c r="C2291" t="s">
        <v>2190</v>
      </c>
      <c r="D2291">
        <v>110</v>
      </c>
      <c r="E2291">
        <v>95</v>
      </c>
      <c r="F2291" t="s">
        <v>9</v>
      </c>
      <c r="G2291" t="s">
        <v>704</v>
      </c>
    </row>
    <row r="2292" spans="1:7" x14ac:dyDescent="0.3">
      <c r="A2292">
        <v>2290</v>
      </c>
      <c r="B2292" t="s">
        <v>2560</v>
      </c>
      <c r="C2292" t="s">
        <v>2561</v>
      </c>
      <c r="D2292">
        <v>63</v>
      </c>
      <c r="E2292">
        <v>53</v>
      </c>
      <c r="F2292" t="s">
        <v>12</v>
      </c>
      <c r="G2292" t="s">
        <v>704</v>
      </c>
    </row>
    <row r="2293" spans="1:7" x14ac:dyDescent="0.3">
      <c r="A2293">
        <v>2291</v>
      </c>
      <c r="B2293" t="s">
        <v>2560</v>
      </c>
      <c r="C2293" t="s">
        <v>2561</v>
      </c>
      <c r="D2293">
        <v>115</v>
      </c>
      <c r="E2293">
        <v>85</v>
      </c>
      <c r="F2293" t="s">
        <v>9</v>
      </c>
      <c r="G2293" t="s">
        <v>704</v>
      </c>
    </row>
    <row r="2294" spans="1:7" x14ac:dyDescent="0.3">
      <c r="A2294">
        <v>2292</v>
      </c>
      <c r="B2294" t="s">
        <v>2562</v>
      </c>
      <c r="C2294" t="s">
        <v>542</v>
      </c>
      <c r="D2294">
        <v>200</v>
      </c>
      <c r="E2294">
        <v>100</v>
      </c>
      <c r="F2294" t="s">
        <v>15</v>
      </c>
      <c r="G2294" t="s">
        <v>704</v>
      </c>
    </row>
    <row r="2295" spans="1:7" x14ac:dyDescent="0.3">
      <c r="A2295">
        <v>2293</v>
      </c>
      <c r="B2295" t="s">
        <v>2562</v>
      </c>
      <c r="C2295" t="s">
        <v>542</v>
      </c>
      <c r="D2295">
        <v>115</v>
      </c>
      <c r="E2295">
        <v>105</v>
      </c>
      <c r="F2295" t="s">
        <v>76</v>
      </c>
      <c r="G2295" t="s">
        <v>704</v>
      </c>
    </row>
    <row r="2296" spans="1:7" x14ac:dyDescent="0.3">
      <c r="A2296">
        <v>2294</v>
      </c>
      <c r="B2296" t="s">
        <v>2563</v>
      </c>
      <c r="C2296" t="s">
        <v>2561</v>
      </c>
      <c r="D2296">
        <v>70</v>
      </c>
      <c r="E2296">
        <v>59</v>
      </c>
      <c r="F2296" t="s">
        <v>12</v>
      </c>
      <c r="G2296" t="s">
        <v>704</v>
      </c>
    </row>
    <row r="2297" spans="1:7" x14ac:dyDescent="0.3">
      <c r="A2297">
        <v>2295</v>
      </c>
      <c r="B2297" t="s">
        <v>2564</v>
      </c>
      <c r="C2297" t="s">
        <v>790</v>
      </c>
      <c r="D2297">
        <v>149</v>
      </c>
      <c r="E2297">
        <v>74</v>
      </c>
      <c r="F2297" t="s">
        <v>9</v>
      </c>
      <c r="G2297" t="s">
        <v>704</v>
      </c>
    </row>
    <row r="2298" spans="1:7" x14ac:dyDescent="0.3">
      <c r="A2298">
        <v>2296</v>
      </c>
      <c r="B2298" t="s">
        <v>2565</v>
      </c>
      <c r="C2298" t="s">
        <v>701</v>
      </c>
      <c r="D2298">
        <v>50</v>
      </c>
      <c r="E2298">
        <v>25</v>
      </c>
      <c r="F2298" t="s">
        <v>12</v>
      </c>
      <c r="G2298" t="s">
        <v>704</v>
      </c>
    </row>
    <row r="2299" spans="1:7" x14ac:dyDescent="0.3">
      <c r="A2299">
        <v>2297</v>
      </c>
      <c r="B2299" t="s">
        <v>2566</v>
      </c>
      <c r="C2299" t="s">
        <v>2561</v>
      </c>
      <c r="D2299">
        <v>70</v>
      </c>
      <c r="E2299">
        <v>50</v>
      </c>
      <c r="F2299" t="s">
        <v>12</v>
      </c>
      <c r="G2299" t="s">
        <v>704</v>
      </c>
    </row>
    <row r="2300" spans="1:7" x14ac:dyDescent="0.3">
      <c r="A2300">
        <v>2298</v>
      </c>
      <c r="B2300" t="s">
        <v>2567</v>
      </c>
      <c r="C2300" t="s">
        <v>2561</v>
      </c>
      <c r="D2300">
        <v>63</v>
      </c>
      <c r="E2300">
        <v>50</v>
      </c>
      <c r="F2300" t="s">
        <v>12</v>
      </c>
      <c r="G2300" t="s">
        <v>704</v>
      </c>
    </row>
    <row r="2301" spans="1:7" x14ac:dyDescent="0.3">
      <c r="A2301">
        <v>2299</v>
      </c>
      <c r="B2301" t="s">
        <v>2568</v>
      </c>
      <c r="C2301" t="s">
        <v>542</v>
      </c>
      <c r="D2301">
        <v>120</v>
      </c>
      <c r="E2301">
        <v>105</v>
      </c>
      <c r="F2301" t="s">
        <v>76</v>
      </c>
      <c r="G2301" t="s">
        <v>704</v>
      </c>
    </row>
    <row r="2302" spans="1:7" x14ac:dyDescent="0.3">
      <c r="A2302">
        <v>2300</v>
      </c>
      <c r="B2302" t="s">
        <v>2569</v>
      </c>
      <c r="C2302" t="s">
        <v>542</v>
      </c>
      <c r="D2302">
        <v>115</v>
      </c>
      <c r="E2302">
        <v>105</v>
      </c>
      <c r="F2302" t="s">
        <v>76</v>
      </c>
      <c r="G2302" t="s">
        <v>704</v>
      </c>
    </row>
    <row r="2303" spans="1:7" x14ac:dyDescent="0.3">
      <c r="A2303">
        <v>2301</v>
      </c>
      <c r="B2303" t="s">
        <v>2570</v>
      </c>
      <c r="C2303" t="s">
        <v>790</v>
      </c>
      <c r="D2303">
        <v>219</v>
      </c>
      <c r="E2303">
        <v>109</v>
      </c>
      <c r="F2303" t="s">
        <v>15</v>
      </c>
      <c r="G2303" t="s">
        <v>704</v>
      </c>
    </row>
    <row r="2304" spans="1:7" x14ac:dyDescent="0.3">
      <c r="A2304">
        <v>2302</v>
      </c>
      <c r="B2304" t="s">
        <v>2571</v>
      </c>
      <c r="C2304" t="s">
        <v>2190</v>
      </c>
      <c r="D2304">
        <v>60</v>
      </c>
      <c r="E2304">
        <v>49</v>
      </c>
      <c r="F2304" t="s">
        <v>12</v>
      </c>
      <c r="G2304" t="s">
        <v>704</v>
      </c>
    </row>
    <row r="2305" spans="1:7" x14ac:dyDescent="0.3">
      <c r="A2305">
        <v>2303</v>
      </c>
      <c r="B2305" t="s">
        <v>2571</v>
      </c>
      <c r="C2305" t="s">
        <v>2190</v>
      </c>
      <c r="D2305">
        <v>225</v>
      </c>
      <c r="E2305">
        <v>112</v>
      </c>
      <c r="F2305" t="s">
        <v>15</v>
      </c>
      <c r="G2305" t="s">
        <v>704</v>
      </c>
    </row>
    <row r="2306" spans="1:7" x14ac:dyDescent="0.3">
      <c r="A2306">
        <v>2304</v>
      </c>
      <c r="B2306" t="s">
        <v>2572</v>
      </c>
      <c r="C2306" t="s">
        <v>542</v>
      </c>
      <c r="D2306">
        <v>200</v>
      </c>
      <c r="E2306">
        <v>100</v>
      </c>
      <c r="F2306" t="s">
        <v>15</v>
      </c>
      <c r="G2306" t="s">
        <v>704</v>
      </c>
    </row>
    <row r="2307" spans="1:7" x14ac:dyDescent="0.3">
      <c r="A2307">
        <v>2305</v>
      </c>
      <c r="B2307" t="s">
        <v>2572</v>
      </c>
      <c r="C2307" t="s">
        <v>542</v>
      </c>
      <c r="D2307">
        <v>115</v>
      </c>
      <c r="E2307">
        <v>92</v>
      </c>
      <c r="F2307" t="s">
        <v>76</v>
      </c>
      <c r="G2307" t="s">
        <v>704</v>
      </c>
    </row>
    <row r="2308" spans="1:7" x14ac:dyDescent="0.3">
      <c r="A2308">
        <v>2306</v>
      </c>
      <c r="B2308" t="s">
        <v>2573</v>
      </c>
      <c r="C2308" t="s">
        <v>790</v>
      </c>
      <c r="D2308">
        <v>149</v>
      </c>
      <c r="E2308">
        <v>74</v>
      </c>
      <c r="F2308" t="s">
        <v>9</v>
      </c>
      <c r="G2308" t="s">
        <v>704</v>
      </c>
    </row>
    <row r="2309" spans="1:7" x14ac:dyDescent="0.3">
      <c r="A2309">
        <v>2307</v>
      </c>
      <c r="B2309" t="s">
        <v>2574</v>
      </c>
      <c r="C2309" t="s">
        <v>2561</v>
      </c>
      <c r="D2309">
        <v>63</v>
      </c>
      <c r="E2309">
        <v>45</v>
      </c>
      <c r="F2309" t="s">
        <v>12</v>
      </c>
      <c r="G2309" t="s">
        <v>704</v>
      </c>
    </row>
    <row r="2310" spans="1:7" x14ac:dyDescent="0.3">
      <c r="A2310">
        <v>2308</v>
      </c>
      <c r="B2310" t="s">
        <v>2574</v>
      </c>
      <c r="C2310" t="s">
        <v>2561</v>
      </c>
      <c r="D2310">
        <v>115</v>
      </c>
      <c r="E2310">
        <v>85</v>
      </c>
      <c r="F2310" t="s">
        <v>9</v>
      </c>
      <c r="G2310" t="s">
        <v>704</v>
      </c>
    </row>
    <row r="2311" spans="1:7" x14ac:dyDescent="0.3">
      <c r="A2311">
        <v>2309</v>
      </c>
      <c r="B2311" t="s">
        <v>2575</v>
      </c>
      <c r="C2311" t="s">
        <v>701</v>
      </c>
      <c r="D2311">
        <v>50</v>
      </c>
      <c r="E2311">
        <v>25</v>
      </c>
      <c r="F2311" t="s">
        <v>12</v>
      </c>
      <c r="G2311" t="s">
        <v>704</v>
      </c>
    </row>
    <row r="2312" spans="1:7" x14ac:dyDescent="0.3">
      <c r="A2312">
        <v>2310</v>
      </c>
      <c r="B2312" t="s">
        <v>2576</v>
      </c>
      <c r="C2312" t="s">
        <v>2190</v>
      </c>
      <c r="D2312">
        <v>60</v>
      </c>
      <c r="E2312">
        <v>49</v>
      </c>
      <c r="F2312" t="s">
        <v>12</v>
      </c>
      <c r="G2312" t="s">
        <v>704</v>
      </c>
    </row>
    <row r="2313" spans="1:7" x14ac:dyDescent="0.3">
      <c r="A2313">
        <v>2311</v>
      </c>
      <c r="B2313" t="s">
        <v>2577</v>
      </c>
      <c r="C2313" t="s">
        <v>2561</v>
      </c>
      <c r="D2313">
        <v>63</v>
      </c>
      <c r="E2313">
        <v>53</v>
      </c>
      <c r="F2313" t="s">
        <v>12</v>
      </c>
      <c r="G2313" t="s">
        <v>704</v>
      </c>
    </row>
    <row r="2314" spans="1:7" x14ac:dyDescent="0.3">
      <c r="A2314">
        <v>2312</v>
      </c>
      <c r="B2314" t="s">
        <v>2578</v>
      </c>
      <c r="C2314" t="s">
        <v>542</v>
      </c>
      <c r="D2314">
        <v>120</v>
      </c>
      <c r="E2314">
        <v>105</v>
      </c>
      <c r="F2314" t="s">
        <v>76</v>
      </c>
      <c r="G2314" t="s">
        <v>704</v>
      </c>
    </row>
    <row r="2315" spans="1:7" x14ac:dyDescent="0.3">
      <c r="A2315">
        <v>2313</v>
      </c>
      <c r="B2315" t="s">
        <v>2579</v>
      </c>
      <c r="C2315" t="s">
        <v>2360</v>
      </c>
      <c r="D2315">
        <v>118</v>
      </c>
      <c r="E2315">
        <v>94</v>
      </c>
      <c r="F2315" t="s">
        <v>76</v>
      </c>
      <c r="G2315" t="s">
        <v>704</v>
      </c>
    </row>
    <row r="2316" spans="1:7" x14ac:dyDescent="0.3">
      <c r="A2316">
        <v>2314</v>
      </c>
      <c r="B2316" t="s">
        <v>2580</v>
      </c>
      <c r="C2316" t="s">
        <v>2360</v>
      </c>
      <c r="D2316">
        <v>94</v>
      </c>
      <c r="E2316">
        <v>69</v>
      </c>
      <c r="F2316" t="s">
        <v>76</v>
      </c>
      <c r="G2316" t="s">
        <v>704</v>
      </c>
    </row>
    <row r="2317" spans="1:7" x14ac:dyDescent="0.3">
      <c r="A2317">
        <v>2315</v>
      </c>
      <c r="B2317" t="s">
        <v>2581</v>
      </c>
      <c r="C2317" t="s">
        <v>2296</v>
      </c>
      <c r="D2317">
        <v>85</v>
      </c>
      <c r="E2317">
        <v>42</v>
      </c>
      <c r="F2317" t="s">
        <v>107</v>
      </c>
      <c r="G2317" t="s">
        <v>704</v>
      </c>
    </row>
    <row r="2318" spans="1:7" x14ac:dyDescent="0.3">
      <c r="A2318">
        <v>2316</v>
      </c>
      <c r="B2318" t="s">
        <v>2581</v>
      </c>
      <c r="C2318" t="s">
        <v>2296</v>
      </c>
      <c r="D2318">
        <v>265</v>
      </c>
      <c r="E2318">
        <v>132</v>
      </c>
      <c r="F2318" t="s">
        <v>15</v>
      </c>
      <c r="G2318" t="s">
        <v>704</v>
      </c>
    </row>
    <row r="2319" spans="1:7" x14ac:dyDescent="0.3">
      <c r="A2319">
        <v>2317</v>
      </c>
      <c r="B2319" t="s">
        <v>2582</v>
      </c>
      <c r="C2319" t="s">
        <v>2583</v>
      </c>
      <c r="D2319">
        <v>60</v>
      </c>
      <c r="E2319">
        <v>45</v>
      </c>
      <c r="F2319" t="s">
        <v>12</v>
      </c>
      <c r="G2319" t="s">
        <v>704</v>
      </c>
    </row>
    <row r="2320" spans="1:7" x14ac:dyDescent="0.3">
      <c r="A2320">
        <v>2318</v>
      </c>
      <c r="B2320" t="s">
        <v>2584</v>
      </c>
      <c r="C2320" t="s">
        <v>542</v>
      </c>
      <c r="D2320">
        <v>60</v>
      </c>
      <c r="E2320">
        <v>49</v>
      </c>
      <c r="F2320" t="s">
        <v>11</v>
      </c>
      <c r="G2320" t="s">
        <v>704</v>
      </c>
    </row>
    <row r="2321" spans="1:7" x14ac:dyDescent="0.3">
      <c r="A2321">
        <v>2319</v>
      </c>
      <c r="B2321" t="s">
        <v>2585</v>
      </c>
      <c r="C2321" t="s">
        <v>2538</v>
      </c>
      <c r="D2321">
        <v>48</v>
      </c>
      <c r="E2321">
        <v>24</v>
      </c>
      <c r="F2321" t="s">
        <v>11</v>
      </c>
      <c r="G2321" t="s">
        <v>704</v>
      </c>
    </row>
    <row r="2322" spans="1:7" x14ac:dyDescent="0.3">
      <c r="A2322">
        <v>2320</v>
      </c>
      <c r="B2322" t="s">
        <v>2586</v>
      </c>
      <c r="C2322" t="s">
        <v>542</v>
      </c>
      <c r="D2322">
        <v>50</v>
      </c>
      <c r="E2322">
        <v>40</v>
      </c>
      <c r="F2322" t="s">
        <v>11</v>
      </c>
      <c r="G2322" t="s">
        <v>704</v>
      </c>
    </row>
    <row r="2323" spans="1:7" x14ac:dyDescent="0.3">
      <c r="A2323">
        <v>2321</v>
      </c>
      <c r="B2323" t="s">
        <v>2587</v>
      </c>
      <c r="C2323" t="s">
        <v>790</v>
      </c>
      <c r="D2323">
        <v>60</v>
      </c>
      <c r="E2323">
        <v>40</v>
      </c>
      <c r="F2323" t="s">
        <v>12</v>
      </c>
      <c r="G2323" t="s">
        <v>704</v>
      </c>
    </row>
    <row r="2324" spans="1:7" x14ac:dyDescent="0.3">
      <c r="A2324">
        <v>2322</v>
      </c>
      <c r="B2324" t="s">
        <v>2588</v>
      </c>
      <c r="C2324" t="s">
        <v>2360</v>
      </c>
      <c r="D2324">
        <v>168</v>
      </c>
      <c r="E2324">
        <v>84</v>
      </c>
      <c r="F2324" t="s">
        <v>76</v>
      </c>
      <c r="G2324" t="s">
        <v>704</v>
      </c>
    </row>
    <row r="2325" spans="1:7" x14ac:dyDescent="0.3">
      <c r="A2325">
        <v>2323</v>
      </c>
      <c r="B2325" t="s">
        <v>2589</v>
      </c>
      <c r="C2325" t="s">
        <v>2360</v>
      </c>
      <c r="D2325">
        <v>148</v>
      </c>
      <c r="E2325">
        <v>74</v>
      </c>
      <c r="F2325" t="s">
        <v>76</v>
      </c>
      <c r="G2325" t="s">
        <v>704</v>
      </c>
    </row>
    <row r="2326" spans="1:7" x14ac:dyDescent="0.3">
      <c r="A2326">
        <v>2324</v>
      </c>
      <c r="B2326" t="s">
        <v>2590</v>
      </c>
      <c r="C2326" t="s">
        <v>790</v>
      </c>
      <c r="D2326">
        <v>60</v>
      </c>
      <c r="E2326">
        <v>41</v>
      </c>
      <c r="F2326" t="s">
        <v>12</v>
      </c>
      <c r="G2326" t="s">
        <v>704</v>
      </c>
    </row>
    <row r="2327" spans="1:7" x14ac:dyDescent="0.3">
      <c r="A2327">
        <v>2325</v>
      </c>
      <c r="B2327" t="s">
        <v>2591</v>
      </c>
      <c r="C2327" t="s">
        <v>2592</v>
      </c>
      <c r="D2327">
        <v>190</v>
      </c>
      <c r="E2327">
        <v>160</v>
      </c>
      <c r="F2327" t="s">
        <v>2593</v>
      </c>
      <c r="G2327" t="s">
        <v>1510</v>
      </c>
    </row>
    <row r="2328" spans="1:7" x14ac:dyDescent="0.3">
      <c r="A2328">
        <v>2326</v>
      </c>
      <c r="B2328" t="s">
        <v>2591</v>
      </c>
      <c r="C2328" t="s">
        <v>2592</v>
      </c>
      <c r="D2328">
        <v>285</v>
      </c>
      <c r="E2328">
        <v>215</v>
      </c>
      <c r="F2328" t="s">
        <v>2594</v>
      </c>
      <c r="G2328" t="s">
        <v>1510</v>
      </c>
    </row>
    <row r="2329" spans="1:7" x14ac:dyDescent="0.3">
      <c r="A2329">
        <v>2327</v>
      </c>
      <c r="B2329" t="s">
        <v>2595</v>
      </c>
      <c r="C2329" t="s">
        <v>2237</v>
      </c>
      <c r="D2329">
        <v>395</v>
      </c>
      <c r="E2329">
        <v>312</v>
      </c>
      <c r="F2329" t="s">
        <v>2117</v>
      </c>
      <c r="G2329" t="s">
        <v>1510</v>
      </c>
    </row>
    <row r="2330" spans="1:7" x14ac:dyDescent="0.3">
      <c r="A2330">
        <v>2328</v>
      </c>
      <c r="B2330" t="s">
        <v>2595</v>
      </c>
      <c r="C2330" t="s">
        <v>2237</v>
      </c>
      <c r="D2330">
        <v>220</v>
      </c>
      <c r="E2330">
        <v>199</v>
      </c>
      <c r="F2330" t="s">
        <v>9</v>
      </c>
      <c r="G2330" t="s">
        <v>1510</v>
      </c>
    </row>
    <row r="2331" spans="1:7" x14ac:dyDescent="0.3">
      <c r="A2331">
        <v>2329</v>
      </c>
      <c r="B2331" t="s">
        <v>2595</v>
      </c>
      <c r="C2331" t="s">
        <v>2237</v>
      </c>
      <c r="D2331">
        <v>110</v>
      </c>
      <c r="E2331">
        <v>102</v>
      </c>
      <c r="F2331" t="s">
        <v>107</v>
      </c>
      <c r="G2331" t="s">
        <v>1510</v>
      </c>
    </row>
    <row r="2332" spans="1:7" x14ac:dyDescent="0.3">
      <c r="A2332">
        <v>2330</v>
      </c>
      <c r="B2332" t="s">
        <v>2596</v>
      </c>
      <c r="C2332" t="s">
        <v>2592</v>
      </c>
      <c r="D2332">
        <v>150</v>
      </c>
      <c r="E2332">
        <v>125</v>
      </c>
      <c r="F2332" t="s">
        <v>11</v>
      </c>
      <c r="G2332" t="s">
        <v>1510</v>
      </c>
    </row>
    <row r="2333" spans="1:7" x14ac:dyDescent="0.3">
      <c r="A2333">
        <v>2331</v>
      </c>
      <c r="B2333" t="s">
        <v>2597</v>
      </c>
      <c r="C2333" t="s">
        <v>2592</v>
      </c>
      <c r="D2333">
        <v>190</v>
      </c>
      <c r="E2333">
        <v>160</v>
      </c>
      <c r="F2333" t="s">
        <v>2593</v>
      </c>
      <c r="G2333" t="s">
        <v>1510</v>
      </c>
    </row>
    <row r="2334" spans="1:7" x14ac:dyDescent="0.3">
      <c r="A2334">
        <v>2332</v>
      </c>
      <c r="B2334" t="s">
        <v>2597</v>
      </c>
      <c r="C2334" t="s">
        <v>2592</v>
      </c>
      <c r="D2334">
        <v>300</v>
      </c>
      <c r="E2334">
        <v>260</v>
      </c>
      <c r="F2334" t="s">
        <v>2594</v>
      </c>
      <c r="G2334" t="s">
        <v>1510</v>
      </c>
    </row>
    <row r="2335" spans="1:7" x14ac:dyDescent="0.3">
      <c r="A2335">
        <v>2333</v>
      </c>
      <c r="B2335" t="s">
        <v>2598</v>
      </c>
      <c r="C2335" t="s">
        <v>1314</v>
      </c>
      <c r="D2335">
        <v>220</v>
      </c>
      <c r="E2335">
        <v>205</v>
      </c>
      <c r="F2335" t="s">
        <v>2599</v>
      </c>
      <c r="G2335" t="s">
        <v>1510</v>
      </c>
    </row>
    <row r="2336" spans="1:7" x14ac:dyDescent="0.3">
      <c r="A2336">
        <v>2334</v>
      </c>
      <c r="B2336" t="s">
        <v>2600</v>
      </c>
      <c r="C2336" t="s">
        <v>410</v>
      </c>
      <c r="D2336">
        <v>280</v>
      </c>
      <c r="E2336">
        <v>250</v>
      </c>
      <c r="F2336" t="s">
        <v>15</v>
      </c>
      <c r="G2336" t="s">
        <v>1510</v>
      </c>
    </row>
    <row r="2337" spans="1:7" x14ac:dyDescent="0.3">
      <c r="A2337">
        <v>2335</v>
      </c>
      <c r="B2337" t="s">
        <v>2601</v>
      </c>
      <c r="C2337" t="s">
        <v>2602</v>
      </c>
      <c r="D2337">
        <v>70</v>
      </c>
      <c r="E2337">
        <v>48</v>
      </c>
      <c r="F2337" t="s">
        <v>216</v>
      </c>
      <c r="G2337" t="s">
        <v>1510</v>
      </c>
    </row>
    <row r="2338" spans="1:7" x14ac:dyDescent="0.3">
      <c r="A2338">
        <v>2336</v>
      </c>
      <c r="B2338" t="s">
        <v>2603</v>
      </c>
      <c r="C2338" t="s">
        <v>1139</v>
      </c>
      <c r="D2338">
        <v>499</v>
      </c>
      <c r="E2338">
        <v>349</v>
      </c>
      <c r="F2338" t="s">
        <v>2604</v>
      </c>
      <c r="G2338" t="s">
        <v>1510</v>
      </c>
    </row>
    <row r="2339" spans="1:7" x14ac:dyDescent="0.3">
      <c r="A2339">
        <v>2337</v>
      </c>
      <c r="B2339" t="s">
        <v>2605</v>
      </c>
      <c r="C2339" t="s">
        <v>2237</v>
      </c>
      <c r="D2339">
        <v>440</v>
      </c>
      <c r="E2339">
        <v>395</v>
      </c>
      <c r="F2339" t="s">
        <v>254</v>
      </c>
      <c r="G2339" t="s">
        <v>1510</v>
      </c>
    </row>
    <row r="2340" spans="1:7" x14ac:dyDescent="0.3">
      <c r="A2340">
        <v>2338</v>
      </c>
      <c r="B2340" t="s">
        <v>2606</v>
      </c>
      <c r="C2340" t="s">
        <v>2602</v>
      </c>
      <c r="D2340">
        <v>70</v>
      </c>
      <c r="E2340">
        <v>48</v>
      </c>
      <c r="F2340" t="s">
        <v>216</v>
      </c>
      <c r="G2340" t="s">
        <v>1510</v>
      </c>
    </row>
    <row r="2341" spans="1:7" x14ac:dyDescent="0.3">
      <c r="A2341">
        <v>2339</v>
      </c>
      <c r="B2341" t="s">
        <v>2607</v>
      </c>
      <c r="C2341" t="s">
        <v>2592</v>
      </c>
      <c r="D2341">
        <v>150</v>
      </c>
      <c r="E2341">
        <v>130</v>
      </c>
      <c r="F2341" t="s">
        <v>11</v>
      </c>
      <c r="G2341" t="s">
        <v>1510</v>
      </c>
    </row>
    <row r="2342" spans="1:7" x14ac:dyDescent="0.3">
      <c r="A2342">
        <v>2340</v>
      </c>
      <c r="B2342" t="s">
        <v>2608</v>
      </c>
      <c r="C2342" t="s">
        <v>2602</v>
      </c>
      <c r="D2342">
        <v>65</v>
      </c>
      <c r="E2342">
        <v>45</v>
      </c>
      <c r="F2342" t="s">
        <v>216</v>
      </c>
      <c r="G2342" t="s">
        <v>1510</v>
      </c>
    </row>
    <row r="2343" spans="1:7" x14ac:dyDescent="0.3">
      <c r="A2343">
        <v>2341</v>
      </c>
      <c r="B2343" t="s">
        <v>2609</v>
      </c>
      <c r="C2343" t="s">
        <v>113</v>
      </c>
      <c r="D2343">
        <v>525</v>
      </c>
      <c r="E2343">
        <v>262</v>
      </c>
      <c r="F2343" t="s">
        <v>2222</v>
      </c>
      <c r="G2343" t="s">
        <v>1510</v>
      </c>
    </row>
    <row r="2344" spans="1:7" x14ac:dyDescent="0.3">
      <c r="A2344">
        <v>2342</v>
      </c>
      <c r="B2344" t="s">
        <v>2610</v>
      </c>
      <c r="C2344" t="s">
        <v>2592</v>
      </c>
      <c r="D2344">
        <v>240</v>
      </c>
      <c r="E2344">
        <v>205</v>
      </c>
      <c r="F2344" t="s">
        <v>720</v>
      </c>
      <c r="G2344" t="s">
        <v>1510</v>
      </c>
    </row>
    <row r="2345" spans="1:7" x14ac:dyDescent="0.3">
      <c r="A2345">
        <v>2343</v>
      </c>
      <c r="B2345" t="s">
        <v>2611</v>
      </c>
      <c r="C2345" t="s">
        <v>1285</v>
      </c>
      <c r="D2345">
        <v>225</v>
      </c>
      <c r="E2345">
        <v>129</v>
      </c>
      <c r="F2345" t="s">
        <v>9</v>
      </c>
      <c r="G2345" t="s">
        <v>1510</v>
      </c>
    </row>
    <row r="2346" spans="1:7" x14ac:dyDescent="0.3">
      <c r="A2346">
        <v>2344</v>
      </c>
      <c r="B2346" t="s">
        <v>2611</v>
      </c>
      <c r="C2346" t="s">
        <v>1285</v>
      </c>
      <c r="D2346">
        <v>395</v>
      </c>
      <c r="E2346">
        <v>315</v>
      </c>
      <c r="F2346" t="s">
        <v>15</v>
      </c>
      <c r="G2346" t="s">
        <v>1510</v>
      </c>
    </row>
    <row r="2347" spans="1:7" x14ac:dyDescent="0.3">
      <c r="A2347">
        <v>2345</v>
      </c>
      <c r="B2347" t="s">
        <v>2612</v>
      </c>
      <c r="C2347" t="s">
        <v>2613</v>
      </c>
      <c r="D2347">
        <v>230</v>
      </c>
      <c r="E2347">
        <v>195</v>
      </c>
      <c r="F2347" t="s">
        <v>391</v>
      </c>
      <c r="G2347" t="s">
        <v>1510</v>
      </c>
    </row>
    <row r="2348" spans="1:7" x14ac:dyDescent="0.3">
      <c r="A2348">
        <v>2346</v>
      </c>
      <c r="B2348" t="s">
        <v>2614</v>
      </c>
      <c r="C2348" t="s">
        <v>2592</v>
      </c>
      <c r="D2348">
        <v>170</v>
      </c>
      <c r="E2348">
        <v>140</v>
      </c>
      <c r="F2348" t="s">
        <v>12</v>
      </c>
      <c r="G2348" t="s">
        <v>1510</v>
      </c>
    </row>
    <row r="2349" spans="1:7" x14ac:dyDescent="0.3">
      <c r="A2349">
        <v>2347</v>
      </c>
      <c r="B2349" t="s">
        <v>2615</v>
      </c>
      <c r="C2349" t="s">
        <v>1285</v>
      </c>
      <c r="D2349">
        <v>190</v>
      </c>
      <c r="E2349">
        <v>145</v>
      </c>
      <c r="F2349" t="s">
        <v>9</v>
      </c>
      <c r="G2349" t="s">
        <v>1510</v>
      </c>
    </row>
    <row r="2350" spans="1:7" x14ac:dyDescent="0.3">
      <c r="A2350">
        <v>2348</v>
      </c>
      <c r="B2350" t="s">
        <v>2615</v>
      </c>
      <c r="C2350" t="s">
        <v>1285</v>
      </c>
      <c r="D2350">
        <v>349</v>
      </c>
      <c r="E2350">
        <v>254</v>
      </c>
      <c r="F2350" t="s">
        <v>15</v>
      </c>
      <c r="G2350" t="s">
        <v>1510</v>
      </c>
    </row>
    <row r="2351" spans="1:7" x14ac:dyDescent="0.3">
      <c r="A2351">
        <v>2349</v>
      </c>
      <c r="B2351" t="s">
        <v>2616</v>
      </c>
      <c r="C2351" t="s">
        <v>2592</v>
      </c>
      <c r="D2351">
        <v>140</v>
      </c>
      <c r="E2351">
        <v>126</v>
      </c>
      <c r="F2351" t="s">
        <v>2617</v>
      </c>
      <c r="G2351" t="s">
        <v>1510</v>
      </c>
    </row>
    <row r="2352" spans="1:7" x14ac:dyDescent="0.3">
      <c r="A2352">
        <v>2350</v>
      </c>
      <c r="B2352" t="s">
        <v>2618</v>
      </c>
      <c r="C2352" t="s">
        <v>2602</v>
      </c>
      <c r="D2352">
        <v>45</v>
      </c>
      <c r="E2352">
        <v>30</v>
      </c>
      <c r="F2352" t="s">
        <v>740</v>
      </c>
      <c r="G2352" t="s">
        <v>1510</v>
      </c>
    </row>
    <row r="2353" spans="1:7" x14ac:dyDescent="0.3">
      <c r="A2353">
        <v>2351</v>
      </c>
      <c r="B2353" t="s">
        <v>2619</v>
      </c>
      <c r="C2353" t="s">
        <v>2602</v>
      </c>
      <c r="D2353">
        <v>45</v>
      </c>
      <c r="E2353">
        <v>30</v>
      </c>
      <c r="F2353" t="s">
        <v>740</v>
      </c>
      <c r="G2353" t="s">
        <v>1510</v>
      </c>
    </row>
    <row r="2354" spans="1:7" x14ac:dyDescent="0.3">
      <c r="A2354">
        <v>2352</v>
      </c>
      <c r="B2354" t="s">
        <v>2620</v>
      </c>
      <c r="C2354" t="s">
        <v>2592</v>
      </c>
      <c r="D2354">
        <v>44</v>
      </c>
      <c r="E2354">
        <v>39</v>
      </c>
      <c r="F2354" t="s">
        <v>2621</v>
      </c>
      <c r="G2354" t="s">
        <v>1510</v>
      </c>
    </row>
    <row r="2355" spans="1:7" x14ac:dyDescent="0.3">
      <c r="A2355">
        <v>2353</v>
      </c>
      <c r="B2355" t="s">
        <v>2622</v>
      </c>
      <c r="C2355" t="s">
        <v>820</v>
      </c>
      <c r="D2355">
        <v>150</v>
      </c>
      <c r="E2355">
        <v>105</v>
      </c>
      <c r="F2355" t="s">
        <v>216</v>
      </c>
      <c r="G2355" t="s">
        <v>1510</v>
      </c>
    </row>
    <row r="2356" spans="1:7" x14ac:dyDescent="0.3">
      <c r="A2356">
        <v>2354</v>
      </c>
      <c r="B2356" t="s">
        <v>2623</v>
      </c>
      <c r="C2356" t="s">
        <v>1285</v>
      </c>
      <c r="D2356">
        <v>720</v>
      </c>
      <c r="E2356">
        <v>552</v>
      </c>
      <c r="F2356" t="s">
        <v>15</v>
      </c>
      <c r="G2356" t="s">
        <v>1510</v>
      </c>
    </row>
    <row r="2357" spans="1:7" x14ac:dyDescent="0.3">
      <c r="A2357">
        <v>2355</v>
      </c>
      <c r="B2357" t="s">
        <v>2624</v>
      </c>
      <c r="C2357" t="s">
        <v>1285</v>
      </c>
      <c r="D2357">
        <v>110</v>
      </c>
      <c r="E2357">
        <v>88</v>
      </c>
      <c r="F2357" t="s">
        <v>399</v>
      </c>
      <c r="G2357" t="s">
        <v>1510</v>
      </c>
    </row>
    <row r="2358" spans="1:7" x14ac:dyDescent="0.3">
      <c r="A2358">
        <v>2356</v>
      </c>
      <c r="B2358" t="s">
        <v>2625</v>
      </c>
      <c r="C2358" t="s">
        <v>1031</v>
      </c>
      <c r="D2358">
        <v>495</v>
      </c>
      <c r="E2358">
        <v>445</v>
      </c>
      <c r="F2358" t="s">
        <v>9</v>
      </c>
      <c r="G2358" t="s">
        <v>1510</v>
      </c>
    </row>
    <row r="2359" spans="1:7" x14ac:dyDescent="0.3">
      <c r="A2359">
        <v>2357</v>
      </c>
      <c r="B2359" t="s">
        <v>2626</v>
      </c>
      <c r="C2359" t="s">
        <v>2627</v>
      </c>
      <c r="D2359">
        <v>299</v>
      </c>
      <c r="E2359">
        <v>149</v>
      </c>
      <c r="F2359" t="s">
        <v>1673</v>
      </c>
      <c r="G2359" t="s">
        <v>1510</v>
      </c>
    </row>
    <row r="2360" spans="1:7" x14ac:dyDescent="0.3">
      <c r="A2360">
        <v>2358</v>
      </c>
      <c r="B2360" t="s">
        <v>2628</v>
      </c>
      <c r="C2360" t="s">
        <v>2627</v>
      </c>
      <c r="D2360">
        <v>299</v>
      </c>
      <c r="E2360">
        <v>149</v>
      </c>
      <c r="F2360" t="s">
        <v>720</v>
      </c>
      <c r="G2360" t="s">
        <v>1510</v>
      </c>
    </row>
    <row r="2361" spans="1:7" x14ac:dyDescent="0.3">
      <c r="A2361">
        <v>2359</v>
      </c>
      <c r="B2361" t="s">
        <v>2629</v>
      </c>
      <c r="C2361" t="s">
        <v>2630</v>
      </c>
      <c r="D2361">
        <v>285</v>
      </c>
      <c r="E2361">
        <v>199</v>
      </c>
      <c r="F2361" t="s">
        <v>652</v>
      </c>
      <c r="G2361" t="s">
        <v>1510</v>
      </c>
    </row>
    <row r="2362" spans="1:7" x14ac:dyDescent="0.3">
      <c r="A2362">
        <v>2360</v>
      </c>
      <c r="B2362" t="s">
        <v>2631</v>
      </c>
      <c r="C2362" t="s">
        <v>2630</v>
      </c>
      <c r="D2362">
        <v>725</v>
      </c>
      <c r="E2362">
        <v>510</v>
      </c>
      <c r="F2362" t="s">
        <v>2632</v>
      </c>
      <c r="G2362" t="s">
        <v>1510</v>
      </c>
    </row>
    <row r="2363" spans="1:7" x14ac:dyDescent="0.3">
      <c r="A2363">
        <v>2361</v>
      </c>
      <c r="B2363" t="s">
        <v>2633</v>
      </c>
      <c r="C2363" t="s">
        <v>2630</v>
      </c>
      <c r="D2363">
        <v>723</v>
      </c>
      <c r="E2363">
        <v>578</v>
      </c>
      <c r="F2363" t="s">
        <v>9</v>
      </c>
      <c r="G2363" t="s">
        <v>1510</v>
      </c>
    </row>
    <row r="2364" spans="1:7" x14ac:dyDescent="0.3">
      <c r="A2364">
        <v>2362</v>
      </c>
      <c r="B2364" t="s">
        <v>2634</v>
      </c>
      <c r="C2364" t="s">
        <v>2630</v>
      </c>
      <c r="D2364">
        <v>285</v>
      </c>
      <c r="E2364">
        <v>228</v>
      </c>
      <c r="F2364" t="s">
        <v>652</v>
      </c>
      <c r="G2364" t="s">
        <v>1510</v>
      </c>
    </row>
    <row r="2365" spans="1:7" x14ac:dyDescent="0.3">
      <c r="A2365">
        <v>2363</v>
      </c>
      <c r="B2365" t="s">
        <v>2635</v>
      </c>
      <c r="C2365" t="s">
        <v>2143</v>
      </c>
      <c r="D2365">
        <v>60</v>
      </c>
      <c r="E2365">
        <v>40</v>
      </c>
      <c r="F2365" t="s">
        <v>2636</v>
      </c>
      <c r="G2365" t="s">
        <v>1954</v>
      </c>
    </row>
    <row r="2366" spans="1:7" x14ac:dyDescent="0.3">
      <c r="A2366">
        <v>2364</v>
      </c>
      <c r="B2366" t="s">
        <v>2637</v>
      </c>
      <c r="C2366" t="s">
        <v>2143</v>
      </c>
      <c r="D2366">
        <v>60</v>
      </c>
      <c r="E2366">
        <v>44</v>
      </c>
      <c r="F2366" t="s">
        <v>2638</v>
      </c>
      <c r="G2366" t="s">
        <v>1954</v>
      </c>
    </row>
    <row r="2367" spans="1:7" x14ac:dyDescent="0.3">
      <c r="A2367">
        <v>2365</v>
      </c>
      <c r="B2367" t="s">
        <v>2639</v>
      </c>
      <c r="C2367" t="s">
        <v>2143</v>
      </c>
      <c r="D2367">
        <v>10</v>
      </c>
      <c r="E2367">
        <v>9</v>
      </c>
      <c r="F2367" t="s">
        <v>2640</v>
      </c>
      <c r="G2367" t="s">
        <v>1954</v>
      </c>
    </row>
    <row r="2368" spans="1:7" x14ac:dyDescent="0.3">
      <c r="A2368">
        <v>2366</v>
      </c>
      <c r="B2368" t="s">
        <v>2641</v>
      </c>
      <c r="C2368" t="s">
        <v>2143</v>
      </c>
      <c r="D2368">
        <v>10</v>
      </c>
      <c r="E2368">
        <v>9</v>
      </c>
      <c r="F2368" t="s">
        <v>2642</v>
      </c>
      <c r="G2368" t="s">
        <v>1954</v>
      </c>
    </row>
    <row r="2369" spans="1:7" x14ac:dyDescent="0.3">
      <c r="A2369">
        <v>2367</v>
      </c>
      <c r="B2369" t="s">
        <v>2643</v>
      </c>
      <c r="C2369" t="s">
        <v>2143</v>
      </c>
      <c r="D2369">
        <v>60</v>
      </c>
      <c r="E2369">
        <v>40</v>
      </c>
      <c r="F2369" t="s">
        <v>2644</v>
      </c>
      <c r="G2369" t="s">
        <v>1954</v>
      </c>
    </row>
    <row r="2370" spans="1:7" x14ac:dyDescent="0.3">
      <c r="A2370">
        <v>2368</v>
      </c>
      <c r="B2370" t="s">
        <v>2645</v>
      </c>
      <c r="C2370" t="s">
        <v>2143</v>
      </c>
      <c r="D2370">
        <v>60</v>
      </c>
      <c r="E2370">
        <v>40</v>
      </c>
      <c r="F2370" t="s">
        <v>740</v>
      </c>
      <c r="G2370" t="s">
        <v>1954</v>
      </c>
    </row>
    <row r="2371" spans="1:7" x14ac:dyDescent="0.3">
      <c r="A2371">
        <v>2369</v>
      </c>
      <c r="B2371" t="s">
        <v>2646</v>
      </c>
      <c r="C2371" t="s">
        <v>2143</v>
      </c>
      <c r="D2371">
        <v>10</v>
      </c>
      <c r="E2371">
        <v>9</v>
      </c>
      <c r="F2371" t="s">
        <v>2647</v>
      </c>
      <c r="G2371" t="s">
        <v>1954</v>
      </c>
    </row>
    <row r="2372" spans="1:7" x14ac:dyDescent="0.3">
      <c r="A2372">
        <v>2370</v>
      </c>
      <c r="B2372" t="s">
        <v>2648</v>
      </c>
      <c r="C2372" t="s">
        <v>726</v>
      </c>
      <c r="D2372">
        <v>10</v>
      </c>
      <c r="E2372">
        <v>9</v>
      </c>
      <c r="F2372" t="s">
        <v>2649</v>
      </c>
      <c r="G2372" t="s">
        <v>1954</v>
      </c>
    </row>
    <row r="2373" spans="1:7" x14ac:dyDescent="0.3">
      <c r="A2373">
        <v>2371</v>
      </c>
      <c r="B2373" t="s">
        <v>2648</v>
      </c>
      <c r="C2373" t="s">
        <v>726</v>
      </c>
      <c r="D2373">
        <v>55</v>
      </c>
      <c r="E2373">
        <v>40</v>
      </c>
      <c r="F2373" t="s">
        <v>1645</v>
      </c>
      <c r="G2373" t="s">
        <v>1954</v>
      </c>
    </row>
    <row r="2374" spans="1:7" x14ac:dyDescent="0.3">
      <c r="A2374">
        <v>2372</v>
      </c>
      <c r="B2374" t="s">
        <v>2650</v>
      </c>
      <c r="C2374" t="s">
        <v>2143</v>
      </c>
      <c r="D2374">
        <v>60</v>
      </c>
      <c r="E2374">
        <v>40</v>
      </c>
      <c r="F2374" t="s">
        <v>2091</v>
      </c>
      <c r="G2374" t="s">
        <v>1954</v>
      </c>
    </row>
    <row r="2375" spans="1:7" x14ac:dyDescent="0.3">
      <c r="A2375">
        <v>2373</v>
      </c>
      <c r="B2375" t="s">
        <v>2651</v>
      </c>
      <c r="C2375" t="s">
        <v>2143</v>
      </c>
      <c r="D2375">
        <v>10</v>
      </c>
      <c r="E2375">
        <v>9</v>
      </c>
      <c r="F2375" t="s">
        <v>280</v>
      </c>
      <c r="G2375" t="s">
        <v>1954</v>
      </c>
    </row>
    <row r="2376" spans="1:7" x14ac:dyDescent="0.3">
      <c r="A2376">
        <v>2374</v>
      </c>
      <c r="B2376" t="s">
        <v>2652</v>
      </c>
      <c r="C2376" t="s">
        <v>2143</v>
      </c>
      <c r="D2376">
        <v>75</v>
      </c>
      <c r="E2376">
        <v>52</v>
      </c>
      <c r="F2376" t="s">
        <v>2008</v>
      </c>
      <c r="G2376" t="s">
        <v>1954</v>
      </c>
    </row>
    <row r="2377" spans="1:7" x14ac:dyDescent="0.3">
      <c r="A2377">
        <v>2375</v>
      </c>
      <c r="B2377" t="s">
        <v>2653</v>
      </c>
      <c r="C2377" t="s">
        <v>2143</v>
      </c>
      <c r="D2377">
        <v>70</v>
      </c>
      <c r="E2377">
        <v>52</v>
      </c>
      <c r="F2377" t="s">
        <v>2297</v>
      </c>
      <c r="G2377" t="s">
        <v>1954</v>
      </c>
    </row>
    <row r="2378" spans="1:7" x14ac:dyDescent="0.3">
      <c r="A2378">
        <v>2376</v>
      </c>
      <c r="B2378" t="s">
        <v>2654</v>
      </c>
      <c r="C2378" t="s">
        <v>726</v>
      </c>
      <c r="D2378">
        <v>55</v>
      </c>
      <c r="E2378">
        <v>39</v>
      </c>
      <c r="F2378" t="s">
        <v>1645</v>
      </c>
      <c r="G2378" t="s">
        <v>1954</v>
      </c>
    </row>
    <row r="2379" spans="1:7" x14ac:dyDescent="0.3">
      <c r="A2379">
        <v>2377</v>
      </c>
      <c r="B2379" t="s">
        <v>2654</v>
      </c>
      <c r="C2379" t="s">
        <v>726</v>
      </c>
      <c r="D2379">
        <v>10</v>
      </c>
      <c r="E2379">
        <v>9</v>
      </c>
      <c r="F2379" t="s">
        <v>2649</v>
      </c>
      <c r="G2379" t="s">
        <v>1954</v>
      </c>
    </row>
    <row r="2380" spans="1:7" x14ac:dyDescent="0.3">
      <c r="A2380">
        <v>2378</v>
      </c>
      <c r="B2380" t="s">
        <v>2655</v>
      </c>
      <c r="C2380" t="s">
        <v>2143</v>
      </c>
      <c r="D2380">
        <v>10</v>
      </c>
      <c r="E2380">
        <v>9</v>
      </c>
      <c r="F2380" t="s">
        <v>280</v>
      </c>
      <c r="G2380" t="s">
        <v>1954</v>
      </c>
    </row>
    <row r="2381" spans="1:7" x14ac:dyDescent="0.3">
      <c r="A2381">
        <v>2379</v>
      </c>
      <c r="B2381" t="s">
        <v>2656</v>
      </c>
      <c r="C2381" t="s">
        <v>2143</v>
      </c>
      <c r="D2381">
        <v>70</v>
      </c>
      <c r="E2381">
        <v>52</v>
      </c>
      <c r="F2381" t="s">
        <v>216</v>
      </c>
      <c r="G2381" t="s">
        <v>1954</v>
      </c>
    </row>
    <row r="2382" spans="1:7" x14ac:dyDescent="0.3">
      <c r="A2382">
        <v>2380</v>
      </c>
      <c r="B2382" t="s">
        <v>2657</v>
      </c>
      <c r="C2382" t="s">
        <v>726</v>
      </c>
      <c r="D2382">
        <v>60</v>
      </c>
      <c r="E2382">
        <v>35</v>
      </c>
      <c r="F2382" t="s">
        <v>1645</v>
      </c>
      <c r="G2382" t="s">
        <v>1954</v>
      </c>
    </row>
    <row r="2383" spans="1:7" x14ac:dyDescent="0.3">
      <c r="A2383">
        <v>2381</v>
      </c>
      <c r="B2383" t="s">
        <v>2658</v>
      </c>
      <c r="C2383" t="s">
        <v>726</v>
      </c>
      <c r="D2383">
        <v>60</v>
      </c>
      <c r="E2383">
        <v>39</v>
      </c>
      <c r="F2383" t="s">
        <v>1645</v>
      </c>
      <c r="G2383" t="s">
        <v>1954</v>
      </c>
    </row>
    <row r="2384" spans="1:7" x14ac:dyDescent="0.3">
      <c r="A2384">
        <v>2382</v>
      </c>
      <c r="B2384" t="s">
        <v>2659</v>
      </c>
      <c r="C2384" t="s">
        <v>2449</v>
      </c>
      <c r="D2384">
        <v>180</v>
      </c>
      <c r="E2384">
        <v>90</v>
      </c>
      <c r="F2384" t="s">
        <v>1619</v>
      </c>
      <c r="G2384" t="s">
        <v>1954</v>
      </c>
    </row>
    <row r="2385" spans="1:7" x14ac:dyDescent="0.3">
      <c r="A2385">
        <v>2383</v>
      </c>
      <c r="B2385" t="s">
        <v>2660</v>
      </c>
      <c r="C2385" t="s">
        <v>2449</v>
      </c>
      <c r="D2385">
        <v>150</v>
      </c>
      <c r="E2385">
        <v>75</v>
      </c>
      <c r="F2385" t="s">
        <v>1527</v>
      </c>
      <c r="G2385" t="s">
        <v>1954</v>
      </c>
    </row>
    <row r="2386" spans="1:7" x14ac:dyDescent="0.3">
      <c r="A2386">
        <v>2384</v>
      </c>
      <c r="B2386" t="s">
        <v>2661</v>
      </c>
      <c r="C2386" t="s">
        <v>2449</v>
      </c>
      <c r="D2386">
        <v>150</v>
      </c>
      <c r="E2386">
        <v>75</v>
      </c>
      <c r="F2386" t="s">
        <v>1527</v>
      </c>
      <c r="G2386" t="s">
        <v>1954</v>
      </c>
    </row>
    <row r="2387" spans="1:7" x14ac:dyDescent="0.3">
      <c r="A2387">
        <v>2385</v>
      </c>
      <c r="B2387" t="s">
        <v>2662</v>
      </c>
      <c r="C2387" t="s">
        <v>2449</v>
      </c>
      <c r="D2387">
        <v>180</v>
      </c>
      <c r="E2387">
        <v>90</v>
      </c>
      <c r="F2387" t="s">
        <v>913</v>
      </c>
      <c r="G2387" t="s">
        <v>1954</v>
      </c>
    </row>
    <row r="2388" spans="1:7" x14ac:dyDescent="0.3">
      <c r="A2388">
        <v>2386</v>
      </c>
      <c r="B2388" t="s">
        <v>2663</v>
      </c>
      <c r="C2388" t="s">
        <v>28</v>
      </c>
      <c r="D2388">
        <v>87</v>
      </c>
      <c r="E2388">
        <v>73</v>
      </c>
      <c r="F2388" t="s">
        <v>11</v>
      </c>
      <c r="G2388" t="s">
        <v>1954</v>
      </c>
    </row>
    <row r="2389" spans="1:7" x14ac:dyDescent="0.3">
      <c r="A2389">
        <v>2387</v>
      </c>
      <c r="B2389" t="s">
        <v>2664</v>
      </c>
      <c r="C2389" t="s">
        <v>2449</v>
      </c>
      <c r="D2389">
        <v>50</v>
      </c>
      <c r="E2389">
        <v>25</v>
      </c>
      <c r="F2389" t="s">
        <v>11</v>
      </c>
      <c r="G2389" t="s">
        <v>1954</v>
      </c>
    </row>
    <row r="2390" spans="1:7" x14ac:dyDescent="0.3">
      <c r="A2390">
        <v>2388</v>
      </c>
      <c r="B2390" t="s">
        <v>2665</v>
      </c>
      <c r="C2390" t="s">
        <v>807</v>
      </c>
      <c r="D2390">
        <v>70</v>
      </c>
      <c r="E2390">
        <v>35</v>
      </c>
      <c r="F2390" t="s">
        <v>1501</v>
      </c>
      <c r="G2390" t="s">
        <v>1954</v>
      </c>
    </row>
    <row r="2391" spans="1:7" x14ac:dyDescent="0.3">
      <c r="A2391">
        <v>2389</v>
      </c>
      <c r="B2391" t="s">
        <v>2666</v>
      </c>
      <c r="C2391" t="s">
        <v>2449</v>
      </c>
      <c r="D2391">
        <v>150</v>
      </c>
      <c r="E2391">
        <v>75</v>
      </c>
      <c r="F2391" t="s">
        <v>1619</v>
      </c>
      <c r="G2391" t="s">
        <v>1954</v>
      </c>
    </row>
    <row r="2392" spans="1:7" x14ac:dyDescent="0.3">
      <c r="A2392">
        <v>2390</v>
      </c>
      <c r="B2392" t="s">
        <v>2667</v>
      </c>
      <c r="C2392" t="s">
        <v>2449</v>
      </c>
      <c r="D2392">
        <v>150</v>
      </c>
      <c r="E2392">
        <v>75</v>
      </c>
      <c r="F2392" t="s">
        <v>1015</v>
      </c>
      <c r="G2392" t="s">
        <v>1954</v>
      </c>
    </row>
    <row r="2393" spans="1:7" x14ac:dyDescent="0.3">
      <c r="A2393">
        <v>2391</v>
      </c>
      <c r="B2393" t="s">
        <v>2668</v>
      </c>
      <c r="C2393" t="s">
        <v>2449</v>
      </c>
      <c r="D2393">
        <v>150</v>
      </c>
      <c r="E2393">
        <v>75</v>
      </c>
      <c r="F2393" t="s">
        <v>1527</v>
      </c>
      <c r="G2393" t="s">
        <v>1954</v>
      </c>
    </row>
    <row r="2394" spans="1:7" x14ac:dyDescent="0.3">
      <c r="A2394">
        <v>2392</v>
      </c>
      <c r="B2394" t="s">
        <v>2669</v>
      </c>
      <c r="C2394" t="s">
        <v>2670</v>
      </c>
      <c r="D2394">
        <v>120</v>
      </c>
      <c r="E2394">
        <v>60</v>
      </c>
      <c r="F2394" t="s">
        <v>11</v>
      </c>
      <c r="G2394" t="s">
        <v>1954</v>
      </c>
    </row>
    <row r="2395" spans="1:7" x14ac:dyDescent="0.3">
      <c r="A2395">
        <v>2393</v>
      </c>
      <c r="B2395" t="s">
        <v>2671</v>
      </c>
      <c r="C2395" t="s">
        <v>2449</v>
      </c>
      <c r="D2395">
        <v>105</v>
      </c>
      <c r="E2395">
        <v>52</v>
      </c>
      <c r="F2395" t="s">
        <v>709</v>
      </c>
      <c r="G2395" t="s">
        <v>1954</v>
      </c>
    </row>
    <row r="2396" spans="1:7" x14ac:dyDescent="0.3">
      <c r="A2396">
        <v>2394</v>
      </c>
      <c r="B2396" t="s">
        <v>2672</v>
      </c>
      <c r="C2396" t="s">
        <v>2449</v>
      </c>
      <c r="D2396">
        <v>160</v>
      </c>
      <c r="E2396">
        <v>80</v>
      </c>
      <c r="F2396" t="s">
        <v>1619</v>
      </c>
      <c r="G2396" t="s">
        <v>1954</v>
      </c>
    </row>
    <row r="2397" spans="1:7" x14ac:dyDescent="0.3">
      <c r="A2397">
        <v>2395</v>
      </c>
      <c r="B2397" t="s">
        <v>2673</v>
      </c>
      <c r="C2397" t="s">
        <v>2674</v>
      </c>
      <c r="D2397">
        <v>99</v>
      </c>
      <c r="E2397">
        <v>85</v>
      </c>
      <c r="F2397" t="s">
        <v>613</v>
      </c>
      <c r="G2397" t="s">
        <v>1954</v>
      </c>
    </row>
    <row r="2398" spans="1:7" x14ac:dyDescent="0.3">
      <c r="A2398">
        <v>2396</v>
      </c>
      <c r="B2398" t="s">
        <v>2675</v>
      </c>
      <c r="C2398" t="s">
        <v>17</v>
      </c>
      <c r="D2398">
        <v>60</v>
      </c>
      <c r="E2398">
        <v>49</v>
      </c>
      <c r="F2398" t="s">
        <v>2676</v>
      </c>
      <c r="G2398" t="s">
        <v>2677</v>
      </c>
    </row>
    <row r="2399" spans="1:7" x14ac:dyDescent="0.3">
      <c r="A2399">
        <v>2397</v>
      </c>
      <c r="B2399" t="s">
        <v>2678</v>
      </c>
      <c r="C2399" t="s">
        <v>17</v>
      </c>
      <c r="D2399">
        <v>225</v>
      </c>
      <c r="E2399">
        <v>175</v>
      </c>
      <c r="F2399" t="s">
        <v>307</v>
      </c>
      <c r="G2399" t="s">
        <v>2677</v>
      </c>
    </row>
    <row r="2400" spans="1:7" x14ac:dyDescent="0.3">
      <c r="A2400">
        <v>2398</v>
      </c>
      <c r="B2400" t="s">
        <v>2679</v>
      </c>
      <c r="C2400" t="s">
        <v>17</v>
      </c>
      <c r="D2400">
        <v>225</v>
      </c>
      <c r="E2400">
        <v>165</v>
      </c>
      <c r="F2400" t="s">
        <v>2680</v>
      </c>
      <c r="G2400" t="s">
        <v>2677</v>
      </c>
    </row>
    <row r="2401" spans="1:7" x14ac:dyDescent="0.3">
      <c r="A2401">
        <v>2399</v>
      </c>
      <c r="B2401" t="s">
        <v>2681</v>
      </c>
      <c r="C2401" t="s">
        <v>17</v>
      </c>
      <c r="D2401">
        <v>200</v>
      </c>
      <c r="E2401">
        <v>160</v>
      </c>
      <c r="F2401" t="s">
        <v>307</v>
      </c>
      <c r="G2401" t="s">
        <v>2677</v>
      </c>
    </row>
    <row r="2402" spans="1:7" x14ac:dyDescent="0.3">
      <c r="A2402">
        <v>2400</v>
      </c>
      <c r="B2402" t="s">
        <v>2682</v>
      </c>
      <c r="C2402" t="s">
        <v>17</v>
      </c>
      <c r="D2402">
        <v>60</v>
      </c>
      <c r="E2402">
        <v>42</v>
      </c>
      <c r="F2402" t="s">
        <v>2676</v>
      </c>
      <c r="G2402" t="s">
        <v>2677</v>
      </c>
    </row>
    <row r="2403" spans="1:7" x14ac:dyDescent="0.3">
      <c r="A2403">
        <v>2401</v>
      </c>
      <c r="B2403" t="s">
        <v>2683</v>
      </c>
      <c r="C2403" t="s">
        <v>17</v>
      </c>
      <c r="D2403">
        <v>80</v>
      </c>
      <c r="E2403">
        <v>62</v>
      </c>
      <c r="F2403" t="s">
        <v>2412</v>
      </c>
      <c r="G2403" t="s">
        <v>2677</v>
      </c>
    </row>
    <row r="2404" spans="1:7" x14ac:dyDescent="0.3">
      <c r="A2404">
        <v>2402</v>
      </c>
      <c r="B2404" t="s">
        <v>2684</v>
      </c>
      <c r="C2404" t="s">
        <v>17</v>
      </c>
      <c r="D2404">
        <v>175</v>
      </c>
      <c r="E2404">
        <v>159</v>
      </c>
      <c r="F2404" t="s">
        <v>307</v>
      </c>
      <c r="G2404" t="s">
        <v>2677</v>
      </c>
    </row>
    <row r="2405" spans="1:7" x14ac:dyDescent="0.3">
      <c r="A2405">
        <v>2403</v>
      </c>
      <c r="B2405" t="s">
        <v>2685</v>
      </c>
      <c r="C2405" t="s">
        <v>2686</v>
      </c>
      <c r="D2405">
        <v>180</v>
      </c>
      <c r="E2405">
        <v>165</v>
      </c>
      <c r="F2405" t="s">
        <v>2680</v>
      </c>
      <c r="G2405" t="s">
        <v>2677</v>
      </c>
    </row>
    <row r="2406" spans="1:7" x14ac:dyDescent="0.3">
      <c r="A2406">
        <v>2404</v>
      </c>
      <c r="B2406" t="s">
        <v>2687</v>
      </c>
      <c r="C2406" t="s">
        <v>17</v>
      </c>
      <c r="D2406">
        <v>125</v>
      </c>
      <c r="E2406">
        <v>89</v>
      </c>
      <c r="F2406" t="s">
        <v>2688</v>
      </c>
      <c r="G2406" t="s">
        <v>2677</v>
      </c>
    </row>
    <row r="2407" spans="1:7" x14ac:dyDescent="0.3">
      <c r="A2407">
        <v>2405</v>
      </c>
      <c r="B2407" t="s">
        <v>2689</v>
      </c>
      <c r="C2407" t="s">
        <v>17</v>
      </c>
      <c r="D2407">
        <v>80</v>
      </c>
      <c r="E2407">
        <v>59</v>
      </c>
      <c r="F2407" t="s">
        <v>2676</v>
      </c>
      <c r="G2407" t="s">
        <v>2677</v>
      </c>
    </row>
    <row r="2408" spans="1:7" x14ac:dyDescent="0.3">
      <c r="A2408">
        <v>2406</v>
      </c>
      <c r="B2408" t="s">
        <v>2690</v>
      </c>
      <c r="C2408" t="s">
        <v>17</v>
      </c>
      <c r="D2408">
        <v>250</v>
      </c>
      <c r="E2408">
        <v>215</v>
      </c>
      <c r="F2408" t="s">
        <v>2691</v>
      </c>
      <c r="G2408" t="s">
        <v>2677</v>
      </c>
    </row>
    <row r="2409" spans="1:7" x14ac:dyDescent="0.3">
      <c r="A2409">
        <v>2407</v>
      </c>
      <c r="B2409" t="s">
        <v>2692</v>
      </c>
      <c r="C2409" t="s">
        <v>17</v>
      </c>
      <c r="D2409">
        <v>95</v>
      </c>
      <c r="E2409">
        <v>66</v>
      </c>
      <c r="F2409" t="s">
        <v>76</v>
      </c>
      <c r="G2409" t="s">
        <v>2677</v>
      </c>
    </row>
    <row r="2410" spans="1:7" x14ac:dyDescent="0.3">
      <c r="A2410">
        <v>2408</v>
      </c>
      <c r="B2410" t="s">
        <v>2693</v>
      </c>
      <c r="C2410" t="s">
        <v>17</v>
      </c>
      <c r="D2410">
        <v>65</v>
      </c>
      <c r="E2410">
        <v>44</v>
      </c>
      <c r="F2410" t="s">
        <v>2691</v>
      </c>
      <c r="G2410" t="s">
        <v>2677</v>
      </c>
    </row>
    <row r="2411" spans="1:7" x14ac:dyDescent="0.3">
      <c r="A2411">
        <v>2409</v>
      </c>
      <c r="B2411" t="s">
        <v>2694</v>
      </c>
      <c r="C2411" t="s">
        <v>17</v>
      </c>
      <c r="D2411">
        <v>90</v>
      </c>
      <c r="E2411">
        <v>69</v>
      </c>
      <c r="F2411" t="s">
        <v>2676</v>
      </c>
      <c r="G2411" t="s">
        <v>2677</v>
      </c>
    </row>
    <row r="2412" spans="1:7" x14ac:dyDescent="0.3">
      <c r="A2412">
        <v>2410</v>
      </c>
      <c r="B2412" t="s">
        <v>2695</v>
      </c>
      <c r="C2412" t="s">
        <v>17</v>
      </c>
      <c r="D2412">
        <v>55</v>
      </c>
      <c r="E2412">
        <v>49</v>
      </c>
      <c r="F2412" t="s">
        <v>2691</v>
      </c>
      <c r="G2412" t="s">
        <v>2677</v>
      </c>
    </row>
    <row r="2413" spans="1:7" x14ac:dyDescent="0.3">
      <c r="A2413">
        <v>2411</v>
      </c>
      <c r="B2413" t="s">
        <v>2696</v>
      </c>
      <c r="C2413" t="s">
        <v>17</v>
      </c>
      <c r="D2413">
        <v>40</v>
      </c>
      <c r="E2413">
        <v>36</v>
      </c>
      <c r="F2413" t="s">
        <v>107</v>
      </c>
      <c r="G2413" t="s">
        <v>2677</v>
      </c>
    </row>
    <row r="2414" spans="1:7" x14ac:dyDescent="0.3">
      <c r="A2414">
        <v>2412</v>
      </c>
      <c r="B2414" t="s">
        <v>2697</v>
      </c>
      <c r="C2414" t="s">
        <v>17</v>
      </c>
      <c r="D2414">
        <v>125</v>
      </c>
      <c r="E2414">
        <v>86</v>
      </c>
      <c r="F2414" t="s">
        <v>12</v>
      </c>
      <c r="G2414" t="s">
        <v>2677</v>
      </c>
    </row>
    <row r="2415" spans="1:7" x14ac:dyDescent="0.3">
      <c r="A2415">
        <v>2413</v>
      </c>
      <c r="B2415" t="s">
        <v>2698</v>
      </c>
      <c r="C2415" t="s">
        <v>17</v>
      </c>
      <c r="D2415">
        <v>350</v>
      </c>
      <c r="E2415">
        <v>195</v>
      </c>
      <c r="F2415" t="s">
        <v>307</v>
      </c>
      <c r="G2415" t="s">
        <v>2677</v>
      </c>
    </row>
    <row r="2416" spans="1:7" x14ac:dyDescent="0.3">
      <c r="A2416">
        <v>2414</v>
      </c>
      <c r="B2416" t="s">
        <v>2699</v>
      </c>
      <c r="C2416" t="s">
        <v>17</v>
      </c>
      <c r="D2416">
        <v>125</v>
      </c>
      <c r="E2416">
        <v>99</v>
      </c>
      <c r="F2416" t="s">
        <v>2700</v>
      </c>
      <c r="G2416" t="s">
        <v>2677</v>
      </c>
    </row>
    <row r="2417" spans="1:7" x14ac:dyDescent="0.3">
      <c r="A2417">
        <v>2415</v>
      </c>
      <c r="B2417" t="s">
        <v>2701</v>
      </c>
      <c r="C2417" t="s">
        <v>17</v>
      </c>
      <c r="D2417">
        <v>40</v>
      </c>
      <c r="E2417">
        <v>36</v>
      </c>
      <c r="F2417" t="s">
        <v>2412</v>
      </c>
      <c r="G2417" t="s">
        <v>2677</v>
      </c>
    </row>
    <row r="2418" spans="1:7" x14ac:dyDescent="0.3">
      <c r="A2418">
        <v>2416</v>
      </c>
      <c r="B2418" t="s">
        <v>2702</v>
      </c>
      <c r="C2418" t="s">
        <v>17</v>
      </c>
      <c r="D2418">
        <v>45</v>
      </c>
      <c r="E2418">
        <v>40</v>
      </c>
      <c r="F2418" t="s">
        <v>307</v>
      </c>
      <c r="G2418" t="s">
        <v>2677</v>
      </c>
    </row>
    <row r="2419" spans="1:7" x14ac:dyDescent="0.3">
      <c r="A2419">
        <v>2417</v>
      </c>
      <c r="B2419" t="s">
        <v>2703</v>
      </c>
      <c r="C2419" t="s">
        <v>17</v>
      </c>
      <c r="D2419">
        <v>150</v>
      </c>
      <c r="E2419">
        <v>110</v>
      </c>
      <c r="F2419" t="s">
        <v>2691</v>
      </c>
      <c r="G2419" t="s">
        <v>2677</v>
      </c>
    </row>
    <row r="2420" spans="1:7" x14ac:dyDescent="0.3">
      <c r="A2420">
        <v>2418</v>
      </c>
      <c r="B2420" t="s">
        <v>2704</v>
      </c>
      <c r="C2420" t="s">
        <v>17</v>
      </c>
      <c r="D2420">
        <v>160</v>
      </c>
      <c r="E2420">
        <v>115</v>
      </c>
      <c r="F2420" t="s">
        <v>2680</v>
      </c>
      <c r="G2420" t="s">
        <v>2677</v>
      </c>
    </row>
    <row r="2421" spans="1:7" x14ac:dyDescent="0.3">
      <c r="A2421">
        <v>2419</v>
      </c>
      <c r="B2421" t="s">
        <v>2705</v>
      </c>
      <c r="C2421" t="s">
        <v>2706</v>
      </c>
      <c r="D2421">
        <v>75</v>
      </c>
      <c r="E2421">
        <v>65</v>
      </c>
      <c r="F2421" t="s">
        <v>107</v>
      </c>
      <c r="G2421" t="s">
        <v>2677</v>
      </c>
    </row>
    <row r="2422" spans="1:7" x14ac:dyDescent="0.3">
      <c r="A2422">
        <v>2420</v>
      </c>
      <c r="B2422" t="s">
        <v>2707</v>
      </c>
      <c r="C2422" t="s">
        <v>17</v>
      </c>
      <c r="D2422">
        <v>90</v>
      </c>
      <c r="E2422">
        <v>75</v>
      </c>
      <c r="F2422" t="s">
        <v>2708</v>
      </c>
      <c r="G2422" t="s">
        <v>2677</v>
      </c>
    </row>
    <row r="2423" spans="1:7" x14ac:dyDescent="0.3">
      <c r="A2423">
        <v>2421</v>
      </c>
      <c r="B2423" t="s">
        <v>2707</v>
      </c>
      <c r="C2423" t="s">
        <v>17</v>
      </c>
      <c r="D2423">
        <v>35</v>
      </c>
      <c r="E2423">
        <v>26</v>
      </c>
      <c r="F2423" t="s">
        <v>15</v>
      </c>
      <c r="G2423" t="s">
        <v>2677</v>
      </c>
    </row>
    <row r="2424" spans="1:7" x14ac:dyDescent="0.3">
      <c r="A2424">
        <v>2422</v>
      </c>
      <c r="B2424" t="s">
        <v>2709</v>
      </c>
      <c r="C2424" t="s">
        <v>17</v>
      </c>
      <c r="D2424">
        <v>100</v>
      </c>
      <c r="E2424">
        <v>75</v>
      </c>
      <c r="F2424" t="s">
        <v>2710</v>
      </c>
      <c r="G2424" t="s">
        <v>2677</v>
      </c>
    </row>
    <row r="2425" spans="1:7" x14ac:dyDescent="0.3">
      <c r="A2425">
        <v>2423</v>
      </c>
      <c r="B2425" t="s">
        <v>2709</v>
      </c>
      <c r="C2425" t="s">
        <v>17</v>
      </c>
      <c r="D2425">
        <v>50</v>
      </c>
      <c r="E2425">
        <v>39</v>
      </c>
      <c r="F2425" t="s">
        <v>15</v>
      </c>
      <c r="G2425" t="s">
        <v>2677</v>
      </c>
    </row>
    <row r="2426" spans="1:7" x14ac:dyDescent="0.3">
      <c r="A2426">
        <v>2424</v>
      </c>
      <c r="B2426" t="s">
        <v>2711</v>
      </c>
      <c r="C2426" t="s">
        <v>17</v>
      </c>
      <c r="D2426">
        <v>40</v>
      </c>
      <c r="E2426">
        <v>30</v>
      </c>
      <c r="F2426" t="s">
        <v>2712</v>
      </c>
      <c r="G2426" t="s">
        <v>2677</v>
      </c>
    </row>
    <row r="2427" spans="1:7" x14ac:dyDescent="0.3">
      <c r="A2427">
        <v>2425</v>
      </c>
      <c r="B2427" t="s">
        <v>2713</v>
      </c>
      <c r="C2427" t="s">
        <v>17</v>
      </c>
      <c r="D2427">
        <v>35</v>
      </c>
      <c r="E2427">
        <v>19</v>
      </c>
      <c r="F2427" t="s">
        <v>12</v>
      </c>
      <c r="G2427" t="s">
        <v>2677</v>
      </c>
    </row>
    <row r="2428" spans="1:7" x14ac:dyDescent="0.3">
      <c r="A2428">
        <v>2426</v>
      </c>
      <c r="B2428" t="s">
        <v>2714</v>
      </c>
      <c r="C2428" t="s">
        <v>17</v>
      </c>
      <c r="D2428">
        <v>35</v>
      </c>
      <c r="E2428">
        <v>20</v>
      </c>
      <c r="F2428" t="s">
        <v>9</v>
      </c>
      <c r="G2428" t="s">
        <v>2677</v>
      </c>
    </row>
    <row r="2429" spans="1:7" x14ac:dyDescent="0.3">
      <c r="A2429">
        <v>2427</v>
      </c>
      <c r="B2429" t="s">
        <v>2715</v>
      </c>
      <c r="C2429" t="s">
        <v>17</v>
      </c>
      <c r="D2429">
        <v>40</v>
      </c>
      <c r="E2429">
        <v>29</v>
      </c>
      <c r="F2429" t="s">
        <v>1865</v>
      </c>
      <c r="G2429" t="s">
        <v>2677</v>
      </c>
    </row>
    <row r="2430" spans="1:7" x14ac:dyDescent="0.3">
      <c r="A2430">
        <v>2428</v>
      </c>
      <c r="B2430" t="s">
        <v>2716</v>
      </c>
      <c r="C2430" t="s">
        <v>17</v>
      </c>
      <c r="D2430">
        <v>20</v>
      </c>
      <c r="E2430">
        <v>18</v>
      </c>
      <c r="F2430" t="s">
        <v>12</v>
      </c>
      <c r="G2430" t="s">
        <v>2677</v>
      </c>
    </row>
    <row r="2431" spans="1:7" x14ac:dyDescent="0.3">
      <c r="A2431">
        <v>2429</v>
      </c>
      <c r="B2431" t="s">
        <v>2717</v>
      </c>
      <c r="C2431" t="s">
        <v>17</v>
      </c>
      <c r="D2431">
        <v>60</v>
      </c>
      <c r="E2431">
        <v>30</v>
      </c>
      <c r="F2431" t="s">
        <v>12</v>
      </c>
      <c r="G2431" t="s">
        <v>2677</v>
      </c>
    </row>
    <row r="2432" spans="1:7" x14ac:dyDescent="0.3">
      <c r="A2432">
        <v>2430</v>
      </c>
      <c r="B2432" t="s">
        <v>2718</v>
      </c>
      <c r="C2432" t="s">
        <v>17</v>
      </c>
      <c r="D2432">
        <v>75</v>
      </c>
      <c r="E2432">
        <v>55</v>
      </c>
      <c r="F2432" t="s">
        <v>2676</v>
      </c>
      <c r="G2432" t="s">
        <v>2677</v>
      </c>
    </row>
    <row r="2433" spans="1:7" x14ac:dyDescent="0.3">
      <c r="A2433">
        <v>2431</v>
      </c>
      <c r="B2433" t="s">
        <v>2719</v>
      </c>
      <c r="C2433" t="s">
        <v>17</v>
      </c>
      <c r="D2433">
        <v>40</v>
      </c>
      <c r="E2433">
        <v>35</v>
      </c>
      <c r="F2433" t="s">
        <v>9</v>
      </c>
      <c r="G2433" t="s">
        <v>2677</v>
      </c>
    </row>
    <row r="2434" spans="1:7" x14ac:dyDescent="0.3">
      <c r="A2434">
        <v>2432</v>
      </c>
      <c r="B2434" t="s">
        <v>2720</v>
      </c>
      <c r="C2434" t="s">
        <v>17</v>
      </c>
      <c r="D2434">
        <v>60</v>
      </c>
      <c r="E2434">
        <v>52</v>
      </c>
      <c r="F2434" t="s">
        <v>9</v>
      </c>
      <c r="G2434" t="s">
        <v>2677</v>
      </c>
    </row>
    <row r="2435" spans="1:7" x14ac:dyDescent="0.3">
      <c r="A2435">
        <v>2433</v>
      </c>
      <c r="B2435" t="s">
        <v>2721</v>
      </c>
      <c r="C2435" t="s">
        <v>17</v>
      </c>
      <c r="D2435">
        <v>70</v>
      </c>
      <c r="E2435">
        <v>59</v>
      </c>
      <c r="F2435" t="s">
        <v>9</v>
      </c>
      <c r="G2435" t="s">
        <v>2677</v>
      </c>
    </row>
    <row r="2436" spans="1:7" x14ac:dyDescent="0.3">
      <c r="A2436">
        <v>2434</v>
      </c>
      <c r="B2436" t="s">
        <v>2722</v>
      </c>
      <c r="C2436" t="s">
        <v>17</v>
      </c>
      <c r="D2436">
        <v>60</v>
      </c>
      <c r="E2436">
        <v>49</v>
      </c>
      <c r="F2436" t="s">
        <v>9</v>
      </c>
      <c r="G2436" t="s">
        <v>2677</v>
      </c>
    </row>
    <row r="2437" spans="1:7" x14ac:dyDescent="0.3">
      <c r="A2437">
        <v>2435</v>
      </c>
      <c r="B2437" t="s">
        <v>2723</v>
      </c>
      <c r="C2437" t="s">
        <v>17</v>
      </c>
      <c r="D2437">
        <v>60</v>
      </c>
      <c r="E2437">
        <v>46</v>
      </c>
      <c r="F2437" t="s">
        <v>9</v>
      </c>
      <c r="G2437" t="s">
        <v>2677</v>
      </c>
    </row>
    <row r="2438" spans="1:7" x14ac:dyDescent="0.3">
      <c r="A2438">
        <v>2436</v>
      </c>
      <c r="B2438" t="s">
        <v>2724</v>
      </c>
      <c r="C2438" t="s">
        <v>17</v>
      </c>
      <c r="D2438">
        <v>100</v>
      </c>
      <c r="E2438">
        <v>79</v>
      </c>
      <c r="F2438" t="s">
        <v>9</v>
      </c>
      <c r="G2438" t="s">
        <v>2677</v>
      </c>
    </row>
    <row r="2439" spans="1:7" x14ac:dyDescent="0.3">
      <c r="A2439">
        <v>2437</v>
      </c>
      <c r="B2439" t="s">
        <v>2725</v>
      </c>
      <c r="C2439" t="s">
        <v>17</v>
      </c>
      <c r="D2439">
        <v>60</v>
      </c>
      <c r="E2439">
        <v>44</v>
      </c>
      <c r="F2439" t="s">
        <v>107</v>
      </c>
      <c r="G2439" t="s">
        <v>2677</v>
      </c>
    </row>
    <row r="2440" spans="1:7" x14ac:dyDescent="0.3">
      <c r="A2440">
        <v>2438</v>
      </c>
      <c r="B2440" t="s">
        <v>2726</v>
      </c>
      <c r="C2440" t="s">
        <v>2706</v>
      </c>
      <c r="D2440">
        <v>35</v>
      </c>
      <c r="E2440">
        <v>26</v>
      </c>
      <c r="F2440" t="s">
        <v>11</v>
      </c>
      <c r="G2440" t="s">
        <v>2677</v>
      </c>
    </row>
    <row r="2441" spans="1:7" x14ac:dyDescent="0.3">
      <c r="A2441">
        <v>2439</v>
      </c>
      <c r="B2441" t="s">
        <v>2727</v>
      </c>
      <c r="C2441" t="s">
        <v>17</v>
      </c>
      <c r="D2441">
        <v>70</v>
      </c>
      <c r="E2441">
        <v>64</v>
      </c>
      <c r="F2441" t="s">
        <v>9</v>
      </c>
      <c r="G2441" t="s">
        <v>2677</v>
      </c>
    </row>
    <row r="2442" spans="1:7" x14ac:dyDescent="0.3">
      <c r="A2442">
        <v>2440</v>
      </c>
      <c r="B2442" t="s">
        <v>2728</v>
      </c>
      <c r="C2442" t="s">
        <v>17</v>
      </c>
      <c r="D2442">
        <v>175</v>
      </c>
      <c r="E2442">
        <v>112</v>
      </c>
      <c r="F2442" t="s">
        <v>2676</v>
      </c>
      <c r="G2442" t="s">
        <v>2677</v>
      </c>
    </row>
    <row r="2443" spans="1:7" x14ac:dyDescent="0.3">
      <c r="A2443">
        <v>2441</v>
      </c>
      <c r="B2443" t="s">
        <v>2729</v>
      </c>
      <c r="C2443" t="s">
        <v>17</v>
      </c>
      <c r="D2443">
        <v>15</v>
      </c>
      <c r="E2443">
        <v>13</v>
      </c>
      <c r="F2443" t="s">
        <v>11</v>
      </c>
      <c r="G2443" t="s">
        <v>2677</v>
      </c>
    </row>
    <row r="2444" spans="1:7" x14ac:dyDescent="0.3">
      <c r="A2444">
        <v>2442</v>
      </c>
      <c r="B2444" t="s">
        <v>2730</v>
      </c>
      <c r="C2444" t="s">
        <v>17</v>
      </c>
      <c r="D2444">
        <v>50</v>
      </c>
      <c r="E2444">
        <v>46</v>
      </c>
      <c r="F2444" t="s">
        <v>9</v>
      </c>
      <c r="G2444" t="s">
        <v>2677</v>
      </c>
    </row>
    <row r="2445" spans="1:7" x14ac:dyDescent="0.3">
      <c r="A2445">
        <v>2443</v>
      </c>
      <c r="B2445" t="s">
        <v>2731</v>
      </c>
      <c r="C2445" t="s">
        <v>17</v>
      </c>
      <c r="D2445">
        <v>40</v>
      </c>
      <c r="E2445">
        <v>35</v>
      </c>
      <c r="F2445" t="s">
        <v>9</v>
      </c>
      <c r="G2445" t="s">
        <v>2677</v>
      </c>
    </row>
    <row r="2446" spans="1:7" x14ac:dyDescent="0.3">
      <c r="A2446">
        <v>2444</v>
      </c>
      <c r="B2446" t="s">
        <v>2732</v>
      </c>
      <c r="C2446" t="s">
        <v>17</v>
      </c>
      <c r="D2446">
        <v>60</v>
      </c>
      <c r="E2446">
        <v>40</v>
      </c>
      <c r="F2446" t="s">
        <v>76</v>
      </c>
      <c r="G2446" t="s">
        <v>2677</v>
      </c>
    </row>
    <row r="2447" spans="1:7" x14ac:dyDescent="0.3">
      <c r="A2447">
        <v>2445</v>
      </c>
      <c r="B2447" t="s">
        <v>2733</v>
      </c>
      <c r="C2447" t="s">
        <v>17</v>
      </c>
      <c r="D2447">
        <v>40</v>
      </c>
      <c r="E2447">
        <v>35</v>
      </c>
      <c r="F2447" t="s">
        <v>9</v>
      </c>
      <c r="G2447" t="s">
        <v>2677</v>
      </c>
    </row>
    <row r="2448" spans="1:7" x14ac:dyDescent="0.3">
      <c r="A2448">
        <v>2446</v>
      </c>
      <c r="B2448" t="s">
        <v>2734</v>
      </c>
      <c r="C2448" t="s">
        <v>17</v>
      </c>
      <c r="D2448">
        <v>45</v>
      </c>
      <c r="E2448">
        <v>40</v>
      </c>
      <c r="F2448" t="s">
        <v>9</v>
      </c>
      <c r="G2448" t="s">
        <v>2677</v>
      </c>
    </row>
    <row r="2449" spans="1:7" x14ac:dyDescent="0.3">
      <c r="A2449">
        <v>2447</v>
      </c>
      <c r="B2449" t="s">
        <v>2735</v>
      </c>
      <c r="C2449" t="s">
        <v>17</v>
      </c>
      <c r="D2449">
        <v>45</v>
      </c>
      <c r="E2449">
        <v>30</v>
      </c>
      <c r="F2449" t="s">
        <v>2736</v>
      </c>
      <c r="G2449" t="s">
        <v>2677</v>
      </c>
    </row>
    <row r="2450" spans="1:7" x14ac:dyDescent="0.3">
      <c r="A2450">
        <v>2448</v>
      </c>
      <c r="B2450" t="s">
        <v>2737</v>
      </c>
      <c r="C2450" t="s">
        <v>17</v>
      </c>
      <c r="D2450">
        <v>30</v>
      </c>
      <c r="E2450">
        <v>23</v>
      </c>
      <c r="F2450" t="s">
        <v>107</v>
      </c>
      <c r="G2450" t="s">
        <v>2677</v>
      </c>
    </row>
    <row r="2451" spans="1:7" x14ac:dyDescent="0.3">
      <c r="A2451">
        <v>2449</v>
      </c>
      <c r="B2451" t="s">
        <v>2738</v>
      </c>
      <c r="C2451" t="s">
        <v>17</v>
      </c>
      <c r="D2451">
        <v>150</v>
      </c>
      <c r="E2451">
        <v>110</v>
      </c>
      <c r="F2451" t="s">
        <v>2739</v>
      </c>
      <c r="G2451" t="s">
        <v>2677</v>
      </c>
    </row>
    <row r="2452" spans="1:7" x14ac:dyDescent="0.3">
      <c r="A2452">
        <v>2450</v>
      </c>
      <c r="B2452" t="s">
        <v>2740</v>
      </c>
      <c r="C2452" t="s">
        <v>17</v>
      </c>
      <c r="D2452">
        <v>30</v>
      </c>
      <c r="E2452">
        <v>24</v>
      </c>
      <c r="F2452" t="s">
        <v>9</v>
      </c>
      <c r="G2452" t="s">
        <v>2677</v>
      </c>
    </row>
    <row r="2453" spans="1:7" x14ac:dyDescent="0.3">
      <c r="A2453">
        <v>2451</v>
      </c>
      <c r="B2453" t="s">
        <v>2741</v>
      </c>
      <c r="C2453" t="s">
        <v>17</v>
      </c>
      <c r="D2453">
        <v>40</v>
      </c>
      <c r="E2453">
        <v>35</v>
      </c>
      <c r="F2453" t="s">
        <v>9</v>
      </c>
      <c r="G2453" t="s">
        <v>2677</v>
      </c>
    </row>
    <row r="2454" spans="1:7" x14ac:dyDescent="0.3">
      <c r="A2454">
        <v>2452</v>
      </c>
      <c r="B2454" t="s">
        <v>2742</v>
      </c>
      <c r="C2454" t="s">
        <v>17</v>
      </c>
      <c r="D2454">
        <v>35</v>
      </c>
      <c r="E2454">
        <v>23</v>
      </c>
      <c r="F2454" t="s">
        <v>11</v>
      </c>
      <c r="G2454" t="s">
        <v>2677</v>
      </c>
    </row>
    <row r="2455" spans="1:7" x14ac:dyDescent="0.3">
      <c r="A2455">
        <v>2453</v>
      </c>
      <c r="B2455" t="s">
        <v>2743</v>
      </c>
      <c r="C2455" t="s">
        <v>17</v>
      </c>
      <c r="D2455">
        <v>35</v>
      </c>
      <c r="E2455">
        <v>29</v>
      </c>
      <c r="F2455" t="s">
        <v>1371</v>
      </c>
      <c r="G2455" t="s">
        <v>2677</v>
      </c>
    </row>
    <row r="2456" spans="1:7" x14ac:dyDescent="0.3">
      <c r="A2456">
        <v>2454</v>
      </c>
      <c r="B2456" t="s">
        <v>2744</v>
      </c>
      <c r="C2456" t="s">
        <v>17</v>
      </c>
      <c r="D2456">
        <v>45</v>
      </c>
      <c r="E2456">
        <v>40</v>
      </c>
      <c r="F2456" t="s">
        <v>9</v>
      </c>
      <c r="G2456" t="s">
        <v>2677</v>
      </c>
    </row>
    <row r="2457" spans="1:7" x14ac:dyDescent="0.3">
      <c r="A2457">
        <v>2455</v>
      </c>
      <c r="B2457" t="s">
        <v>2745</v>
      </c>
      <c r="C2457" t="s">
        <v>17</v>
      </c>
      <c r="D2457">
        <v>50</v>
      </c>
      <c r="E2457">
        <v>44</v>
      </c>
      <c r="F2457" t="s">
        <v>107</v>
      </c>
      <c r="G2457" t="s">
        <v>2677</v>
      </c>
    </row>
    <row r="2458" spans="1:7" x14ac:dyDescent="0.3">
      <c r="A2458">
        <v>2456</v>
      </c>
      <c r="B2458" t="s">
        <v>2746</v>
      </c>
      <c r="C2458" t="s">
        <v>17</v>
      </c>
      <c r="D2458">
        <v>45</v>
      </c>
      <c r="E2458">
        <v>36</v>
      </c>
      <c r="F2458" t="s">
        <v>9</v>
      </c>
      <c r="G2458" t="s">
        <v>2677</v>
      </c>
    </row>
    <row r="2459" spans="1:7" x14ac:dyDescent="0.3">
      <c r="A2459">
        <v>2457</v>
      </c>
      <c r="B2459" t="s">
        <v>2747</v>
      </c>
      <c r="C2459" t="s">
        <v>17</v>
      </c>
      <c r="D2459">
        <v>55</v>
      </c>
      <c r="E2459">
        <v>38</v>
      </c>
      <c r="F2459" t="s">
        <v>76</v>
      </c>
      <c r="G2459" t="s">
        <v>2677</v>
      </c>
    </row>
    <row r="2460" spans="1:7" x14ac:dyDescent="0.3">
      <c r="A2460">
        <v>2458</v>
      </c>
      <c r="B2460" t="s">
        <v>2748</v>
      </c>
      <c r="C2460" t="s">
        <v>17</v>
      </c>
      <c r="D2460">
        <v>40</v>
      </c>
      <c r="E2460">
        <v>34</v>
      </c>
      <c r="F2460" t="s">
        <v>2676</v>
      </c>
      <c r="G2460" t="s">
        <v>2677</v>
      </c>
    </row>
    <row r="2461" spans="1:7" x14ac:dyDescent="0.3">
      <c r="A2461">
        <v>2459</v>
      </c>
      <c r="B2461" t="s">
        <v>2749</v>
      </c>
      <c r="C2461" t="s">
        <v>17</v>
      </c>
      <c r="D2461">
        <v>50</v>
      </c>
      <c r="E2461">
        <v>46</v>
      </c>
      <c r="F2461" t="s">
        <v>9</v>
      </c>
      <c r="G2461" t="s">
        <v>2677</v>
      </c>
    </row>
    <row r="2462" spans="1:7" x14ac:dyDescent="0.3">
      <c r="A2462">
        <v>2460</v>
      </c>
      <c r="B2462" t="s">
        <v>2750</v>
      </c>
      <c r="C2462" t="s">
        <v>17</v>
      </c>
      <c r="D2462">
        <v>35</v>
      </c>
      <c r="E2462">
        <v>32</v>
      </c>
      <c r="F2462" t="s">
        <v>107</v>
      </c>
      <c r="G2462" t="s">
        <v>2677</v>
      </c>
    </row>
    <row r="2463" spans="1:7" x14ac:dyDescent="0.3">
      <c r="A2463">
        <v>2461</v>
      </c>
      <c r="B2463" t="s">
        <v>2751</v>
      </c>
      <c r="C2463" t="s">
        <v>17</v>
      </c>
      <c r="D2463">
        <v>40</v>
      </c>
      <c r="E2463">
        <v>30</v>
      </c>
      <c r="F2463" t="s">
        <v>12</v>
      </c>
      <c r="G2463" t="s">
        <v>2677</v>
      </c>
    </row>
    <row r="2464" spans="1:7" x14ac:dyDescent="0.3">
      <c r="A2464">
        <v>2462</v>
      </c>
      <c r="B2464" t="s">
        <v>2752</v>
      </c>
      <c r="C2464" t="s">
        <v>17</v>
      </c>
      <c r="D2464">
        <v>75</v>
      </c>
      <c r="E2464">
        <v>50</v>
      </c>
      <c r="F2464" t="s">
        <v>107</v>
      </c>
      <c r="G2464" t="s">
        <v>2677</v>
      </c>
    </row>
    <row r="2465" spans="1:7" x14ac:dyDescent="0.3">
      <c r="A2465">
        <v>2463</v>
      </c>
      <c r="B2465" t="s">
        <v>2753</v>
      </c>
      <c r="C2465" t="s">
        <v>2706</v>
      </c>
      <c r="D2465">
        <v>65</v>
      </c>
      <c r="E2465">
        <v>55</v>
      </c>
      <c r="F2465" t="s">
        <v>107</v>
      </c>
      <c r="G2465" t="s">
        <v>2677</v>
      </c>
    </row>
    <row r="2466" spans="1:7" x14ac:dyDescent="0.3">
      <c r="A2466">
        <v>2464</v>
      </c>
      <c r="B2466" t="s">
        <v>2754</v>
      </c>
      <c r="C2466" t="s">
        <v>17</v>
      </c>
      <c r="D2466">
        <v>30</v>
      </c>
      <c r="E2466">
        <v>22</v>
      </c>
      <c r="F2466" t="s">
        <v>188</v>
      </c>
      <c r="G2466" t="s">
        <v>2677</v>
      </c>
    </row>
    <row r="2467" spans="1:7" x14ac:dyDescent="0.3">
      <c r="A2467">
        <v>2465</v>
      </c>
      <c r="B2467" t="s">
        <v>2755</v>
      </c>
      <c r="C2467" t="s">
        <v>17</v>
      </c>
      <c r="D2467">
        <v>95</v>
      </c>
      <c r="E2467">
        <v>85</v>
      </c>
      <c r="F2467" t="s">
        <v>76</v>
      </c>
      <c r="G2467" t="s">
        <v>2677</v>
      </c>
    </row>
    <row r="2468" spans="1:7" x14ac:dyDescent="0.3">
      <c r="A2468">
        <v>2466</v>
      </c>
      <c r="B2468" t="s">
        <v>2756</v>
      </c>
      <c r="C2468" t="s">
        <v>17</v>
      </c>
      <c r="D2468">
        <v>45</v>
      </c>
      <c r="E2468">
        <v>38</v>
      </c>
      <c r="F2468" t="s">
        <v>107</v>
      </c>
      <c r="G2468" t="s">
        <v>2677</v>
      </c>
    </row>
    <row r="2469" spans="1:7" x14ac:dyDescent="0.3">
      <c r="A2469">
        <v>2467</v>
      </c>
      <c r="B2469" t="s">
        <v>2757</v>
      </c>
      <c r="C2469" t="s">
        <v>17</v>
      </c>
      <c r="D2469">
        <v>70</v>
      </c>
      <c r="E2469">
        <v>52</v>
      </c>
      <c r="F2469" t="s">
        <v>107</v>
      </c>
      <c r="G2469" t="s">
        <v>2677</v>
      </c>
    </row>
    <row r="2470" spans="1:7" x14ac:dyDescent="0.3">
      <c r="A2470">
        <v>2468</v>
      </c>
      <c r="B2470" t="s">
        <v>2758</v>
      </c>
      <c r="C2470" t="s">
        <v>2706</v>
      </c>
      <c r="D2470">
        <v>65</v>
      </c>
      <c r="E2470">
        <v>49</v>
      </c>
      <c r="F2470" t="s">
        <v>107</v>
      </c>
      <c r="G2470" t="s">
        <v>2677</v>
      </c>
    </row>
    <row r="2471" spans="1:7" x14ac:dyDescent="0.3">
      <c r="A2471">
        <v>2469</v>
      </c>
      <c r="B2471" t="s">
        <v>2759</v>
      </c>
      <c r="C2471" t="s">
        <v>2706</v>
      </c>
      <c r="D2471">
        <v>75</v>
      </c>
      <c r="E2471">
        <v>49</v>
      </c>
      <c r="F2471" t="s">
        <v>12</v>
      </c>
      <c r="G2471" t="s">
        <v>2677</v>
      </c>
    </row>
    <row r="2472" spans="1:7" x14ac:dyDescent="0.3">
      <c r="A2472">
        <v>2470</v>
      </c>
      <c r="B2472" t="s">
        <v>2760</v>
      </c>
      <c r="C2472" t="s">
        <v>2706</v>
      </c>
      <c r="D2472">
        <v>55</v>
      </c>
      <c r="E2472">
        <v>35</v>
      </c>
      <c r="F2472" t="s">
        <v>12</v>
      </c>
      <c r="G2472" t="s">
        <v>2677</v>
      </c>
    </row>
    <row r="2473" spans="1:7" x14ac:dyDescent="0.3">
      <c r="A2473">
        <v>2471</v>
      </c>
      <c r="B2473" t="s">
        <v>2761</v>
      </c>
      <c r="C2473" t="s">
        <v>2706</v>
      </c>
      <c r="D2473">
        <v>135</v>
      </c>
      <c r="E2473">
        <v>95</v>
      </c>
      <c r="F2473" t="s">
        <v>107</v>
      </c>
      <c r="G2473" t="s">
        <v>2677</v>
      </c>
    </row>
    <row r="2474" spans="1:7" x14ac:dyDescent="0.3">
      <c r="A2474">
        <v>2472</v>
      </c>
      <c r="B2474" t="s">
        <v>2762</v>
      </c>
      <c r="C2474" t="s">
        <v>2706</v>
      </c>
      <c r="D2474">
        <v>100</v>
      </c>
      <c r="E2474">
        <v>62</v>
      </c>
      <c r="F2474" t="s">
        <v>107</v>
      </c>
      <c r="G2474" t="s">
        <v>2677</v>
      </c>
    </row>
    <row r="2475" spans="1:7" x14ac:dyDescent="0.3">
      <c r="A2475">
        <v>2473</v>
      </c>
      <c r="B2475" t="s">
        <v>2763</v>
      </c>
      <c r="C2475" t="s">
        <v>17</v>
      </c>
      <c r="D2475">
        <v>40</v>
      </c>
      <c r="E2475">
        <v>30</v>
      </c>
      <c r="F2475" t="s">
        <v>12</v>
      </c>
      <c r="G2475" t="s">
        <v>2677</v>
      </c>
    </row>
    <row r="2476" spans="1:7" x14ac:dyDescent="0.3">
      <c r="A2476">
        <v>2474</v>
      </c>
      <c r="B2476" t="s">
        <v>2764</v>
      </c>
      <c r="C2476" t="s">
        <v>2765</v>
      </c>
      <c r="D2476">
        <v>730</v>
      </c>
      <c r="E2476">
        <v>580</v>
      </c>
      <c r="F2476" t="s">
        <v>96</v>
      </c>
      <c r="G2476" t="s">
        <v>2766</v>
      </c>
    </row>
    <row r="2477" spans="1:7" x14ac:dyDescent="0.3">
      <c r="A2477">
        <v>2475</v>
      </c>
      <c r="B2477" t="s">
        <v>2764</v>
      </c>
      <c r="C2477" t="s">
        <v>2765</v>
      </c>
      <c r="D2477">
        <v>146</v>
      </c>
      <c r="E2477">
        <v>132</v>
      </c>
      <c r="F2477" t="s">
        <v>15</v>
      </c>
      <c r="G2477" t="s">
        <v>2766</v>
      </c>
    </row>
    <row r="2478" spans="1:7" x14ac:dyDescent="0.3">
      <c r="A2478">
        <v>2476</v>
      </c>
      <c r="B2478" t="s">
        <v>2764</v>
      </c>
      <c r="C2478" t="s">
        <v>2765</v>
      </c>
      <c r="D2478">
        <v>73</v>
      </c>
      <c r="E2478">
        <v>66</v>
      </c>
      <c r="F2478" t="s">
        <v>9</v>
      </c>
      <c r="G2478" t="s">
        <v>2766</v>
      </c>
    </row>
    <row r="2479" spans="1:7" x14ac:dyDescent="0.3">
      <c r="A2479">
        <v>2477</v>
      </c>
      <c r="B2479" t="s">
        <v>2764</v>
      </c>
      <c r="C2479" t="s">
        <v>2765</v>
      </c>
      <c r="D2479">
        <v>230</v>
      </c>
      <c r="E2479">
        <v>184</v>
      </c>
      <c r="F2479" t="s">
        <v>876</v>
      </c>
      <c r="G2479" t="s">
        <v>2766</v>
      </c>
    </row>
    <row r="2480" spans="1:7" x14ac:dyDescent="0.3">
      <c r="A2480">
        <v>2478</v>
      </c>
      <c r="B2480" t="s">
        <v>2767</v>
      </c>
      <c r="C2480" t="s">
        <v>2768</v>
      </c>
      <c r="D2480">
        <v>132</v>
      </c>
      <c r="E2480">
        <v>118</v>
      </c>
      <c r="F2480" t="s">
        <v>15</v>
      </c>
      <c r="G2480" t="s">
        <v>2766</v>
      </c>
    </row>
    <row r="2481" spans="1:7" x14ac:dyDescent="0.3">
      <c r="A2481">
        <v>2479</v>
      </c>
      <c r="B2481" t="s">
        <v>2767</v>
      </c>
      <c r="C2481" t="s">
        <v>2768</v>
      </c>
      <c r="D2481">
        <v>250</v>
      </c>
      <c r="E2481">
        <v>205</v>
      </c>
      <c r="F2481" t="s">
        <v>2710</v>
      </c>
      <c r="G2481" t="s">
        <v>2766</v>
      </c>
    </row>
    <row r="2482" spans="1:7" x14ac:dyDescent="0.3">
      <c r="A2482">
        <v>2480</v>
      </c>
      <c r="B2482" t="s">
        <v>2767</v>
      </c>
      <c r="C2482" t="s">
        <v>2768</v>
      </c>
      <c r="D2482">
        <v>895</v>
      </c>
      <c r="E2482">
        <v>753</v>
      </c>
      <c r="F2482" t="s">
        <v>2769</v>
      </c>
      <c r="G2482" t="s">
        <v>2766</v>
      </c>
    </row>
    <row r="2483" spans="1:7" x14ac:dyDescent="0.3">
      <c r="A2483">
        <v>2481</v>
      </c>
      <c r="B2483" t="s">
        <v>2770</v>
      </c>
      <c r="C2483" t="s">
        <v>2771</v>
      </c>
      <c r="D2483">
        <v>540</v>
      </c>
      <c r="E2483">
        <v>401</v>
      </c>
      <c r="F2483" t="s">
        <v>2710</v>
      </c>
      <c r="G2483" t="s">
        <v>2766</v>
      </c>
    </row>
    <row r="2484" spans="1:7" x14ac:dyDescent="0.3">
      <c r="A2484">
        <v>2482</v>
      </c>
      <c r="B2484" t="s">
        <v>2770</v>
      </c>
      <c r="C2484" t="s">
        <v>2771</v>
      </c>
      <c r="D2484">
        <v>770</v>
      </c>
      <c r="E2484">
        <v>715</v>
      </c>
      <c r="F2484" t="s">
        <v>2708</v>
      </c>
      <c r="G2484" t="s">
        <v>2766</v>
      </c>
    </row>
    <row r="2485" spans="1:7" x14ac:dyDescent="0.3">
      <c r="A2485">
        <v>2483</v>
      </c>
      <c r="B2485" t="s">
        <v>2770</v>
      </c>
      <c r="C2485" t="s">
        <v>2771</v>
      </c>
      <c r="D2485">
        <v>1300</v>
      </c>
      <c r="E2485">
        <v>941</v>
      </c>
      <c r="F2485" t="s">
        <v>2772</v>
      </c>
      <c r="G2485" t="s">
        <v>2766</v>
      </c>
    </row>
    <row r="2486" spans="1:7" x14ac:dyDescent="0.3">
      <c r="A2486">
        <v>2484</v>
      </c>
      <c r="B2486" t="s">
        <v>2773</v>
      </c>
      <c r="C2486" t="s">
        <v>2774</v>
      </c>
      <c r="D2486">
        <v>99</v>
      </c>
      <c r="E2486">
        <v>92</v>
      </c>
      <c r="F2486" t="s">
        <v>15</v>
      </c>
      <c r="G2486" t="s">
        <v>2766</v>
      </c>
    </row>
    <row r="2487" spans="1:7" x14ac:dyDescent="0.3">
      <c r="A2487">
        <v>2485</v>
      </c>
      <c r="B2487" t="s">
        <v>2773</v>
      </c>
      <c r="C2487" t="s">
        <v>2774</v>
      </c>
      <c r="D2487">
        <v>188</v>
      </c>
      <c r="E2487">
        <v>170</v>
      </c>
      <c r="F2487" t="s">
        <v>2710</v>
      </c>
      <c r="G2487" t="s">
        <v>2766</v>
      </c>
    </row>
    <row r="2488" spans="1:7" x14ac:dyDescent="0.3">
      <c r="A2488">
        <v>2486</v>
      </c>
      <c r="B2488" t="s">
        <v>2773</v>
      </c>
      <c r="C2488" t="s">
        <v>2774</v>
      </c>
      <c r="D2488">
        <v>690</v>
      </c>
      <c r="E2488">
        <v>569</v>
      </c>
      <c r="F2488" t="s">
        <v>2775</v>
      </c>
      <c r="G2488" t="s">
        <v>2766</v>
      </c>
    </row>
    <row r="2489" spans="1:7" x14ac:dyDescent="0.3">
      <c r="A2489">
        <v>2487</v>
      </c>
      <c r="B2489" t="s">
        <v>2776</v>
      </c>
      <c r="C2489" t="s">
        <v>2777</v>
      </c>
      <c r="D2489">
        <v>409</v>
      </c>
      <c r="E2489">
        <v>309</v>
      </c>
      <c r="F2489" t="s">
        <v>96</v>
      </c>
      <c r="G2489" t="s">
        <v>2766</v>
      </c>
    </row>
    <row r="2490" spans="1:7" x14ac:dyDescent="0.3">
      <c r="A2490">
        <v>2488</v>
      </c>
      <c r="B2490" t="s">
        <v>2776</v>
      </c>
      <c r="C2490" t="s">
        <v>2777</v>
      </c>
      <c r="D2490">
        <v>165</v>
      </c>
      <c r="E2490">
        <v>130</v>
      </c>
      <c r="F2490" t="s">
        <v>2710</v>
      </c>
      <c r="G2490" t="s">
        <v>2766</v>
      </c>
    </row>
    <row r="2491" spans="1:7" x14ac:dyDescent="0.3">
      <c r="A2491">
        <v>2489</v>
      </c>
      <c r="B2491" t="s">
        <v>2778</v>
      </c>
      <c r="C2491" t="s">
        <v>2765</v>
      </c>
      <c r="D2491">
        <v>1425</v>
      </c>
      <c r="E2491">
        <v>1138</v>
      </c>
      <c r="F2491" t="s">
        <v>2769</v>
      </c>
      <c r="G2491" t="s">
        <v>2766</v>
      </c>
    </row>
    <row r="2492" spans="1:7" x14ac:dyDescent="0.3">
      <c r="A2492">
        <v>2490</v>
      </c>
      <c r="B2492" t="s">
        <v>2778</v>
      </c>
      <c r="C2492" t="s">
        <v>2765</v>
      </c>
      <c r="D2492">
        <v>600</v>
      </c>
      <c r="E2492">
        <v>474</v>
      </c>
      <c r="F2492" t="s">
        <v>2710</v>
      </c>
      <c r="G2492" t="s">
        <v>2766</v>
      </c>
    </row>
    <row r="2493" spans="1:7" x14ac:dyDescent="0.3">
      <c r="A2493">
        <v>2491</v>
      </c>
      <c r="B2493" t="s">
        <v>2779</v>
      </c>
      <c r="C2493" t="s">
        <v>2765</v>
      </c>
      <c r="D2493">
        <v>1325</v>
      </c>
      <c r="E2493">
        <v>1049</v>
      </c>
      <c r="F2493" t="s">
        <v>2769</v>
      </c>
      <c r="G2493" t="s">
        <v>2766</v>
      </c>
    </row>
    <row r="2494" spans="1:7" x14ac:dyDescent="0.3">
      <c r="A2494">
        <v>2492</v>
      </c>
      <c r="B2494" t="s">
        <v>2779</v>
      </c>
      <c r="C2494" t="s">
        <v>2765</v>
      </c>
      <c r="D2494">
        <v>540</v>
      </c>
      <c r="E2494">
        <v>423</v>
      </c>
      <c r="F2494" t="s">
        <v>2710</v>
      </c>
      <c r="G2494" t="s">
        <v>2766</v>
      </c>
    </row>
    <row r="2495" spans="1:7" x14ac:dyDescent="0.3">
      <c r="A2495">
        <v>2493</v>
      </c>
      <c r="B2495" t="s">
        <v>2780</v>
      </c>
      <c r="C2495" t="s">
        <v>2771</v>
      </c>
      <c r="D2495">
        <v>285</v>
      </c>
      <c r="E2495">
        <v>265</v>
      </c>
      <c r="F2495" t="s">
        <v>15</v>
      </c>
      <c r="G2495" t="s">
        <v>2766</v>
      </c>
    </row>
    <row r="2496" spans="1:7" x14ac:dyDescent="0.3">
      <c r="A2496">
        <v>2494</v>
      </c>
      <c r="B2496" t="s">
        <v>2780</v>
      </c>
      <c r="C2496" t="s">
        <v>2771</v>
      </c>
      <c r="D2496">
        <v>605</v>
      </c>
      <c r="E2496">
        <v>436</v>
      </c>
      <c r="F2496" t="s">
        <v>2710</v>
      </c>
      <c r="G2496" t="s">
        <v>2766</v>
      </c>
    </row>
    <row r="2497" spans="1:7" x14ac:dyDescent="0.3">
      <c r="A2497">
        <v>2495</v>
      </c>
      <c r="B2497" t="s">
        <v>2780</v>
      </c>
      <c r="C2497" t="s">
        <v>2771</v>
      </c>
      <c r="D2497">
        <v>870</v>
      </c>
      <c r="E2497">
        <v>805</v>
      </c>
      <c r="F2497" t="s">
        <v>2708</v>
      </c>
      <c r="G2497" t="s">
        <v>2766</v>
      </c>
    </row>
    <row r="2498" spans="1:7" x14ac:dyDescent="0.3">
      <c r="A2498">
        <v>2496</v>
      </c>
      <c r="B2498" t="s">
        <v>2780</v>
      </c>
      <c r="C2498" t="s">
        <v>2771</v>
      </c>
      <c r="D2498">
        <v>1380</v>
      </c>
      <c r="E2498">
        <v>1149</v>
      </c>
      <c r="F2498" t="s">
        <v>2772</v>
      </c>
      <c r="G2498" t="s">
        <v>2766</v>
      </c>
    </row>
    <row r="2499" spans="1:7" x14ac:dyDescent="0.3">
      <c r="A2499">
        <v>2497</v>
      </c>
      <c r="B2499" t="s">
        <v>2781</v>
      </c>
      <c r="C2499" t="s">
        <v>2768</v>
      </c>
      <c r="D2499">
        <v>132</v>
      </c>
      <c r="E2499">
        <v>122</v>
      </c>
      <c r="F2499" t="s">
        <v>15</v>
      </c>
      <c r="G2499" t="s">
        <v>2766</v>
      </c>
    </row>
    <row r="2500" spans="1:7" x14ac:dyDescent="0.3">
      <c r="A2500">
        <v>2498</v>
      </c>
      <c r="B2500" t="s">
        <v>2781</v>
      </c>
      <c r="C2500" t="s">
        <v>2768</v>
      </c>
      <c r="D2500">
        <v>250</v>
      </c>
      <c r="E2500">
        <v>205</v>
      </c>
      <c r="F2500" t="s">
        <v>2710</v>
      </c>
      <c r="G2500" t="s">
        <v>2766</v>
      </c>
    </row>
    <row r="2501" spans="1:7" x14ac:dyDescent="0.3">
      <c r="A2501">
        <v>2499</v>
      </c>
      <c r="B2501" t="s">
        <v>2781</v>
      </c>
      <c r="C2501" t="s">
        <v>2768</v>
      </c>
      <c r="D2501">
        <v>895</v>
      </c>
      <c r="E2501">
        <v>800</v>
      </c>
      <c r="F2501" t="s">
        <v>2769</v>
      </c>
      <c r="G2501" t="s">
        <v>2766</v>
      </c>
    </row>
    <row r="2502" spans="1:7" x14ac:dyDescent="0.3">
      <c r="A2502">
        <v>2500</v>
      </c>
      <c r="B2502" t="s">
        <v>2782</v>
      </c>
      <c r="C2502" t="s">
        <v>2771</v>
      </c>
      <c r="D2502">
        <v>360</v>
      </c>
      <c r="E2502">
        <v>335</v>
      </c>
      <c r="F2502" t="s">
        <v>15</v>
      </c>
      <c r="G2502" t="s">
        <v>2766</v>
      </c>
    </row>
    <row r="2503" spans="1:7" x14ac:dyDescent="0.3">
      <c r="A2503">
        <v>2501</v>
      </c>
      <c r="B2503" t="s">
        <v>2782</v>
      </c>
      <c r="C2503" t="s">
        <v>2771</v>
      </c>
      <c r="D2503">
        <v>1370</v>
      </c>
      <c r="E2503">
        <v>685</v>
      </c>
      <c r="F2503" t="s">
        <v>2783</v>
      </c>
      <c r="G2503" t="s">
        <v>2766</v>
      </c>
    </row>
    <row r="2504" spans="1:7" x14ac:dyDescent="0.3">
      <c r="A2504">
        <v>2502</v>
      </c>
      <c r="B2504" t="s">
        <v>2784</v>
      </c>
      <c r="C2504" t="s">
        <v>2785</v>
      </c>
      <c r="D2504">
        <v>71</v>
      </c>
      <c r="E2504">
        <v>63</v>
      </c>
      <c r="F2504" t="s">
        <v>15</v>
      </c>
      <c r="G2504" t="s">
        <v>2766</v>
      </c>
    </row>
    <row r="2505" spans="1:7" x14ac:dyDescent="0.3">
      <c r="A2505">
        <v>2503</v>
      </c>
      <c r="B2505" t="s">
        <v>2786</v>
      </c>
      <c r="C2505" t="s">
        <v>2765</v>
      </c>
      <c r="D2505">
        <v>240</v>
      </c>
      <c r="E2505">
        <v>212</v>
      </c>
      <c r="F2505" t="s">
        <v>15</v>
      </c>
      <c r="G2505" t="s">
        <v>2766</v>
      </c>
    </row>
    <row r="2506" spans="1:7" x14ac:dyDescent="0.3">
      <c r="A2506">
        <v>2504</v>
      </c>
      <c r="B2506" t="s">
        <v>2786</v>
      </c>
      <c r="C2506" t="s">
        <v>2765</v>
      </c>
      <c r="D2506">
        <v>500</v>
      </c>
      <c r="E2506">
        <v>440</v>
      </c>
      <c r="F2506" t="s">
        <v>2710</v>
      </c>
      <c r="G2506" t="s">
        <v>2766</v>
      </c>
    </row>
    <row r="2507" spans="1:7" x14ac:dyDescent="0.3">
      <c r="A2507">
        <v>2505</v>
      </c>
      <c r="B2507" t="s">
        <v>2787</v>
      </c>
      <c r="C2507" t="s">
        <v>2788</v>
      </c>
      <c r="D2507">
        <v>210</v>
      </c>
      <c r="E2507">
        <v>166</v>
      </c>
      <c r="F2507" t="s">
        <v>2708</v>
      </c>
      <c r="G2507" t="s">
        <v>2766</v>
      </c>
    </row>
    <row r="2508" spans="1:7" x14ac:dyDescent="0.3">
      <c r="A2508">
        <v>2506</v>
      </c>
      <c r="B2508" t="s">
        <v>2789</v>
      </c>
      <c r="C2508" t="s">
        <v>2774</v>
      </c>
      <c r="D2508">
        <v>99</v>
      </c>
      <c r="E2508">
        <v>86</v>
      </c>
      <c r="F2508" t="s">
        <v>15</v>
      </c>
      <c r="G2508" t="s">
        <v>2766</v>
      </c>
    </row>
    <row r="2509" spans="1:7" x14ac:dyDescent="0.3">
      <c r="A2509">
        <v>2507</v>
      </c>
      <c r="B2509" t="s">
        <v>2790</v>
      </c>
      <c r="C2509" t="s">
        <v>2785</v>
      </c>
      <c r="D2509">
        <v>71</v>
      </c>
      <c r="E2509">
        <v>62</v>
      </c>
      <c r="F2509" t="s">
        <v>15</v>
      </c>
      <c r="G2509" t="s">
        <v>2766</v>
      </c>
    </row>
    <row r="2510" spans="1:7" x14ac:dyDescent="0.3">
      <c r="A2510">
        <v>2508</v>
      </c>
      <c r="B2510" t="s">
        <v>2791</v>
      </c>
      <c r="C2510" t="s">
        <v>2792</v>
      </c>
      <c r="D2510">
        <v>525</v>
      </c>
      <c r="E2510">
        <v>262</v>
      </c>
      <c r="F2510" t="s">
        <v>2772</v>
      </c>
      <c r="G2510" t="s">
        <v>2766</v>
      </c>
    </row>
    <row r="2511" spans="1:7" x14ac:dyDescent="0.3">
      <c r="A2511">
        <v>2509</v>
      </c>
      <c r="B2511" t="s">
        <v>2793</v>
      </c>
      <c r="C2511" t="s">
        <v>2768</v>
      </c>
      <c r="D2511">
        <v>75</v>
      </c>
      <c r="E2511">
        <v>71</v>
      </c>
      <c r="F2511" t="s">
        <v>1413</v>
      </c>
      <c r="G2511" t="s">
        <v>2766</v>
      </c>
    </row>
    <row r="2512" spans="1:7" x14ac:dyDescent="0.3">
      <c r="A2512">
        <v>2510</v>
      </c>
      <c r="B2512" t="s">
        <v>2794</v>
      </c>
      <c r="C2512" t="s">
        <v>2795</v>
      </c>
      <c r="D2512">
        <v>210</v>
      </c>
      <c r="E2512">
        <v>189</v>
      </c>
      <c r="F2512" t="s">
        <v>76</v>
      </c>
      <c r="G2512" t="s">
        <v>2766</v>
      </c>
    </row>
    <row r="2513" spans="1:7" x14ac:dyDescent="0.3">
      <c r="A2513">
        <v>2511</v>
      </c>
      <c r="B2513" t="s">
        <v>2796</v>
      </c>
      <c r="C2513" t="s">
        <v>2797</v>
      </c>
      <c r="D2513">
        <v>400</v>
      </c>
      <c r="E2513">
        <v>320</v>
      </c>
      <c r="F2513" t="s">
        <v>394</v>
      </c>
      <c r="G2513" t="s">
        <v>2766</v>
      </c>
    </row>
    <row r="2514" spans="1:7" x14ac:dyDescent="0.3">
      <c r="A2514">
        <v>2512</v>
      </c>
      <c r="B2514" t="s">
        <v>2798</v>
      </c>
      <c r="C2514" t="s">
        <v>2799</v>
      </c>
      <c r="D2514">
        <v>600</v>
      </c>
      <c r="E2514">
        <v>479</v>
      </c>
      <c r="F2514" t="s">
        <v>96</v>
      </c>
      <c r="G2514" t="s">
        <v>2766</v>
      </c>
    </row>
    <row r="2515" spans="1:7" x14ac:dyDescent="0.3">
      <c r="A2515">
        <v>2513</v>
      </c>
      <c r="B2515" t="s">
        <v>2800</v>
      </c>
      <c r="C2515" t="s">
        <v>2801</v>
      </c>
      <c r="D2515">
        <v>850</v>
      </c>
      <c r="E2515">
        <v>699</v>
      </c>
      <c r="F2515" t="s">
        <v>96</v>
      </c>
      <c r="G2515" t="s">
        <v>2766</v>
      </c>
    </row>
    <row r="2516" spans="1:7" x14ac:dyDescent="0.3">
      <c r="A2516">
        <v>2514</v>
      </c>
      <c r="B2516" t="s">
        <v>2802</v>
      </c>
      <c r="C2516" t="s">
        <v>2797</v>
      </c>
      <c r="D2516">
        <v>480</v>
      </c>
      <c r="E2516">
        <v>315</v>
      </c>
      <c r="F2516" t="s">
        <v>394</v>
      </c>
      <c r="G2516" t="s">
        <v>2766</v>
      </c>
    </row>
    <row r="2517" spans="1:7" x14ac:dyDescent="0.3">
      <c r="A2517">
        <v>2515</v>
      </c>
      <c r="B2517" t="s">
        <v>2803</v>
      </c>
      <c r="C2517" t="s">
        <v>2771</v>
      </c>
      <c r="D2517">
        <v>360</v>
      </c>
      <c r="E2517">
        <v>334</v>
      </c>
      <c r="F2517" t="s">
        <v>15</v>
      </c>
      <c r="G2517" t="s">
        <v>2766</v>
      </c>
    </row>
    <row r="2518" spans="1:7" x14ac:dyDescent="0.3">
      <c r="A2518">
        <v>2516</v>
      </c>
      <c r="B2518" t="s">
        <v>2804</v>
      </c>
      <c r="C2518" t="s">
        <v>2801</v>
      </c>
      <c r="D2518">
        <v>480</v>
      </c>
      <c r="E2518">
        <v>375</v>
      </c>
      <c r="F2518" t="s">
        <v>2710</v>
      </c>
      <c r="G2518" t="s">
        <v>2766</v>
      </c>
    </row>
    <row r="2519" spans="1:7" x14ac:dyDescent="0.3">
      <c r="A2519">
        <v>2517</v>
      </c>
      <c r="B2519" t="s">
        <v>2805</v>
      </c>
      <c r="C2519" t="s">
        <v>2801</v>
      </c>
      <c r="D2519">
        <v>440</v>
      </c>
      <c r="E2519">
        <v>359</v>
      </c>
      <c r="F2519" t="s">
        <v>2710</v>
      </c>
      <c r="G2519" t="s">
        <v>2766</v>
      </c>
    </row>
    <row r="2520" spans="1:7" x14ac:dyDescent="0.3">
      <c r="A2520">
        <v>2518</v>
      </c>
      <c r="B2520" t="s">
        <v>2806</v>
      </c>
      <c r="C2520" t="s">
        <v>2774</v>
      </c>
      <c r="D2520">
        <v>10</v>
      </c>
      <c r="E2520">
        <v>9</v>
      </c>
      <c r="F2520" t="s">
        <v>1619</v>
      </c>
      <c r="G2520" t="s">
        <v>2766</v>
      </c>
    </row>
    <row r="2521" spans="1:7" x14ac:dyDescent="0.3">
      <c r="A2521">
        <v>2519</v>
      </c>
      <c r="B2521" t="s">
        <v>2806</v>
      </c>
      <c r="C2521" t="s">
        <v>2774</v>
      </c>
      <c r="D2521">
        <v>96</v>
      </c>
      <c r="E2521">
        <v>88</v>
      </c>
      <c r="F2521" t="s">
        <v>2807</v>
      </c>
      <c r="G2521" t="s">
        <v>2766</v>
      </c>
    </row>
    <row r="2522" spans="1:7" x14ac:dyDescent="0.3">
      <c r="A2522">
        <v>2520</v>
      </c>
      <c r="B2522" t="s">
        <v>2806</v>
      </c>
      <c r="C2522" t="s">
        <v>2774</v>
      </c>
      <c r="D2522">
        <v>142</v>
      </c>
      <c r="E2522">
        <v>115</v>
      </c>
      <c r="F2522" t="s">
        <v>2808</v>
      </c>
      <c r="G2522" t="s">
        <v>2766</v>
      </c>
    </row>
    <row r="2523" spans="1:7" x14ac:dyDescent="0.3">
      <c r="A2523">
        <v>2521</v>
      </c>
      <c r="B2523" t="s">
        <v>2809</v>
      </c>
      <c r="C2523" t="s">
        <v>2765</v>
      </c>
      <c r="D2523">
        <v>10</v>
      </c>
      <c r="E2523">
        <v>9</v>
      </c>
      <c r="F2523" t="s">
        <v>720</v>
      </c>
      <c r="G2523" t="s">
        <v>2766</v>
      </c>
    </row>
    <row r="2524" spans="1:7" x14ac:dyDescent="0.3">
      <c r="A2524">
        <v>2522</v>
      </c>
      <c r="B2524" t="s">
        <v>2809</v>
      </c>
      <c r="C2524" t="s">
        <v>2765</v>
      </c>
      <c r="D2524">
        <v>122</v>
      </c>
      <c r="E2524">
        <v>110</v>
      </c>
      <c r="F2524" t="s">
        <v>2810</v>
      </c>
      <c r="G2524" t="s">
        <v>2766</v>
      </c>
    </row>
    <row r="2525" spans="1:7" x14ac:dyDescent="0.3">
      <c r="A2525">
        <v>2523</v>
      </c>
      <c r="B2525" t="s">
        <v>2811</v>
      </c>
      <c r="C2525" t="s">
        <v>2812</v>
      </c>
      <c r="D2525">
        <v>10</v>
      </c>
      <c r="E2525">
        <v>7</v>
      </c>
      <c r="F2525" t="s">
        <v>188</v>
      </c>
      <c r="G2525" t="s">
        <v>2766</v>
      </c>
    </row>
    <row r="2526" spans="1:7" x14ac:dyDescent="0.3">
      <c r="A2526">
        <v>2524</v>
      </c>
      <c r="B2526" t="s">
        <v>2811</v>
      </c>
      <c r="C2526" t="s">
        <v>2812</v>
      </c>
      <c r="D2526">
        <v>60</v>
      </c>
      <c r="E2526">
        <v>46</v>
      </c>
      <c r="F2526" t="s">
        <v>2807</v>
      </c>
      <c r="G2526" t="s">
        <v>2766</v>
      </c>
    </row>
    <row r="2527" spans="1:7" x14ac:dyDescent="0.3">
      <c r="A2527">
        <v>2525</v>
      </c>
      <c r="B2527" t="s">
        <v>2813</v>
      </c>
      <c r="C2527" t="s">
        <v>2768</v>
      </c>
      <c r="D2527">
        <v>95</v>
      </c>
      <c r="E2527">
        <v>84</v>
      </c>
      <c r="F2527" t="s">
        <v>2814</v>
      </c>
      <c r="G2527" t="s">
        <v>2766</v>
      </c>
    </row>
    <row r="2528" spans="1:7" x14ac:dyDescent="0.3">
      <c r="A2528">
        <v>2526</v>
      </c>
      <c r="B2528" t="s">
        <v>2815</v>
      </c>
      <c r="C2528" t="s">
        <v>2816</v>
      </c>
      <c r="D2528">
        <v>30</v>
      </c>
      <c r="E2528">
        <v>27</v>
      </c>
      <c r="F2528" t="s">
        <v>188</v>
      </c>
      <c r="G2528" t="s">
        <v>2766</v>
      </c>
    </row>
    <row r="2529" spans="1:7" x14ac:dyDescent="0.3">
      <c r="A2529">
        <v>2527</v>
      </c>
      <c r="B2529" t="s">
        <v>2817</v>
      </c>
      <c r="C2529" t="s">
        <v>2818</v>
      </c>
      <c r="D2529">
        <v>100</v>
      </c>
      <c r="E2529">
        <v>90</v>
      </c>
      <c r="F2529" t="s">
        <v>1002</v>
      </c>
      <c r="G2529" t="s">
        <v>2766</v>
      </c>
    </row>
    <row r="2530" spans="1:7" x14ac:dyDescent="0.3">
      <c r="A2530">
        <v>2528</v>
      </c>
      <c r="B2530" t="s">
        <v>2819</v>
      </c>
      <c r="C2530" t="s">
        <v>2788</v>
      </c>
      <c r="D2530">
        <v>22</v>
      </c>
      <c r="E2530">
        <v>17</v>
      </c>
      <c r="F2530" t="s">
        <v>1371</v>
      </c>
      <c r="G2530" t="s">
        <v>2766</v>
      </c>
    </row>
    <row r="2531" spans="1:7" x14ac:dyDescent="0.3">
      <c r="A2531">
        <v>2529</v>
      </c>
      <c r="B2531" t="s">
        <v>2811</v>
      </c>
      <c r="C2531" t="s">
        <v>2812</v>
      </c>
      <c r="D2531">
        <v>85</v>
      </c>
      <c r="E2531">
        <v>68</v>
      </c>
      <c r="F2531" t="s">
        <v>2808</v>
      </c>
      <c r="G2531" t="s">
        <v>2766</v>
      </c>
    </row>
    <row r="2532" spans="1:7" x14ac:dyDescent="0.3">
      <c r="A2532">
        <v>2530</v>
      </c>
      <c r="B2532" t="s">
        <v>2820</v>
      </c>
      <c r="C2532" t="s">
        <v>2765</v>
      </c>
      <c r="D2532">
        <v>220</v>
      </c>
      <c r="E2532">
        <v>196</v>
      </c>
      <c r="F2532" t="s">
        <v>246</v>
      </c>
      <c r="G2532" t="s">
        <v>2766</v>
      </c>
    </row>
    <row r="2533" spans="1:7" x14ac:dyDescent="0.3">
      <c r="A2533">
        <v>2531</v>
      </c>
      <c r="B2533" t="s">
        <v>2820</v>
      </c>
      <c r="C2533" t="s">
        <v>2765</v>
      </c>
      <c r="D2533">
        <v>430</v>
      </c>
      <c r="E2533">
        <v>330</v>
      </c>
      <c r="F2533" t="s">
        <v>394</v>
      </c>
      <c r="G2533" t="s">
        <v>2766</v>
      </c>
    </row>
    <row r="2534" spans="1:7" x14ac:dyDescent="0.3">
      <c r="A2534">
        <v>2532</v>
      </c>
      <c r="B2534" t="s">
        <v>2821</v>
      </c>
      <c r="C2534" t="s">
        <v>2765</v>
      </c>
      <c r="D2534">
        <v>245</v>
      </c>
      <c r="E2534">
        <v>225</v>
      </c>
      <c r="F2534" t="s">
        <v>246</v>
      </c>
      <c r="G2534" t="s">
        <v>2766</v>
      </c>
    </row>
    <row r="2535" spans="1:7" x14ac:dyDescent="0.3">
      <c r="A2535">
        <v>2533</v>
      </c>
      <c r="B2535" t="s">
        <v>2821</v>
      </c>
      <c r="C2535" t="s">
        <v>2765</v>
      </c>
      <c r="D2535">
        <v>480</v>
      </c>
      <c r="E2535">
        <v>380</v>
      </c>
      <c r="F2535" t="s">
        <v>394</v>
      </c>
      <c r="G2535" t="s">
        <v>2766</v>
      </c>
    </row>
    <row r="2536" spans="1:7" x14ac:dyDescent="0.3">
      <c r="A2536">
        <v>2534</v>
      </c>
      <c r="B2536" t="s">
        <v>2821</v>
      </c>
      <c r="C2536" t="s">
        <v>2765</v>
      </c>
      <c r="D2536">
        <v>425</v>
      </c>
      <c r="E2536">
        <v>385</v>
      </c>
      <c r="F2536" t="s">
        <v>2822</v>
      </c>
      <c r="G2536" t="s">
        <v>2766</v>
      </c>
    </row>
    <row r="2537" spans="1:7" x14ac:dyDescent="0.3">
      <c r="A2537">
        <v>2535</v>
      </c>
      <c r="B2537" t="s">
        <v>2823</v>
      </c>
      <c r="C2537" t="s">
        <v>2824</v>
      </c>
      <c r="D2537">
        <v>58</v>
      </c>
      <c r="E2537">
        <v>52</v>
      </c>
      <c r="F2537" t="s">
        <v>399</v>
      </c>
      <c r="G2537" t="s">
        <v>2766</v>
      </c>
    </row>
    <row r="2538" spans="1:7" x14ac:dyDescent="0.3">
      <c r="A2538">
        <v>2536</v>
      </c>
      <c r="B2538" t="s">
        <v>2823</v>
      </c>
      <c r="C2538" t="s">
        <v>2824</v>
      </c>
      <c r="D2538">
        <v>120</v>
      </c>
      <c r="E2538">
        <v>108</v>
      </c>
      <c r="F2538" t="s">
        <v>2825</v>
      </c>
      <c r="G2538" t="s">
        <v>2766</v>
      </c>
    </row>
    <row r="2539" spans="1:7" x14ac:dyDescent="0.3">
      <c r="A2539">
        <v>2537</v>
      </c>
      <c r="B2539" t="s">
        <v>2823</v>
      </c>
      <c r="C2539" t="s">
        <v>2824</v>
      </c>
      <c r="D2539">
        <v>235</v>
      </c>
      <c r="E2539">
        <v>190</v>
      </c>
      <c r="F2539" t="s">
        <v>2826</v>
      </c>
      <c r="G2539" t="s">
        <v>2766</v>
      </c>
    </row>
    <row r="2540" spans="1:7" x14ac:dyDescent="0.3">
      <c r="A2540">
        <v>2538</v>
      </c>
      <c r="B2540" t="s">
        <v>2823</v>
      </c>
      <c r="C2540" t="s">
        <v>2824</v>
      </c>
      <c r="D2540">
        <v>415</v>
      </c>
      <c r="E2540">
        <v>375</v>
      </c>
      <c r="F2540" t="s">
        <v>2827</v>
      </c>
      <c r="G2540" t="s">
        <v>2766</v>
      </c>
    </row>
    <row r="2541" spans="1:7" x14ac:dyDescent="0.3">
      <c r="A2541">
        <v>2539</v>
      </c>
      <c r="B2541" t="s">
        <v>2823</v>
      </c>
      <c r="C2541" t="s">
        <v>2824</v>
      </c>
      <c r="D2541">
        <v>480</v>
      </c>
      <c r="E2541">
        <v>420</v>
      </c>
      <c r="F2541" t="s">
        <v>394</v>
      </c>
      <c r="G2541" t="s">
        <v>2766</v>
      </c>
    </row>
    <row r="2542" spans="1:7" x14ac:dyDescent="0.3">
      <c r="A2542">
        <v>2540</v>
      </c>
      <c r="B2542" t="s">
        <v>2828</v>
      </c>
      <c r="C2542" t="s">
        <v>2824</v>
      </c>
      <c r="D2542">
        <v>480</v>
      </c>
      <c r="E2542">
        <v>420</v>
      </c>
      <c r="F2542" t="s">
        <v>394</v>
      </c>
      <c r="G2542" t="s">
        <v>2766</v>
      </c>
    </row>
    <row r="2543" spans="1:7" x14ac:dyDescent="0.3">
      <c r="A2543">
        <v>2541</v>
      </c>
      <c r="B2543" t="s">
        <v>2828</v>
      </c>
      <c r="C2543" t="s">
        <v>2824</v>
      </c>
      <c r="D2543">
        <v>58</v>
      </c>
      <c r="E2543">
        <v>53</v>
      </c>
      <c r="F2543" t="s">
        <v>399</v>
      </c>
      <c r="G2543" t="s">
        <v>2766</v>
      </c>
    </row>
    <row r="2544" spans="1:7" x14ac:dyDescent="0.3">
      <c r="A2544">
        <v>2542</v>
      </c>
      <c r="B2544" t="s">
        <v>2828</v>
      </c>
      <c r="C2544" t="s">
        <v>2824</v>
      </c>
      <c r="D2544">
        <v>235</v>
      </c>
      <c r="E2544">
        <v>195</v>
      </c>
      <c r="F2544" t="s">
        <v>2826</v>
      </c>
      <c r="G2544" t="s">
        <v>2766</v>
      </c>
    </row>
    <row r="2545" spans="1:7" x14ac:dyDescent="0.3">
      <c r="A2545">
        <v>2543</v>
      </c>
      <c r="B2545" t="s">
        <v>2829</v>
      </c>
      <c r="C2545" t="s">
        <v>2774</v>
      </c>
      <c r="D2545">
        <v>85</v>
      </c>
      <c r="E2545">
        <v>67</v>
      </c>
      <c r="F2545" t="s">
        <v>391</v>
      </c>
      <c r="G2545" t="s">
        <v>2766</v>
      </c>
    </row>
    <row r="2546" spans="1:7" x14ac:dyDescent="0.3">
      <c r="A2546">
        <v>2544</v>
      </c>
      <c r="B2546" t="s">
        <v>2830</v>
      </c>
      <c r="C2546" t="s">
        <v>2812</v>
      </c>
      <c r="D2546">
        <v>60</v>
      </c>
      <c r="E2546">
        <v>30</v>
      </c>
      <c r="F2546" t="s">
        <v>391</v>
      </c>
      <c r="G2546" t="s">
        <v>2766</v>
      </c>
    </row>
    <row r="2547" spans="1:7" x14ac:dyDescent="0.3">
      <c r="A2547">
        <v>2545</v>
      </c>
      <c r="B2547" t="s">
        <v>2831</v>
      </c>
      <c r="C2547" t="s">
        <v>2771</v>
      </c>
      <c r="D2547">
        <v>410</v>
      </c>
      <c r="E2547">
        <v>325</v>
      </c>
      <c r="F2547" t="s">
        <v>394</v>
      </c>
      <c r="G2547" t="s">
        <v>2766</v>
      </c>
    </row>
    <row r="2548" spans="1:7" x14ac:dyDescent="0.3">
      <c r="A2548">
        <v>2546</v>
      </c>
      <c r="B2548" t="s">
        <v>2832</v>
      </c>
      <c r="C2548" t="s">
        <v>2771</v>
      </c>
      <c r="D2548">
        <v>465</v>
      </c>
      <c r="E2548">
        <v>380</v>
      </c>
      <c r="F2548" t="s">
        <v>394</v>
      </c>
      <c r="G2548" t="s">
        <v>2766</v>
      </c>
    </row>
    <row r="2549" spans="1:7" x14ac:dyDescent="0.3">
      <c r="A2549">
        <v>2547</v>
      </c>
      <c r="B2549" t="s">
        <v>2833</v>
      </c>
      <c r="C2549" t="s">
        <v>2834</v>
      </c>
      <c r="D2549">
        <v>280</v>
      </c>
      <c r="E2549">
        <v>199</v>
      </c>
      <c r="F2549" t="s">
        <v>15</v>
      </c>
      <c r="G2549" t="s">
        <v>2766</v>
      </c>
    </row>
    <row r="2550" spans="1:7" x14ac:dyDescent="0.3">
      <c r="A2550">
        <v>2548</v>
      </c>
      <c r="B2550" t="s">
        <v>2835</v>
      </c>
      <c r="C2550" t="s">
        <v>2824</v>
      </c>
      <c r="D2550">
        <v>60</v>
      </c>
      <c r="E2550">
        <v>55</v>
      </c>
      <c r="F2550" t="s">
        <v>399</v>
      </c>
      <c r="G2550" t="s">
        <v>2766</v>
      </c>
    </row>
    <row r="2551" spans="1:7" x14ac:dyDescent="0.3">
      <c r="A2551">
        <v>2549</v>
      </c>
      <c r="B2551" t="s">
        <v>2835</v>
      </c>
      <c r="C2551" t="s">
        <v>2824</v>
      </c>
      <c r="D2551">
        <v>235</v>
      </c>
      <c r="E2551">
        <v>205</v>
      </c>
      <c r="F2551" t="s">
        <v>2826</v>
      </c>
      <c r="G2551" t="s">
        <v>2766</v>
      </c>
    </row>
    <row r="2552" spans="1:7" x14ac:dyDescent="0.3">
      <c r="A2552">
        <v>2550</v>
      </c>
      <c r="B2552" t="s">
        <v>2836</v>
      </c>
      <c r="C2552" t="s">
        <v>2795</v>
      </c>
      <c r="D2552">
        <v>215</v>
      </c>
      <c r="E2552">
        <v>199</v>
      </c>
      <c r="F2552" t="s">
        <v>2837</v>
      </c>
      <c r="G2552" t="s">
        <v>2766</v>
      </c>
    </row>
    <row r="2553" spans="1:7" x14ac:dyDescent="0.3">
      <c r="A2553">
        <v>2551</v>
      </c>
      <c r="B2553" t="s">
        <v>2838</v>
      </c>
      <c r="C2553" t="s">
        <v>2771</v>
      </c>
      <c r="D2553">
        <v>580</v>
      </c>
      <c r="E2553">
        <v>530</v>
      </c>
      <c r="F2553" t="s">
        <v>394</v>
      </c>
      <c r="G2553" t="s">
        <v>2766</v>
      </c>
    </row>
    <row r="2554" spans="1:7" x14ac:dyDescent="0.3">
      <c r="A2554">
        <v>2552</v>
      </c>
      <c r="B2554" t="s">
        <v>2838</v>
      </c>
      <c r="C2554" t="s">
        <v>2771</v>
      </c>
      <c r="D2554">
        <v>250</v>
      </c>
      <c r="E2554">
        <v>232</v>
      </c>
      <c r="F2554" t="s">
        <v>246</v>
      </c>
      <c r="G2554" t="s">
        <v>2766</v>
      </c>
    </row>
    <row r="2555" spans="1:7" x14ac:dyDescent="0.3">
      <c r="A2555">
        <v>2553</v>
      </c>
      <c r="B2555" t="s">
        <v>2839</v>
      </c>
      <c r="C2555" t="s">
        <v>2771</v>
      </c>
      <c r="D2555">
        <v>510</v>
      </c>
      <c r="E2555">
        <v>455</v>
      </c>
      <c r="F2555" t="s">
        <v>394</v>
      </c>
      <c r="G2555" t="s">
        <v>2766</v>
      </c>
    </row>
    <row r="2556" spans="1:7" x14ac:dyDescent="0.3">
      <c r="A2556">
        <v>2554</v>
      </c>
      <c r="B2556" t="s">
        <v>2839</v>
      </c>
      <c r="C2556" t="s">
        <v>2771</v>
      </c>
      <c r="D2556">
        <v>220</v>
      </c>
      <c r="E2556">
        <v>204</v>
      </c>
      <c r="F2556" t="s">
        <v>246</v>
      </c>
      <c r="G2556" t="s">
        <v>2766</v>
      </c>
    </row>
    <row r="2557" spans="1:7" x14ac:dyDescent="0.3">
      <c r="A2557">
        <v>2555</v>
      </c>
      <c r="B2557" t="s">
        <v>2840</v>
      </c>
      <c r="C2557" t="s">
        <v>2841</v>
      </c>
      <c r="D2557">
        <v>205</v>
      </c>
      <c r="E2557">
        <v>190</v>
      </c>
      <c r="F2557" t="s">
        <v>15</v>
      </c>
      <c r="G2557" t="s">
        <v>2766</v>
      </c>
    </row>
    <row r="2558" spans="1:7" x14ac:dyDescent="0.3">
      <c r="A2558">
        <v>2556</v>
      </c>
      <c r="B2558" t="s">
        <v>2842</v>
      </c>
      <c r="C2558" t="s">
        <v>2843</v>
      </c>
      <c r="D2558">
        <v>80</v>
      </c>
      <c r="E2558">
        <v>73</v>
      </c>
      <c r="F2558" t="s">
        <v>401</v>
      </c>
      <c r="G2558" t="s">
        <v>2766</v>
      </c>
    </row>
    <row r="2559" spans="1:7" x14ac:dyDescent="0.3">
      <c r="A2559">
        <v>2557</v>
      </c>
      <c r="B2559" t="s">
        <v>2844</v>
      </c>
      <c r="C2559" t="s">
        <v>2845</v>
      </c>
      <c r="D2559">
        <v>149</v>
      </c>
      <c r="E2559">
        <v>138</v>
      </c>
      <c r="F2559" t="s">
        <v>76</v>
      </c>
      <c r="G2559" t="s">
        <v>2766</v>
      </c>
    </row>
    <row r="2560" spans="1:7" x14ac:dyDescent="0.3">
      <c r="A2560">
        <v>2558</v>
      </c>
      <c r="B2560" t="s">
        <v>2846</v>
      </c>
      <c r="C2560" t="s">
        <v>2847</v>
      </c>
      <c r="D2560">
        <v>220</v>
      </c>
      <c r="E2560">
        <v>110</v>
      </c>
      <c r="F2560" t="s">
        <v>2837</v>
      </c>
      <c r="G2560" t="s">
        <v>2766</v>
      </c>
    </row>
    <row r="2561" spans="1:7" x14ac:dyDescent="0.3">
      <c r="A2561">
        <v>2559</v>
      </c>
      <c r="B2561" t="s">
        <v>2848</v>
      </c>
      <c r="C2561" t="s">
        <v>2849</v>
      </c>
      <c r="D2561">
        <v>515</v>
      </c>
      <c r="E2561">
        <v>404</v>
      </c>
      <c r="F2561" t="s">
        <v>394</v>
      </c>
      <c r="G2561" t="s">
        <v>2766</v>
      </c>
    </row>
    <row r="2562" spans="1:7" x14ac:dyDescent="0.3">
      <c r="A2562">
        <v>2560</v>
      </c>
      <c r="B2562" t="s">
        <v>2850</v>
      </c>
      <c r="C2562" t="s">
        <v>2851</v>
      </c>
      <c r="D2562">
        <v>515</v>
      </c>
      <c r="E2562">
        <v>404</v>
      </c>
      <c r="F2562" t="s">
        <v>394</v>
      </c>
      <c r="G2562" t="s">
        <v>2766</v>
      </c>
    </row>
    <row r="2563" spans="1:7" x14ac:dyDescent="0.3">
      <c r="A2563">
        <v>2561</v>
      </c>
      <c r="B2563" t="s">
        <v>2852</v>
      </c>
      <c r="C2563" t="s">
        <v>2849</v>
      </c>
      <c r="D2563">
        <v>235</v>
      </c>
      <c r="E2563">
        <v>185</v>
      </c>
      <c r="F2563" t="s">
        <v>2826</v>
      </c>
      <c r="G2563" t="s">
        <v>2766</v>
      </c>
    </row>
    <row r="2564" spans="1:7" x14ac:dyDescent="0.3">
      <c r="A2564">
        <v>2562</v>
      </c>
      <c r="B2564" t="s">
        <v>2852</v>
      </c>
      <c r="C2564" t="s">
        <v>2849</v>
      </c>
      <c r="D2564">
        <v>480</v>
      </c>
      <c r="E2564">
        <v>415</v>
      </c>
      <c r="F2564" t="s">
        <v>394</v>
      </c>
      <c r="G2564" t="s">
        <v>2766</v>
      </c>
    </row>
    <row r="2565" spans="1:7" x14ac:dyDescent="0.3">
      <c r="A2565">
        <v>2563</v>
      </c>
      <c r="B2565" t="s">
        <v>2853</v>
      </c>
      <c r="C2565" t="s">
        <v>2849</v>
      </c>
      <c r="D2565">
        <v>235</v>
      </c>
      <c r="E2565">
        <v>185</v>
      </c>
      <c r="F2565" t="s">
        <v>2826</v>
      </c>
      <c r="G2565" t="s">
        <v>2766</v>
      </c>
    </row>
    <row r="2566" spans="1:7" x14ac:dyDescent="0.3">
      <c r="A2566">
        <v>2564</v>
      </c>
      <c r="B2566" t="s">
        <v>2854</v>
      </c>
      <c r="C2566" t="s">
        <v>2855</v>
      </c>
      <c r="D2566">
        <v>399</v>
      </c>
      <c r="E2566">
        <v>344</v>
      </c>
      <c r="F2566" t="s">
        <v>394</v>
      </c>
      <c r="G2566" t="s">
        <v>2856</v>
      </c>
    </row>
    <row r="2567" spans="1:7" x14ac:dyDescent="0.3">
      <c r="A2567">
        <v>2565</v>
      </c>
      <c r="B2567" t="s">
        <v>2854</v>
      </c>
      <c r="C2567" t="s">
        <v>2855</v>
      </c>
      <c r="D2567">
        <v>849</v>
      </c>
      <c r="E2567">
        <v>699</v>
      </c>
      <c r="F2567" t="s">
        <v>331</v>
      </c>
      <c r="G2567" t="s">
        <v>2856</v>
      </c>
    </row>
    <row r="2568" spans="1:7" x14ac:dyDescent="0.3">
      <c r="A2568">
        <v>2566</v>
      </c>
      <c r="B2568" t="s">
        <v>2854</v>
      </c>
      <c r="C2568" t="s">
        <v>2855</v>
      </c>
      <c r="D2568">
        <v>350</v>
      </c>
      <c r="E2568">
        <v>324</v>
      </c>
      <c r="F2568" t="s">
        <v>2822</v>
      </c>
      <c r="G2568" t="s">
        <v>2856</v>
      </c>
    </row>
    <row r="2569" spans="1:7" x14ac:dyDescent="0.3">
      <c r="A2569">
        <v>2567</v>
      </c>
      <c r="B2569" t="s">
        <v>2854</v>
      </c>
      <c r="C2569" t="s">
        <v>2855</v>
      </c>
      <c r="D2569">
        <v>103</v>
      </c>
      <c r="E2569">
        <v>96</v>
      </c>
      <c r="F2569" t="s">
        <v>391</v>
      </c>
      <c r="G2569" t="s">
        <v>2856</v>
      </c>
    </row>
    <row r="2570" spans="1:7" x14ac:dyDescent="0.3">
      <c r="A2570">
        <v>2568</v>
      </c>
      <c r="B2570" t="s">
        <v>2854</v>
      </c>
      <c r="C2570" t="s">
        <v>2855</v>
      </c>
      <c r="D2570">
        <v>205</v>
      </c>
      <c r="E2570">
        <v>183</v>
      </c>
      <c r="F2570" t="s">
        <v>246</v>
      </c>
      <c r="G2570" t="s">
        <v>2856</v>
      </c>
    </row>
    <row r="2571" spans="1:7" x14ac:dyDescent="0.3">
      <c r="A2571">
        <v>2569</v>
      </c>
      <c r="B2571" t="s">
        <v>2857</v>
      </c>
      <c r="C2571" t="s">
        <v>2858</v>
      </c>
      <c r="D2571">
        <v>210</v>
      </c>
      <c r="E2571">
        <v>159</v>
      </c>
      <c r="F2571" t="s">
        <v>394</v>
      </c>
      <c r="G2571" t="s">
        <v>2856</v>
      </c>
    </row>
    <row r="2572" spans="1:7" x14ac:dyDescent="0.3">
      <c r="A2572">
        <v>2570</v>
      </c>
      <c r="B2572" t="s">
        <v>2857</v>
      </c>
      <c r="C2572" t="s">
        <v>2858</v>
      </c>
      <c r="D2572">
        <v>110</v>
      </c>
      <c r="E2572">
        <v>89</v>
      </c>
      <c r="F2572" t="s">
        <v>246</v>
      </c>
      <c r="G2572" t="s">
        <v>2856</v>
      </c>
    </row>
    <row r="2573" spans="1:7" x14ac:dyDescent="0.3">
      <c r="A2573">
        <v>2571</v>
      </c>
      <c r="B2573" t="s">
        <v>2857</v>
      </c>
      <c r="C2573" t="s">
        <v>2858</v>
      </c>
      <c r="D2573">
        <v>60</v>
      </c>
      <c r="E2573">
        <v>49</v>
      </c>
      <c r="F2573" t="s">
        <v>391</v>
      </c>
      <c r="G2573" t="s">
        <v>2856</v>
      </c>
    </row>
    <row r="2574" spans="1:7" x14ac:dyDescent="0.3">
      <c r="A2574">
        <v>2572</v>
      </c>
      <c r="B2574" t="s">
        <v>2859</v>
      </c>
      <c r="C2574" t="s">
        <v>352</v>
      </c>
      <c r="D2574">
        <v>220</v>
      </c>
      <c r="E2574">
        <v>139</v>
      </c>
      <c r="F2574" t="s">
        <v>246</v>
      </c>
      <c r="G2574" t="s">
        <v>2856</v>
      </c>
    </row>
    <row r="2575" spans="1:7" x14ac:dyDescent="0.3">
      <c r="A2575">
        <v>2573</v>
      </c>
      <c r="B2575" t="s">
        <v>2860</v>
      </c>
      <c r="C2575" t="s">
        <v>2861</v>
      </c>
      <c r="D2575">
        <v>150</v>
      </c>
      <c r="E2575">
        <v>107</v>
      </c>
      <c r="F2575" t="s">
        <v>246</v>
      </c>
      <c r="G2575" t="s">
        <v>2856</v>
      </c>
    </row>
    <row r="2576" spans="1:7" x14ac:dyDescent="0.3">
      <c r="A2576">
        <v>2574</v>
      </c>
      <c r="B2576" t="s">
        <v>2862</v>
      </c>
      <c r="C2576" t="s">
        <v>2855</v>
      </c>
      <c r="D2576">
        <v>399</v>
      </c>
      <c r="E2576">
        <v>344</v>
      </c>
      <c r="F2576" t="s">
        <v>394</v>
      </c>
      <c r="G2576" t="s">
        <v>2856</v>
      </c>
    </row>
    <row r="2577" spans="1:7" x14ac:dyDescent="0.3">
      <c r="A2577">
        <v>2575</v>
      </c>
      <c r="B2577" t="s">
        <v>2862</v>
      </c>
      <c r="C2577" t="s">
        <v>2855</v>
      </c>
      <c r="D2577">
        <v>103</v>
      </c>
      <c r="E2577">
        <v>95</v>
      </c>
      <c r="F2577" t="s">
        <v>391</v>
      </c>
      <c r="G2577" t="s">
        <v>2856</v>
      </c>
    </row>
    <row r="2578" spans="1:7" x14ac:dyDescent="0.3">
      <c r="A2578">
        <v>2576</v>
      </c>
      <c r="B2578" t="s">
        <v>2862</v>
      </c>
      <c r="C2578" t="s">
        <v>2855</v>
      </c>
      <c r="D2578">
        <v>350</v>
      </c>
      <c r="E2578">
        <v>325</v>
      </c>
      <c r="F2578" t="s">
        <v>2822</v>
      </c>
      <c r="G2578" t="s">
        <v>2856</v>
      </c>
    </row>
    <row r="2579" spans="1:7" x14ac:dyDescent="0.3">
      <c r="A2579">
        <v>2577</v>
      </c>
      <c r="B2579" t="s">
        <v>2862</v>
      </c>
      <c r="C2579" t="s">
        <v>2855</v>
      </c>
      <c r="D2579">
        <v>205</v>
      </c>
      <c r="E2579">
        <v>183</v>
      </c>
      <c r="F2579" t="s">
        <v>246</v>
      </c>
      <c r="G2579" t="s">
        <v>2856</v>
      </c>
    </row>
    <row r="2580" spans="1:7" x14ac:dyDescent="0.3">
      <c r="A2580">
        <v>2578</v>
      </c>
      <c r="B2580" t="s">
        <v>2863</v>
      </c>
      <c r="C2580" t="s">
        <v>2864</v>
      </c>
      <c r="D2580">
        <v>128</v>
      </c>
      <c r="E2580">
        <v>118</v>
      </c>
      <c r="F2580" t="s">
        <v>401</v>
      </c>
      <c r="G2580" t="s">
        <v>2856</v>
      </c>
    </row>
    <row r="2581" spans="1:7" x14ac:dyDescent="0.3">
      <c r="A2581">
        <v>2579</v>
      </c>
      <c r="B2581" t="s">
        <v>2863</v>
      </c>
      <c r="C2581" t="s">
        <v>2864</v>
      </c>
      <c r="D2581">
        <v>195</v>
      </c>
      <c r="E2581">
        <v>191</v>
      </c>
      <c r="F2581" t="s">
        <v>2865</v>
      </c>
      <c r="G2581" t="s">
        <v>2856</v>
      </c>
    </row>
    <row r="2582" spans="1:7" x14ac:dyDescent="0.3">
      <c r="A2582">
        <v>2580</v>
      </c>
      <c r="B2582" t="s">
        <v>2863</v>
      </c>
      <c r="C2582" t="s">
        <v>2864</v>
      </c>
      <c r="D2582">
        <v>331</v>
      </c>
      <c r="E2582">
        <v>308</v>
      </c>
      <c r="F2582" t="s">
        <v>246</v>
      </c>
      <c r="G2582" t="s">
        <v>2856</v>
      </c>
    </row>
    <row r="2583" spans="1:7" x14ac:dyDescent="0.3">
      <c r="A2583">
        <v>2581</v>
      </c>
      <c r="B2583" t="s">
        <v>2863</v>
      </c>
      <c r="C2583" t="s">
        <v>2864</v>
      </c>
      <c r="D2583">
        <v>1642</v>
      </c>
      <c r="E2583">
        <v>1526</v>
      </c>
      <c r="F2583" t="s">
        <v>331</v>
      </c>
      <c r="G2583" t="s">
        <v>2856</v>
      </c>
    </row>
    <row r="2584" spans="1:7" x14ac:dyDescent="0.3">
      <c r="A2584">
        <v>2582</v>
      </c>
      <c r="B2584" t="s">
        <v>2866</v>
      </c>
      <c r="C2584" t="s">
        <v>2855</v>
      </c>
      <c r="D2584">
        <v>399</v>
      </c>
      <c r="E2584">
        <v>365</v>
      </c>
      <c r="F2584" t="s">
        <v>394</v>
      </c>
      <c r="G2584" t="s">
        <v>2856</v>
      </c>
    </row>
    <row r="2585" spans="1:7" x14ac:dyDescent="0.3">
      <c r="A2585">
        <v>2583</v>
      </c>
      <c r="B2585" t="s">
        <v>2866</v>
      </c>
      <c r="C2585" t="s">
        <v>2855</v>
      </c>
      <c r="D2585">
        <v>205</v>
      </c>
      <c r="E2585">
        <v>190</v>
      </c>
      <c r="F2585" t="s">
        <v>246</v>
      </c>
      <c r="G2585" t="s">
        <v>2856</v>
      </c>
    </row>
    <row r="2586" spans="1:7" x14ac:dyDescent="0.3">
      <c r="A2586">
        <v>2584</v>
      </c>
      <c r="B2586" t="s">
        <v>2867</v>
      </c>
      <c r="C2586" t="s">
        <v>2868</v>
      </c>
      <c r="D2586">
        <v>96</v>
      </c>
      <c r="E2586">
        <v>86</v>
      </c>
      <c r="F2586" t="s">
        <v>391</v>
      </c>
      <c r="G2586" t="s">
        <v>2856</v>
      </c>
    </row>
    <row r="2587" spans="1:7" x14ac:dyDescent="0.3">
      <c r="A2587">
        <v>2585</v>
      </c>
      <c r="B2587" t="s">
        <v>2867</v>
      </c>
      <c r="C2587" t="s">
        <v>2868</v>
      </c>
      <c r="D2587">
        <v>176</v>
      </c>
      <c r="E2587">
        <v>162</v>
      </c>
      <c r="F2587" t="s">
        <v>246</v>
      </c>
      <c r="G2587" t="s">
        <v>2856</v>
      </c>
    </row>
    <row r="2588" spans="1:7" x14ac:dyDescent="0.3">
      <c r="A2588">
        <v>2586</v>
      </c>
      <c r="B2588" t="s">
        <v>2869</v>
      </c>
      <c r="C2588" t="s">
        <v>2870</v>
      </c>
      <c r="D2588">
        <v>220</v>
      </c>
      <c r="E2588">
        <v>159</v>
      </c>
      <c r="F2588" t="s">
        <v>246</v>
      </c>
      <c r="G2588" t="s">
        <v>2856</v>
      </c>
    </row>
    <row r="2589" spans="1:7" x14ac:dyDescent="0.3">
      <c r="A2589">
        <v>2587</v>
      </c>
      <c r="B2589" t="s">
        <v>2871</v>
      </c>
      <c r="C2589" t="s">
        <v>2872</v>
      </c>
      <c r="D2589">
        <v>99</v>
      </c>
      <c r="E2589">
        <v>92</v>
      </c>
      <c r="F2589" t="s">
        <v>391</v>
      </c>
      <c r="G2589" t="s">
        <v>2856</v>
      </c>
    </row>
    <row r="2590" spans="1:7" x14ac:dyDescent="0.3">
      <c r="A2590">
        <v>2588</v>
      </c>
      <c r="B2590" t="s">
        <v>2873</v>
      </c>
      <c r="C2590" t="s">
        <v>2874</v>
      </c>
      <c r="D2590">
        <v>220</v>
      </c>
      <c r="E2590">
        <v>155</v>
      </c>
      <c r="F2590" t="s">
        <v>246</v>
      </c>
      <c r="G2590" t="s">
        <v>2856</v>
      </c>
    </row>
    <row r="2591" spans="1:7" x14ac:dyDescent="0.3">
      <c r="A2591">
        <v>2589</v>
      </c>
      <c r="B2591" t="s">
        <v>2875</v>
      </c>
      <c r="C2591" t="s">
        <v>2876</v>
      </c>
      <c r="D2591">
        <v>156</v>
      </c>
      <c r="E2591">
        <v>78</v>
      </c>
      <c r="F2591" t="s">
        <v>246</v>
      </c>
      <c r="G2591" t="s">
        <v>2856</v>
      </c>
    </row>
    <row r="2592" spans="1:7" x14ac:dyDescent="0.3">
      <c r="A2592">
        <v>2590</v>
      </c>
      <c r="B2592" t="s">
        <v>2877</v>
      </c>
      <c r="C2592" t="s">
        <v>2876</v>
      </c>
      <c r="D2592">
        <v>295</v>
      </c>
      <c r="E2592">
        <v>215</v>
      </c>
      <c r="F2592" t="s">
        <v>331</v>
      </c>
      <c r="G2592" t="s">
        <v>2856</v>
      </c>
    </row>
    <row r="2593" spans="1:7" x14ac:dyDescent="0.3">
      <c r="A2593">
        <v>2591</v>
      </c>
      <c r="B2593" t="s">
        <v>2877</v>
      </c>
      <c r="C2593" t="s">
        <v>2876</v>
      </c>
      <c r="D2593">
        <v>99</v>
      </c>
      <c r="E2593">
        <v>49</v>
      </c>
      <c r="F2593" t="s">
        <v>246</v>
      </c>
      <c r="G2593" t="s">
        <v>2856</v>
      </c>
    </row>
    <row r="2594" spans="1:7" x14ac:dyDescent="0.3">
      <c r="A2594">
        <v>2592</v>
      </c>
      <c r="B2594" t="s">
        <v>2878</v>
      </c>
      <c r="C2594" t="s">
        <v>2858</v>
      </c>
      <c r="D2594">
        <v>210</v>
      </c>
      <c r="E2594">
        <v>159</v>
      </c>
      <c r="F2594" t="s">
        <v>394</v>
      </c>
      <c r="G2594" t="s">
        <v>2856</v>
      </c>
    </row>
    <row r="2595" spans="1:7" x14ac:dyDescent="0.3">
      <c r="A2595">
        <v>2593</v>
      </c>
      <c r="B2595" t="s">
        <v>2878</v>
      </c>
      <c r="C2595" t="s">
        <v>2858</v>
      </c>
      <c r="D2595">
        <v>110</v>
      </c>
      <c r="E2595">
        <v>89</v>
      </c>
      <c r="F2595" t="s">
        <v>246</v>
      </c>
      <c r="G2595" t="s">
        <v>2856</v>
      </c>
    </row>
    <row r="2596" spans="1:7" x14ac:dyDescent="0.3">
      <c r="A2596">
        <v>2594</v>
      </c>
      <c r="B2596" t="s">
        <v>2878</v>
      </c>
      <c r="C2596" t="s">
        <v>2858</v>
      </c>
      <c r="D2596">
        <v>60</v>
      </c>
      <c r="E2596">
        <v>49</v>
      </c>
      <c r="F2596" t="s">
        <v>391</v>
      </c>
      <c r="G2596" t="s">
        <v>2856</v>
      </c>
    </row>
    <row r="2597" spans="1:7" x14ac:dyDescent="0.3">
      <c r="A2597">
        <v>2595</v>
      </c>
      <c r="B2597" t="s">
        <v>2879</v>
      </c>
      <c r="C2597" t="s">
        <v>2858</v>
      </c>
      <c r="D2597">
        <v>210</v>
      </c>
      <c r="E2597">
        <v>159</v>
      </c>
      <c r="F2597" t="s">
        <v>394</v>
      </c>
      <c r="G2597" t="s">
        <v>2856</v>
      </c>
    </row>
    <row r="2598" spans="1:7" x14ac:dyDescent="0.3">
      <c r="A2598">
        <v>2596</v>
      </c>
      <c r="B2598" t="s">
        <v>2879</v>
      </c>
      <c r="C2598" t="s">
        <v>2858</v>
      </c>
      <c r="D2598">
        <v>110</v>
      </c>
      <c r="E2598">
        <v>89</v>
      </c>
      <c r="F2598" t="s">
        <v>246</v>
      </c>
      <c r="G2598" t="s">
        <v>2856</v>
      </c>
    </row>
    <row r="2599" spans="1:7" x14ac:dyDescent="0.3">
      <c r="A2599">
        <v>2597</v>
      </c>
      <c r="B2599" t="s">
        <v>2879</v>
      </c>
      <c r="C2599" t="s">
        <v>2858</v>
      </c>
      <c r="D2599">
        <v>60</v>
      </c>
      <c r="E2599">
        <v>49</v>
      </c>
      <c r="F2599" t="s">
        <v>391</v>
      </c>
      <c r="G2599" t="s">
        <v>2856</v>
      </c>
    </row>
    <row r="2600" spans="1:7" x14ac:dyDescent="0.3">
      <c r="A2600">
        <v>2598</v>
      </c>
      <c r="B2600" t="s">
        <v>2880</v>
      </c>
      <c r="C2600" t="s">
        <v>2876</v>
      </c>
      <c r="D2600">
        <v>99</v>
      </c>
      <c r="E2600">
        <v>49</v>
      </c>
      <c r="F2600" t="s">
        <v>246</v>
      </c>
      <c r="G2600" t="s">
        <v>2856</v>
      </c>
    </row>
    <row r="2601" spans="1:7" x14ac:dyDescent="0.3">
      <c r="A2601">
        <v>2599</v>
      </c>
      <c r="B2601" t="s">
        <v>2881</v>
      </c>
      <c r="C2601" t="s">
        <v>2876</v>
      </c>
      <c r="D2601">
        <v>99</v>
      </c>
      <c r="E2601">
        <v>49</v>
      </c>
      <c r="F2601" t="s">
        <v>246</v>
      </c>
      <c r="G2601" t="s">
        <v>2856</v>
      </c>
    </row>
    <row r="2602" spans="1:7" x14ac:dyDescent="0.3">
      <c r="A2602">
        <v>2600</v>
      </c>
      <c r="B2602" t="s">
        <v>2882</v>
      </c>
      <c r="C2602" t="s">
        <v>2851</v>
      </c>
      <c r="D2602">
        <v>279</v>
      </c>
      <c r="E2602">
        <v>139</v>
      </c>
      <c r="F2602" t="s">
        <v>2883</v>
      </c>
      <c r="G2602" t="s">
        <v>2856</v>
      </c>
    </row>
    <row r="2603" spans="1:7" x14ac:dyDescent="0.3">
      <c r="A2603">
        <v>2601</v>
      </c>
      <c r="B2603" t="s">
        <v>2884</v>
      </c>
      <c r="C2603" t="s">
        <v>2851</v>
      </c>
      <c r="D2603">
        <v>279</v>
      </c>
      <c r="E2603">
        <v>139</v>
      </c>
      <c r="F2603" t="s">
        <v>2883</v>
      </c>
      <c r="G2603" t="s">
        <v>2856</v>
      </c>
    </row>
    <row r="2604" spans="1:7" x14ac:dyDescent="0.3">
      <c r="A2604">
        <v>2602</v>
      </c>
      <c r="B2604" t="s">
        <v>2885</v>
      </c>
      <c r="C2604" t="s">
        <v>2886</v>
      </c>
      <c r="D2604">
        <v>115</v>
      </c>
      <c r="E2604">
        <v>89</v>
      </c>
      <c r="F2604" t="s">
        <v>391</v>
      </c>
      <c r="G2604" t="s">
        <v>2856</v>
      </c>
    </row>
    <row r="2605" spans="1:7" x14ac:dyDescent="0.3">
      <c r="A2605">
        <v>2603</v>
      </c>
      <c r="B2605" t="s">
        <v>2887</v>
      </c>
      <c r="C2605" t="s">
        <v>2886</v>
      </c>
      <c r="D2605">
        <v>115</v>
      </c>
      <c r="E2605">
        <v>89</v>
      </c>
      <c r="F2605" t="s">
        <v>391</v>
      </c>
      <c r="G2605" t="s">
        <v>2856</v>
      </c>
    </row>
    <row r="2606" spans="1:7" x14ac:dyDescent="0.3">
      <c r="A2606">
        <v>2604</v>
      </c>
      <c r="B2606" t="s">
        <v>2888</v>
      </c>
      <c r="C2606" t="s">
        <v>2889</v>
      </c>
      <c r="D2606">
        <v>175</v>
      </c>
      <c r="E2606">
        <v>135</v>
      </c>
      <c r="F2606" t="s">
        <v>2890</v>
      </c>
      <c r="G2606" t="s">
        <v>2856</v>
      </c>
    </row>
    <row r="2607" spans="1:7" x14ac:dyDescent="0.3">
      <c r="A2607">
        <v>2605</v>
      </c>
      <c r="B2607" t="s">
        <v>2891</v>
      </c>
      <c r="C2607" t="s">
        <v>2889</v>
      </c>
      <c r="D2607">
        <v>175</v>
      </c>
      <c r="E2607">
        <v>135</v>
      </c>
      <c r="F2607" t="s">
        <v>2890</v>
      </c>
      <c r="G2607" t="s">
        <v>2856</v>
      </c>
    </row>
    <row r="2608" spans="1:7" x14ac:dyDescent="0.3">
      <c r="A2608">
        <v>2606</v>
      </c>
      <c r="B2608" t="s">
        <v>2892</v>
      </c>
      <c r="C2608" t="s">
        <v>2872</v>
      </c>
      <c r="D2608">
        <v>93</v>
      </c>
      <c r="E2608">
        <v>86</v>
      </c>
      <c r="F2608" t="s">
        <v>391</v>
      </c>
      <c r="G2608" t="s">
        <v>2856</v>
      </c>
    </row>
    <row r="2609" spans="1:7" x14ac:dyDescent="0.3">
      <c r="A2609">
        <v>2607</v>
      </c>
      <c r="B2609" t="s">
        <v>2892</v>
      </c>
      <c r="C2609" t="s">
        <v>2872</v>
      </c>
      <c r="D2609">
        <v>195</v>
      </c>
      <c r="E2609">
        <v>170</v>
      </c>
      <c r="F2609" t="s">
        <v>246</v>
      </c>
      <c r="G2609" t="s">
        <v>2856</v>
      </c>
    </row>
    <row r="2610" spans="1:7" x14ac:dyDescent="0.3">
      <c r="A2610">
        <v>2608</v>
      </c>
      <c r="B2610" t="s">
        <v>2892</v>
      </c>
      <c r="C2610" t="s">
        <v>2872</v>
      </c>
      <c r="D2610">
        <v>347</v>
      </c>
      <c r="E2610">
        <v>317</v>
      </c>
      <c r="F2610" t="s">
        <v>441</v>
      </c>
      <c r="G2610" t="s">
        <v>2856</v>
      </c>
    </row>
    <row r="2611" spans="1:7" x14ac:dyDescent="0.3">
      <c r="A2611">
        <v>2609</v>
      </c>
      <c r="B2611" t="s">
        <v>2893</v>
      </c>
      <c r="C2611" t="s">
        <v>2872</v>
      </c>
      <c r="D2611">
        <v>99</v>
      </c>
      <c r="E2611">
        <v>92</v>
      </c>
      <c r="F2611" t="s">
        <v>391</v>
      </c>
      <c r="G2611" t="s">
        <v>2856</v>
      </c>
    </row>
    <row r="2612" spans="1:7" x14ac:dyDescent="0.3">
      <c r="A2612">
        <v>2610</v>
      </c>
      <c r="B2612" t="s">
        <v>2893</v>
      </c>
      <c r="C2612" t="s">
        <v>2872</v>
      </c>
      <c r="D2612">
        <v>189</v>
      </c>
      <c r="E2612">
        <v>166</v>
      </c>
      <c r="F2612" t="s">
        <v>246</v>
      </c>
      <c r="G2612" t="s">
        <v>2856</v>
      </c>
    </row>
    <row r="2613" spans="1:7" x14ac:dyDescent="0.3">
      <c r="A2613">
        <v>2611</v>
      </c>
      <c r="B2613" t="s">
        <v>2894</v>
      </c>
      <c r="C2613" t="s">
        <v>2895</v>
      </c>
      <c r="D2613">
        <v>80</v>
      </c>
      <c r="E2613">
        <v>54</v>
      </c>
      <c r="F2613" t="s">
        <v>391</v>
      </c>
      <c r="G2613" t="s">
        <v>2856</v>
      </c>
    </row>
    <row r="2614" spans="1:7" x14ac:dyDescent="0.3">
      <c r="A2614">
        <v>2612</v>
      </c>
      <c r="B2614" t="s">
        <v>2894</v>
      </c>
      <c r="C2614" t="s">
        <v>2895</v>
      </c>
      <c r="D2614">
        <v>155</v>
      </c>
      <c r="E2614">
        <v>99</v>
      </c>
      <c r="F2614" t="s">
        <v>2896</v>
      </c>
      <c r="G2614" t="s">
        <v>2856</v>
      </c>
    </row>
    <row r="2615" spans="1:7" x14ac:dyDescent="0.3">
      <c r="A2615">
        <v>2613</v>
      </c>
      <c r="B2615" t="s">
        <v>2897</v>
      </c>
      <c r="C2615" t="s">
        <v>2895</v>
      </c>
      <c r="D2615">
        <v>80</v>
      </c>
      <c r="E2615">
        <v>49</v>
      </c>
      <c r="F2615" t="s">
        <v>1194</v>
      </c>
      <c r="G2615" t="s">
        <v>2856</v>
      </c>
    </row>
    <row r="2616" spans="1:7" x14ac:dyDescent="0.3">
      <c r="A2616">
        <v>2614</v>
      </c>
      <c r="B2616" t="s">
        <v>2898</v>
      </c>
      <c r="C2616" t="s">
        <v>2872</v>
      </c>
      <c r="D2616">
        <v>189</v>
      </c>
      <c r="E2616">
        <v>169</v>
      </c>
      <c r="F2616" t="s">
        <v>246</v>
      </c>
      <c r="G2616" t="s">
        <v>2856</v>
      </c>
    </row>
    <row r="2617" spans="1:7" x14ac:dyDescent="0.3">
      <c r="A2617">
        <v>2615</v>
      </c>
      <c r="B2617" t="s">
        <v>2899</v>
      </c>
      <c r="C2617" t="s">
        <v>2872</v>
      </c>
      <c r="D2617">
        <v>214</v>
      </c>
      <c r="E2617">
        <v>199</v>
      </c>
      <c r="F2617" t="s">
        <v>188</v>
      </c>
      <c r="G2617" t="s">
        <v>2856</v>
      </c>
    </row>
    <row r="2618" spans="1:7" x14ac:dyDescent="0.3">
      <c r="A2618">
        <v>2616</v>
      </c>
      <c r="B2618" t="s">
        <v>2899</v>
      </c>
      <c r="C2618" t="s">
        <v>2872</v>
      </c>
      <c r="D2618">
        <v>154</v>
      </c>
      <c r="E2618">
        <v>143</v>
      </c>
      <c r="F2618" t="s">
        <v>11</v>
      </c>
      <c r="G2618" t="s">
        <v>2856</v>
      </c>
    </row>
    <row r="2619" spans="1:7" x14ac:dyDescent="0.3">
      <c r="A2619">
        <v>2617</v>
      </c>
      <c r="B2619" t="s">
        <v>2900</v>
      </c>
      <c r="C2619" t="s">
        <v>2876</v>
      </c>
      <c r="D2619">
        <v>178</v>
      </c>
      <c r="E2619">
        <v>89</v>
      </c>
      <c r="F2619" t="s">
        <v>246</v>
      </c>
      <c r="G2619" t="s">
        <v>2856</v>
      </c>
    </row>
    <row r="2620" spans="1:7" x14ac:dyDescent="0.3">
      <c r="A2620">
        <v>2618</v>
      </c>
      <c r="B2620" t="s">
        <v>2901</v>
      </c>
      <c r="C2620" t="s">
        <v>2902</v>
      </c>
      <c r="D2620">
        <v>190</v>
      </c>
      <c r="E2620">
        <v>125</v>
      </c>
      <c r="F2620" t="s">
        <v>246</v>
      </c>
      <c r="G2620" t="s">
        <v>2856</v>
      </c>
    </row>
    <row r="2621" spans="1:7" x14ac:dyDescent="0.3">
      <c r="A2621">
        <v>2619</v>
      </c>
      <c r="B2621" t="s">
        <v>2903</v>
      </c>
      <c r="C2621" t="s">
        <v>2872</v>
      </c>
      <c r="D2621">
        <v>82</v>
      </c>
      <c r="E2621">
        <v>76</v>
      </c>
      <c r="F2621" t="s">
        <v>2050</v>
      </c>
      <c r="G2621" t="s">
        <v>2856</v>
      </c>
    </row>
    <row r="2622" spans="1:7" x14ac:dyDescent="0.3">
      <c r="A2622">
        <v>2620</v>
      </c>
      <c r="B2622" t="s">
        <v>2904</v>
      </c>
      <c r="C2622" t="s">
        <v>2872</v>
      </c>
      <c r="D2622">
        <v>82</v>
      </c>
      <c r="E2622">
        <v>76</v>
      </c>
      <c r="F2622" t="s">
        <v>2050</v>
      </c>
      <c r="G2622" t="s">
        <v>2856</v>
      </c>
    </row>
    <row r="2623" spans="1:7" x14ac:dyDescent="0.3">
      <c r="A2623">
        <v>2621</v>
      </c>
      <c r="B2623" t="s">
        <v>2905</v>
      </c>
      <c r="C2623" t="s">
        <v>2872</v>
      </c>
      <c r="D2623">
        <v>82</v>
      </c>
      <c r="E2623">
        <v>76</v>
      </c>
      <c r="F2623" t="s">
        <v>2050</v>
      </c>
      <c r="G2623" t="s">
        <v>2856</v>
      </c>
    </row>
    <row r="2624" spans="1:7" x14ac:dyDescent="0.3">
      <c r="A2624">
        <v>2622</v>
      </c>
      <c r="B2624" t="s">
        <v>2906</v>
      </c>
      <c r="C2624" t="s">
        <v>2872</v>
      </c>
      <c r="D2624">
        <v>188</v>
      </c>
      <c r="E2624">
        <v>173</v>
      </c>
      <c r="F2624" t="s">
        <v>691</v>
      </c>
      <c r="G2624" t="s">
        <v>2856</v>
      </c>
    </row>
    <row r="2625" spans="1:7" x14ac:dyDescent="0.3">
      <c r="A2625">
        <v>2623</v>
      </c>
      <c r="B2625" t="s">
        <v>2907</v>
      </c>
      <c r="C2625" t="s">
        <v>2872</v>
      </c>
      <c r="D2625">
        <v>188</v>
      </c>
      <c r="E2625">
        <v>173</v>
      </c>
      <c r="F2625" t="s">
        <v>691</v>
      </c>
      <c r="G2625" t="s">
        <v>2856</v>
      </c>
    </row>
    <row r="2626" spans="1:7" x14ac:dyDescent="0.3">
      <c r="A2626">
        <v>2624</v>
      </c>
      <c r="B2626" t="s">
        <v>2908</v>
      </c>
      <c r="C2626" t="s">
        <v>2870</v>
      </c>
      <c r="D2626">
        <v>215</v>
      </c>
      <c r="E2626">
        <v>145</v>
      </c>
      <c r="F2626" t="s">
        <v>246</v>
      </c>
      <c r="G2626" t="s">
        <v>2856</v>
      </c>
    </row>
    <row r="2627" spans="1:7" x14ac:dyDescent="0.3">
      <c r="A2627">
        <v>2625</v>
      </c>
      <c r="B2627" t="s">
        <v>2909</v>
      </c>
      <c r="C2627" t="s">
        <v>2870</v>
      </c>
      <c r="D2627">
        <v>215</v>
      </c>
      <c r="E2627">
        <v>145</v>
      </c>
      <c r="F2627" t="s">
        <v>246</v>
      </c>
      <c r="G2627" t="s">
        <v>2856</v>
      </c>
    </row>
    <row r="2628" spans="1:7" x14ac:dyDescent="0.3">
      <c r="A2628">
        <v>2626</v>
      </c>
      <c r="B2628" t="s">
        <v>2910</v>
      </c>
      <c r="C2628" t="s">
        <v>2864</v>
      </c>
      <c r="D2628">
        <v>159</v>
      </c>
      <c r="E2628">
        <v>147</v>
      </c>
      <c r="F2628" t="s">
        <v>1527</v>
      </c>
      <c r="G2628" t="s">
        <v>2856</v>
      </c>
    </row>
    <row r="2629" spans="1:7" x14ac:dyDescent="0.3">
      <c r="A2629">
        <v>2627</v>
      </c>
      <c r="B2629" t="s">
        <v>2911</v>
      </c>
      <c r="C2629" t="s">
        <v>2912</v>
      </c>
      <c r="D2629">
        <v>60</v>
      </c>
      <c r="E2629">
        <v>35</v>
      </c>
      <c r="F2629" t="s">
        <v>12</v>
      </c>
      <c r="G2629" t="s">
        <v>2856</v>
      </c>
    </row>
    <row r="2630" spans="1:7" x14ac:dyDescent="0.3">
      <c r="A2630">
        <v>2628</v>
      </c>
      <c r="B2630" t="s">
        <v>2913</v>
      </c>
      <c r="C2630" t="s">
        <v>2912</v>
      </c>
      <c r="D2630">
        <v>110</v>
      </c>
      <c r="E2630">
        <v>76</v>
      </c>
      <c r="F2630" t="s">
        <v>2599</v>
      </c>
      <c r="G2630" t="s">
        <v>2856</v>
      </c>
    </row>
    <row r="2631" spans="1:7" x14ac:dyDescent="0.3">
      <c r="A2631">
        <v>2629</v>
      </c>
      <c r="B2631" t="s">
        <v>2914</v>
      </c>
      <c r="C2631" t="s">
        <v>2915</v>
      </c>
      <c r="D2631">
        <v>32</v>
      </c>
      <c r="E2631">
        <v>24</v>
      </c>
      <c r="F2631" t="s">
        <v>216</v>
      </c>
      <c r="G2631" t="s">
        <v>2856</v>
      </c>
    </row>
    <row r="2632" spans="1:7" x14ac:dyDescent="0.3">
      <c r="A2632">
        <v>2630</v>
      </c>
      <c r="B2632" t="s">
        <v>2916</v>
      </c>
      <c r="C2632" t="s">
        <v>2917</v>
      </c>
      <c r="D2632">
        <v>30</v>
      </c>
      <c r="E2632">
        <v>15</v>
      </c>
      <c r="F2632" t="s">
        <v>216</v>
      </c>
      <c r="G2632" t="s">
        <v>2856</v>
      </c>
    </row>
    <row r="2633" spans="1:7" x14ac:dyDescent="0.3">
      <c r="A2633">
        <v>2631</v>
      </c>
      <c r="B2633" t="s">
        <v>2918</v>
      </c>
      <c r="C2633" t="s">
        <v>2919</v>
      </c>
      <c r="D2633">
        <v>225</v>
      </c>
      <c r="E2633">
        <v>149</v>
      </c>
      <c r="F2633" t="s">
        <v>391</v>
      </c>
      <c r="G2633" t="s">
        <v>2856</v>
      </c>
    </row>
    <row r="2634" spans="1:7" x14ac:dyDescent="0.3">
      <c r="A2634">
        <v>2632</v>
      </c>
      <c r="B2634" t="s">
        <v>2920</v>
      </c>
      <c r="C2634" t="s">
        <v>2858</v>
      </c>
      <c r="D2634">
        <v>135</v>
      </c>
      <c r="E2634">
        <v>67</v>
      </c>
      <c r="F2634" t="s">
        <v>246</v>
      </c>
      <c r="G2634" t="s">
        <v>2856</v>
      </c>
    </row>
    <row r="2635" spans="1:7" x14ac:dyDescent="0.3">
      <c r="A2635">
        <v>2633</v>
      </c>
      <c r="B2635" t="s">
        <v>2921</v>
      </c>
      <c r="C2635" t="s">
        <v>2876</v>
      </c>
      <c r="D2635">
        <v>93</v>
      </c>
      <c r="E2635">
        <v>85</v>
      </c>
      <c r="F2635" t="s">
        <v>391</v>
      </c>
      <c r="G2635" t="s">
        <v>2856</v>
      </c>
    </row>
    <row r="2636" spans="1:7" x14ac:dyDescent="0.3">
      <c r="A2636">
        <v>2634</v>
      </c>
      <c r="B2636" t="s">
        <v>2922</v>
      </c>
      <c r="C2636" t="s">
        <v>2919</v>
      </c>
      <c r="D2636">
        <v>275</v>
      </c>
      <c r="E2636">
        <v>230</v>
      </c>
      <c r="F2636" t="s">
        <v>2923</v>
      </c>
      <c r="G2636" t="s">
        <v>2856</v>
      </c>
    </row>
    <row r="2637" spans="1:7" x14ac:dyDescent="0.3">
      <c r="A2637">
        <v>2635</v>
      </c>
      <c r="B2637" t="s">
        <v>2924</v>
      </c>
      <c r="C2637" t="s">
        <v>2919</v>
      </c>
      <c r="D2637">
        <v>225</v>
      </c>
      <c r="E2637">
        <v>149</v>
      </c>
      <c r="F2637" t="s">
        <v>391</v>
      </c>
      <c r="G2637" t="s">
        <v>2856</v>
      </c>
    </row>
    <row r="2638" spans="1:7" x14ac:dyDescent="0.3">
      <c r="A2638">
        <v>2636</v>
      </c>
      <c r="B2638" t="s">
        <v>2925</v>
      </c>
      <c r="C2638" t="s">
        <v>2858</v>
      </c>
      <c r="D2638">
        <v>75</v>
      </c>
      <c r="E2638">
        <v>49</v>
      </c>
      <c r="F2638" t="s">
        <v>391</v>
      </c>
      <c r="G2638" t="s">
        <v>2856</v>
      </c>
    </row>
    <row r="2639" spans="1:7" x14ac:dyDescent="0.3">
      <c r="A2639">
        <v>2637</v>
      </c>
      <c r="B2639" t="s">
        <v>2926</v>
      </c>
      <c r="C2639" t="s">
        <v>2919</v>
      </c>
      <c r="D2639">
        <v>275</v>
      </c>
      <c r="E2639">
        <v>219</v>
      </c>
      <c r="F2639" t="s">
        <v>2923</v>
      </c>
      <c r="G2639" t="s">
        <v>2856</v>
      </c>
    </row>
    <row r="2640" spans="1:7" x14ac:dyDescent="0.3">
      <c r="A2640">
        <v>2638</v>
      </c>
      <c r="B2640" t="s">
        <v>2927</v>
      </c>
      <c r="C2640" t="s">
        <v>2919</v>
      </c>
      <c r="D2640">
        <v>199</v>
      </c>
      <c r="E2640">
        <v>149</v>
      </c>
      <c r="F2640" t="s">
        <v>391</v>
      </c>
      <c r="G2640" t="s">
        <v>2856</v>
      </c>
    </row>
    <row r="2641" spans="1:7" x14ac:dyDescent="0.3">
      <c r="A2641">
        <v>2639</v>
      </c>
      <c r="B2641" t="s">
        <v>2928</v>
      </c>
      <c r="C2641" t="s">
        <v>2929</v>
      </c>
      <c r="D2641">
        <v>40</v>
      </c>
      <c r="E2641">
        <v>20</v>
      </c>
      <c r="F2641" t="s">
        <v>12</v>
      </c>
      <c r="G2641" t="s">
        <v>2856</v>
      </c>
    </row>
    <row r="2642" spans="1:7" x14ac:dyDescent="0.3">
      <c r="A2642">
        <v>2640</v>
      </c>
      <c r="B2642" t="s">
        <v>2930</v>
      </c>
      <c r="C2642" t="s">
        <v>2919</v>
      </c>
      <c r="D2642">
        <v>249</v>
      </c>
      <c r="E2642">
        <v>199</v>
      </c>
      <c r="F2642" t="s">
        <v>2923</v>
      </c>
      <c r="G2642" t="s">
        <v>2856</v>
      </c>
    </row>
    <row r="2643" spans="1:7" x14ac:dyDescent="0.3">
      <c r="A2643">
        <v>2641</v>
      </c>
      <c r="B2643" t="s">
        <v>2931</v>
      </c>
      <c r="C2643" t="s">
        <v>2932</v>
      </c>
      <c r="D2643">
        <v>230</v>
      </c>
      <c r="E2643">
        <v>199</v>
      </c>
      <c r="F2643" t="s">
        <v>1527</v>
      </c>
      <c r="G2643" t="s">
        <v>2856</v>
      </c>
    </row>
    <row r="2644" spans="1:7" x14ac:dyDescent="0.3">
      <c r="A2644">
        <v>2642</v>
      </c>
      <c r="B2644" t="s">
        <v>2933</v>
      </c>
      <c r="C2644" t="s">
        <v>2934</v>
      </c>
      <c r="D2644">
        <v>60</v>
      </c>
      <c r="E2644">
        <v>50</v>
      </c>
      <c r="F2644" t="s">
        <v>2935</v>
      </c>
      <c r="G2644" t="s">
        <v>2936</v>
      </c>
    </row>
    <row r="2645" spans="1:7" x14ac:dyDescent="0.3">
      <c r="A2645">
        <v>2643</v>
      </c>
      <c r="B2645" t="s">
        <v>2933</v>
      </c>
      <c r="C2645" t="s">
        <v>2934</v>
      </c>
      <c r="D2645">
        <v>10</v>
      </c>
      <c r="E2645">
        <v>9</v>
      </c>
      <c r="F2645" t="s">
        <v>1501</v>
      </c>
      <c r="G2645" t="s">
        <v>2936</v>
      </c>
    </row>
    <row r="2646" spans="1:7" x14ac:dyDescent="0.3">
      <c r="A2646">
        <v>2644</v>
      </c>
      <c r="B2646" t="s">
        <v>2937</v>
      </c>
      <c r="C2646" t="s">
        <v>2938</v>
      </c>
      <c r="D2646">
        <v>48</v>
      </c>
      <c r="E2646">
        <v>34</v>
      </c>
      <c r="F2646" t="s">
        <v>9</v>
      </c>
      <c r="G2646" t="s">
        <v>2936</v>
      </c>
    </row>
    <row r="2647" spans="1:7" x14ac:dyDescent="0.3">
      <c r="A2647">
        <v>2645</v>
      </c>
      <c r="B2647" t="s">
        <v>2937</v>
      </c>
      <c r="C2647" t="s">
        <v>2938</v>
      </c>
      <c r="D2647">
        <v>48</v>
      </c>
      <c r="E2647">
        <v>33</v>
      </c>
      <c r="F2647" t="s">
        <v>2935</v>
      </c>
      <c r="G2647" t="s">
        <v>2936</v>
      </c>
    </row>
    <row r="2648" spans="1:7" x14ac:dyDescent="0.3">
      <c r="A2648">
        <v>2646</v>
      </c>
      <c r="B2648" t="s">
        <v>2937</v>
      </c>
      <c r="C2648" t="s">
        <v>2938</v>
      </c>
      <c r="D2648">
        <v>10</v>
      </c>
      <c r="E2648">
        <v>7</v>
      </c>
      <c r="F2648" t="s">
        <v>1501</v>
      </c>
      <c r="G2648" t="s">
        <v>2936</v>
      </c>
    </row>
    <row r="2649" spans="1:7" x14ac:dyDescent="0.3">
      <c r="A2649">
        <v>2647</v>
      </c>
      <c r="B2649" t="s">
        <v>2939</v>
      </c>
      <c r="C2649" t="s">
        <v>2934</v>
      </c>
      <c r="D2649">
        <v>445</v>
      </c>
      <c r="E2649">
        <v>349</v>
      </c>
      <c r="F2649" t="s">
        <v>394</v>
      </c>
      <c r="G2649" t="s">
        <v>2936</v>
      </c>
    </row>
    <row r="2650" spans="1:7" x14ac:dyDescent="0.3">
      <c r="A2650">
        <v>2648</v>
      </c>
      <c r="B2650" t="s">
        <v>2939</v>
      </c>
      <c r="C2650" t="s">
        <v>2934</v>
      </c>
      <c r="D2650">
        <v>215</v>
      </c>
      <c r="E2650">
        <v>168</v>
      </c>
      <c r="F2650" t="s">
        <v>2940</v>
      </c>
      <c r="G2650" t="s">
        <v>2936</v>
      </c>
    </row>
    <row r="2651" spans="1:7" x14ac:dyDescent="0.3">
      <c r="A2651">
        <v>2649</v>
      </c>
      <c r="B2651" t="s">
        <v>2939</v>
      </c>
      <c r="C2651" t="s">
        <v>2934</v>
      </c>
      <c r="D2651">
        <v>109</v>
      </c>
      <c r="E2651">
        <v>101</v>
      </c>
      <c r="F2651" t="s">
        <v>391</v>
      </c>
      <c r="G2651" t="s">
        <v>2936</v>
      </c>
    </row>
    <row r="2652" spans="1:7" x14ac:dyDescent="0.3">
      <c r="A2652">
        <v>2650</v>
      </c>
      <c r="B2652" t="s">
        <v>2941</v>
      </c>
      <c r="C2652" t="s">
        <v>2938</v>
      </c>
      <c r="D2652">
        <v>140</v>
      </c>
      <c r="E2652">
        <v>95</v>
      </c>
      <c r="F2652" t="s">
        <v>246</v>
      </c>
      <c r="G2652" t="s">
        <v>2936</v>
      </c>
    </row>
    <row r="2653" spans="1:7" x14ac:dyDescent="0.3">
      <c r="A2653">
        <v>2651</v>
      </c>
      <c r="B2653" t="s">
        <v>2941</v>
      </c>
      <c r="C2653" t="s">
        <v>2938</v>
      </c>
      <c r="D2653">
        <v>70</v>
      </c>
      <c r="E2653">
        <v>54</v>
      </c>
      <c r="F2653" t="s">
        <v>391</v>
      </c>
      <c r="G2653" t="s">
        <v>2936</v>
      </c>
    </row>
    <row r="2654" spans="1:7" x14ac:dyDescent="0.3">
      <c r="A2654">
        <v>2652</v>
      </c>
      <c r="B2654" t="s">
        <v>2941</v>
      </c>
      <c r="C2654" t="s">
        <v>2938</v>
      </c>
      <c r="D2654">
        <v>40</v>
      </c>
      <c r="E2654">
        <v>27</v>
      </c>
      <c r="F2654" t="s">
        <v>401</v>
      </c>
      <c r="G2654" t="s">
        <v>2936</v>
      </c>
    </row>
    <row r="2655" spans="1:7" x14ac:dyDescent="0.3">
      <c r="A2655">
        <v>2653</v>
      </c>
      <c r="B2655" t="s">
        <v>2942</v>
      </c>
      <c r="C2655" t="s">
        <v>2934</v>
      </c>
      <c r="D2655">
        <v>199</v>
      </c>
      <c r="E2655">
        <v>158</v>
      </c>
      <c r="F2655" t="s">
        <v>1194</v>
      </c>
      <c r="G2655" t="s">
        <v>2936</v>
      </c>
    </row>
    <row r="2656" spans="1:7" x14ac:dyDescent="0.3">
      <c r="A2656">
        <v>2654</v>
      </c>
      <c r="B2656" t="s">
        <v>2942</v>
      </c>
      <c r="C2656" t="s">
        <v>2934</v>
      </c>
      <c r="D2656">
        <v>445</v>
      </c>
      <c r="E2656">
        <v>395</v>
      </c>
      <c r="F2656" t="s">
        <v>2822</v>
      </c>
      <c r="G2656" t="s">
        <v>2936</v>
      </c>
    </row>
    <row r="2657" spans="1:7" x14ac:dyDescent="0.3">
      <c r="A2657">
        <v>2655</v>
      </c>
      <c r="B2657" t="s">
        <v>2942</v>
      </c>
      <c r="C2657" t="s">
        <v>2934</v>
      </c>
      <c r="D2657">
        <v>55</v>
      </c>
      <c r="E2657">
        <v>48</v>
      </c>
      <c r="F2657" t="s">
        <v>401</v>
      </c>
      <c r="G2657" t="s">
        <v>2936</v>
      </c>
    </row>
    <row r="2658" spans="1:7" x14ac:dyDescent="0.3">
      <c r="A2658">
        <v>2656</v>
      </c>
      <c r="B2658" t="s">
        <v>2943</v>
      </c>
      <c r="C2658" t="s">
        <v>2944</v>
      </c>
      <c r="D2658">
        <v>79</v>
      </c>
      <c r="E2658">
        <v>65</v>
      </c>
      <c r="F2658" t="s">
        <v>791</v>
      </c>
      <c r="G2658" t="s">
        <v>2945</v>
      </c>
    </row>
    <row r="2659" spans="1:7" x14ac:dyDescent="0.3">
      <c r="A2659">
        <v>2657</v>
      </c>
      <c r="B2659" t="s">
        <v>2943</v>
      </c>
      <c r="C2659" t="s">
        <v>2944</v>
      </c>
      <c r="D2659">
        <v>158</v>
      </c>
      <c r="E2659">
        <v>128</v>
      </c>
      <c r="F2659" t="s">
        <v>2946</v>
      </c>
      <c r="G2659" t="s">
        <v>2945</v>
      </c>
    </row>
    <row r="2660" spans="1:7" x14ac:dyDescent="0.3">
      <c r="A2660">
        <v>2658</v>
      </c>
      <c r="B2660" t="s">
        <v>2947</v>
      </c>
      <c r="C2660" t="s">
        <v>2934</v>
      </c>
      <c r="D2660">
        <v>130</v>
      </c>
      <c r="E2660">
        <v>107</v>
      </c>
      <c r="F2660" t="s">
        <v>2814</v>
      </c>
      <c r="G2660" t="s">
        <v>2936</v>
      </c>
    </row>
    <row r="2661" spans="1:7" x14ac:dyDescent="0.3">
      <c r="A2661">
        <v>2659</v>
      </c>
      <c r="B2661" t="s">
        <v>2948</v>
      </c>
      <c r="C2661" t="s">
        <v>2938</v>
      </c>
      <c r="D2661">
        <v>89</v>
      </c>
      <c r="E2661">
        <v>75</v>
      </c>
      <c r="F2661" t="s">
        <v>1194</v>
      </c>
      <c r="G2661" t="s">
        <v>2936</v>
      </c>
    </row>
    <row r="2662" spans="1:7" x14ac:dyDescent="0.3">
      <c r="A2662">
        <v>2660</v>
      </c>
      <c r="B2662" t="s">
        <v>2949</v>
      </c>
      <c r="C2662" t="s">
        <v>2938</v>
      </c>
      <c r="D2662">
        <v>38</v>
      </c>
      <c r="E2662">
        <v>19</v>
      </c>
      <c r="F2662" t="s">
        <v>12</v>
      </c>
      <c r="G2662" t="s">
        <v>2936</v>
      </c>
    </row>
    <row r="2663" spans="1:7" x14ac:dyDescent="0.3">
      <c r="A2663">
        <v>2661</v>
      </c>
      <c r="B2663" t="s">
        <v>2950</v>
      </c>
      <c r="C2663" t="s">
        <v>2951</v>
      </c>
      <c r="D2663">
        <v>499</v>
      </c>
      <c r="E2663">
        <v>425</v>
      </c>
      <c r="F2663" t="s">
        <v>394</v>
      </c>
      <c r="G2663" t="s">
        <v>2936</v>
      </c>
    </row>
    <row r="2664" spans="1:7" x14ac:dyDescent="0.3">
      <c r="A2664">
        <v>2662</v>
      </c>
      <c r="B2664" t="s">
        <v>2952</v>
      </c>
      <c r="C2664" t="s">
        <v>2953</v>
      </c>
      <c r="D2664">
        <v>10</v>
      </c>
      <c r="E2664">
        <v>9</v>
      </c>
      <c r="F2664" t="s">
        <v>2954</v>
      </c>
      <c r="G2664" t="s">
        <v>2936</v>
      </c>
    </row>
    <row r="2665" spans="1:7" x14ac:dyDescent="0.3">
      <c r="A2665">
        <v>2663</v>
      </c>
      <c r="B2665" t="s">
        <v>2952</v>
      </c>
      <c r="C2665" t="s">
        <v>2953</v>
      </c>
      <c r="D2665">
        <v>115</v>
      </c>
      <c r="E2665">
        <v>100</v>
      </c>
      <c r="F2665" t="s">
        <v>2814</v>
      </c>
      <c r="G2665" t="s">
        <v>2936</v>
      </c>
    </row>
    <row r="2666" spans="1:7" x14ac:dyDescent="0.3">
      <c r="A2666">
        <v>2664</v>
      </c>
      <c r="B2666" t="s">
        <v>2955</v>
      </c>
      <c r="C2666" t="s">
        <v>410</v>
      </c>
      <c r="D2666">
        <v>10</v>
      </c>
      <c r="E2666">
        <v>9</v>
      </c>
      <c r="F2666" t="s">
        <v>1027</v>
      </c>
      <c r="G2666" t="s">
        <v>2936</v>
      </c>
    </row>
    <row r="2667" spans="1:7" x14ac:dyDescent="0.3">
      <c r="A2667">
        <v>2665</v>
      </c>
      <c r="B2667" t="s">
        <v>2956</v>
      </c>
      <c r="C2667" t="s">
        <v>2957</v>
      </c>
      <c r="D2667">
        <v>270</v>
      </c>
      <c r="E2667">
        <v>135</v>
      </c>
      <c r="F2667" t="s">
        <v>2940</v>
      </c>
      <c r="G2667" t="s">
        <v>2945</v>
      </c>
    </row>
    <row r="2668" spans="1:7" x14ac:dyDescent="0.3">
      <c r="A2668">
        <v>2666</v>
      </c>
      <c r="B2668" t="s">
        <v>2958</v>
      </c>
      <c r="C2668" t="s">
        <v>2959</v>
      </c>
      <c r="D2668">
        <v>275</v>
      </c>
      <c r="E2668">
        <v>175</v>
      </c>
      <c r="F2668" t="s">
        <v>2960</v>
      </c>
      <c r="G2668" t="s">
        <v>2961</v>
      </c>
    </row>
    <row r="2669" spans="1:7" x14ac:dyDescent="0.3">
      <c r="A2669">
        <v>2667</v>
      </c>
      <c r="B2669" t="s">
        <v>2962</v>
      </c>
      <c r="C2669" t="s">
        <v>2951</v>
      </c>
      <c r="D2669">
        <v>120</v>
      </c>
      <c r="E2669">
        <v>108</v>
      </c>
      <c r="F2669" t="s">
        <v>2963</v>
      </c>
      <c r="G2669" t="s">
        <v>2936</v>
      </c>
    </row>
    <row r="2670" spans="1:7" x14ac:dyDescent="0.3">
      <c r="A2670">
        <v>2668</v>
      </c>
      <c r="B2670" t="s">
        <v>2964</v>
      </c>
      <c r="C2670" t="s">
        <v>2965</v>
      </c>
      <c r="D2670">
        <v>120</v>
      </c>
      <c r="E2670">
        <v>111</v>
      </c>
      <c r="F2670" t="s">
        <v>2966</v>
      </c>
      <c r="G2670" t="s">
        <v>2961</v>
      </c>
    </row>
    <row r="2671" spans="1:7" x14ac:dyDescent="0.3">
      <c r="A2671">
        <v>2669</v>
      </c>
      <c r="B2671" t="s">
        <v>2967</v>
      </c>
      <c r="C2671" t="s">
        <v>2959</v>
      </c>
      <c r="D2671">
        <v>85</v>
      </c>
      <c r="E2671">
        <v>65</v>
      </c>
      <c r="F2671" t="s">
        <v>2968</v>
      </c>
      <c r="G2671" t="s">
        <v>2961</v>
      </c>
    </row>
    <row r="2672" spans="1:7" x14ac:dyDescent="0.3">
      <c r="A2672">
        <v>2670</v>
      </c>
      <c r="B2672" t="s">
        <v>2969</v>
      </c>
      <c r="C2672" t="s">
        <v>2876</v>
      </c>
      <c r="D2672">
        <v>114</v>
      </c>
      <c r="E2672">
        <v>57</v>
      </c>
      <c r="F2672" t="s">
        <v>391</v>
      </c>
      <c r="G2672" t="s">
        <v>2945</v>
      </c>
    </row>
    <row r="2673" spans="1:7" x14ac:dyDescent="0.3">
      <c r="A2673">
        <v>2671</v>
      </c>
      <c r="B2673" t="s">
        <v>2970</v>
      </c>
      <c r="C2673" t="s">
        <v>2951</v>
      </c>
      <c r="D2673">
        <v>209</v>
      </c>
      <c r="E2673">
        <v>165</v>
      </c>
      <c r="F2673" t="s">
        <v>1194</v>
      </c>
      <c r="G2673" t="s">
        <v>2936</v>
      </c>
    </row>
    <row r="2674" spans="1:7" x14ac:dyDescent="0.3">
      <c r="A2674">
        <v>2672</v>
      </c>
      <c r="B2674" t="s">
        <v>2971</v>
      </c>
      <c r="C2674" t="s">
        <v>2972</v>
      </c>
      <c r="D2674">
        <v>599</v>
      </c>
      <c r="E2674">
        <v>519</v>
      </c>
      <c r="F2674" t="s">
        <v>2973</v>
      </c>
      <c r="G2674" t="s">
        <v>2945</v>
      </c>
    </row>
    <row r="2675" spans="1:7" x14ac:dyDescent="0.3">
      <c r="A2675">
        <v>2673</v>
      </c>
      <c r="B2675" t="s">
        <v>2974</v>
      </c>
      <c r="C2675" t="s">
        <v>2957</v>
      </c>
      <c r="D2675">
        <v>190</v>
      </c>
      <c r="E2675">
        <v>120</v>
      </c>
      <c r="F2675" t="s">
        <v>1194</v>
      </c>
      <c r="G2675" t="s">
        <v>2945</v>
      </c>
    </row>
    <row r="2676" spans="1:7" x14ac:dyDescent="0.3">
      <c r="A2676">
        <v>2674</v>
      </c>
      <c r="B2676" t="s">
        <v>2975</v>
      </c>
      <c r="C2676" t="s">
        <v>2932</v>
      </c>
      <c r="D2676">
        <v>120</v>
      </c>
      <c r="E2676">
        <v>99</v>
      </c>
      <c r="F2676" t="s">
        <v>2976</v>
      </c>
      <c r="G2676" t="s">
        <v>2945</v>
      </c>
    </row>
    <row r="2677" spans="1:7" x14ac:dyDescent="0.3">
      <c r="A2677">
        <v>2675</v>
      </c>
      <c r="B2677" t="s">
        <v>2977</v>
      </c>
      <c r="C2677" t="s">
        <v>2978</v>
      </c>
      <c r="D2677">
        <v>340</v>
      </c>
      <c r="E2677">
        <v>279</v>
      </c>
      <c r="F2677" t="s">
        <v>2979</v>
      </c>
      <c r="G2677" t="s">
        <v>2980</v>
      </c>
    </row>
    <row r="2678" spans="1:7" x14ac:dyDescent="0.3">
      <c r="A2678">
        <v>2676</v>
      </c>
      <c r="B2678" t="s">
        <v>2977</v>
      </c>
      <c r="C2678" t="s">
        <v>2978</v>
      </c>
      <c r="D2678">
        <v>225</v>
      </c>
      <c r="E2678">
        <v>195</v>
      </c>
      <c r="F2678" t="s">
        <v>2981</v>
      </c>
      <c r="G2678" t="s">
        <v>2980</v>
      </c>
    </row>
    <row r="2679" spans="1:7" x14ac:dyDescent="0.3">
      <c r="A2679">
        <v>2677</v>
      </c>
      <c r="B2679" t="s">
        <v>2977</v>
      </c>
      <c r="C2679" t="s">
        <v>2978</v>
      </c>
      <c r="D2679">
        <v>115</v>
      </c>
      <c r="E2679">
        <v>104</v>
      </c>
      <c r="F2679" t="s">
        <v>399</v>
      </c>
      <c r="G2679" t="s">
        <v>2980</v>
      </c>
    </row>
    <row r="2680" spans="1:7" x14ac:dyDescent="0.3">
      <c r="A2680">
        <v>2678</v>
      </c>
      <c r="B2680" t="s">
        <v>2982</v>
      </c>
      <c r="C2680" t="s">
        <v>2978</v>
      </c>
      <c r="D2680">
        <v>340</v>
      </c>
      <c r="E2680">
        <v>279</v>
      </c>
      <c r="F2680" t="s">
        <v>2979</v>
      </c>
      <c r="G2680" t="s">
        <v>2980</v>
      </c>
    </row>
    <row r="2681" spans="1:7" x14ac:dyDescent="0.3">
      <c r="A2681">
        <v>2679</v>
      </c>
      <c r="B2681" t="s">
        <v>2982</v>
      </c>
      <c r="C2681" t="s">
        <v>2978</v>
      </c>
      <c r="D2681">
        <v>225</v>
      </c>
      <c r="E2681">
        <v>205</v>
      </c>
      <c r="F2681" t="s">
        <v>2981</v>
      </c>
      <c r="G2681" t="s">
        <v>2980</v>
      </c>
    </row>
    <row r="2682" spans="1:7" x14ac:dyDescent="0.3">
      <c r="A2682">
        <v>2680</v>
      </c>
      <c r="B2682" t="s">
        <v>2983</v>
      </c>
      <c r="C2682" t="s">
        <v>2984</v>
      </c>
      <c r="D2682">
        <v>75</v>
      </c>
      <c r="E2682">
        <v>69</v>
      </c>
      <c r="F2682" t="s">
        <v>2985</v>
      </c>
      <c r="G2682" t="s">
        <v>2980</v>
      </c>
    </row>
    <row r="2683" spans="1:7" x14ac:dyDescent="0.3">
      <c r="A2683">
        <v>2681</v>
      </c>
      <c r="B2683" t="s">
        <v>2983</v>
      </c>
      <c r="C2683" t="s">
        <v>2984</v>
      </c>
      <c r="D2683">
        <v>145</v>
      </c>
      <c r="E2683">
        <v>124</v>
      </c>
      <c r="F2683" t="s">
        <v>2986</v>
      </c>
      <c r="G2683" t="s">
        <v>2980</v>
      </c>
    </row>
    <row r="2684" spans="1:7" x14ac:dyDescent="0.3">
      <c r="A2684">
        <v>2682</v>
      </c>
      <c r="B2684" t="s">
        <v>2983</v>
      </c>
      <c r="C2684" t="s">
        <v>2984</v>
      </c>
      <c r="D2684">
        <v>306</v>
      </c>
      <c r="E2684">
        <v>266</v>
      </c>
      <c r="F2684" t="s">
        <v>2987</v>
      </c>
      <c r="G2684" t="s">
        <v>2980</v>
      </c>
    </row>
    <row r="2685" spans="1:7" x14ac:dyDescent="0.3">
      <c r="A2685">
        <v>2683</v>
      </c>
      <c r="B2685" t="s">
        <v>2988</v>
      </c>
      <c r="C2685" t="s">
        <v>2989</v>
      </c>
      <c r="D2685">
        <v>288</v>
      </c>
      <c r="E2685">
        <v>239</v>
      </c>
      <c r="F2685" t="s">
        <v>2987</v>
      </c>
      <c r="G2685" t="s">
        <v>2980</v>
      </c>
    </row>
    <row r="2686" spans="1:7" x14ac:dyDescent="0.3">
      <c r="A2686">
        <v>2684</v>
      </c>
      <c r="B2686" t="s">
        <v>2988</v>
      </c>
      <c r="C2686" t="s">
        <v>2989</v>
      </c>
      <c r="D2686">
        <v>150</v>
      </c>
      <c r="E2686">
        <v>134</v>
      </c>
      <c r="F2686" t="s">
        <v>2986</v>
      </c>
      <c r="G2686" t="s">
        <v>2980</v>
      </c>
    </row>
    <row r="2687" spans="1:7" x14ac:dyDescent="0.3">
      <c r="A2687">
        <v>2685</v>
      </c>
      <c r="B2687" t="s">
        <v>2990</v>
      </c>
      <c r="C2687" t="s">
        <v>2991</v>
      </c>
      <c r="D2687">
        <v>192</v>
      </c>
      <c r="E2687">
        <v>177</v>
      </c>
      <c r="F2687" t="s">
        <v>2992</v>
      </c>
      <c r="G2687" t="s">
        <v>2980</v>
      </c>
    </row>
    <row r="2688" spans="1:7" x14ac:dyDescent="0.3">
      <c r="A2688">
        <v>2686</v>
      </c>
      <c r="B2688" t="s">
        <v>2990</v>
      </c>
      <c r="C2688" t="s">
        <v>2991</v>
      </c>
      <c r="D2688">
        <v>310</v>
      </c>
      <c r="E2688">
        <v>285</v>
      </c>
      <c r="F2688" t="s">
        <v>2993</v>
      </c>
      <c r="G2688" t="s">
        <v>2980</v>
      </c>
    </row>
    <row r="2689" spans="1:7" x14ac:dyDescent="0.3">
      <c r="A2689">
        <v>2687</v>
      </c>
      <c r="B2689" t="s">
        <v>2994</v>
      </c>
      <c r="C2689" t="s">
        <v>2978</v>
      </c>
      <c r="D2689">
        <v>245</v>
      </c>
      <c r="E2689">
        <v>225</v>
      </c>
      <c r="F2689" t="s">
        <v>2981</v>
      </c>
      <c r="G2689" t="s">
        <v>2980</v>
      </c>
    </row>
    <row r="2690" spans="1:7" x14ac:dyDescent="0.3">
      <c r="A2690">
        <v>2688</v>
      </c>
      <c r="B2690" t="s">
        <v>2994</v>
      </c>
      <c r="C2690" t="s">
        <v>2978</v>
      </c>
      <c r="D2690">
        <v>375</v>
      </c>
      <c r="E2690">
        <v>330</v>
      </c>
      <c r="F2690" t="s">
        <v>2979</v>
      </c>
      <c r="G2690" t="s">
        <v>2980</v>
      </c>
    </row>
    <row r="2691" spans="1:7" x14ac:dyDescent="0.3">
      <c r="A2691">
        <v>2689</v>
      </c>
      <c r="B2691" t="s">
        <v>2995</v>
      </c>
      <c r="C2691" t="s">
        <v>2978</v>
      </c>
      <c r="D2691">
        <v>270</v>
      </c>
      <c r="E2691">
        <v>240</v>
      </c>
      <c r="F2691" t="s">
        <v>256</v>
      </c>
      <c r="G2691" t="s">
        <v>2980</v>
      </c>
    </row>
    <row r="2692" spans="1:7" x14ac:dyDescent="0.3">
      <c r="A2692">
        <v>2690</v>
      </c>
      <c r="B2692" t="s">
        <v>2996</v>
      </c>
      <c r="C2692" t="s">
        <v>2997</v>
      </c>
      <c r="D2692">
        <v>438</v>
      </c>
      <c r="E2692">
        <v>337</v>
      </c>
      <c r="F2692" t="s">
        <v>2998</v>
      </c>
      <c r="G2692" t="s">
        <v>2980</v>
      </c>
    </row>
    <row r="2693" spans="1:7" x14ac:dyDescent="0.3">
      <c r="A2693">
        <v>2691</v>
      </c>
      <c r="B2693" t="s">
        <v>2996</v>
      </c>
      <c r="C2693" t="s">
        <v>2997</v>
      </c>
      <c r="D2693">
        <v>144</v>
      </c>
      <c r="E2693">
        <v>114</v>
      </c>
      <c r="F2693" t="s">
        <v>2986</v>
      </c>
      <c r="G2693" t="s">
        <v>2980</v>
      </c>
    </row>
    <row r="2694" spans="1:7" x14ac:dyDescent="0.3">
      <c r="A2694">
        <v>2692</v>
      </c>
      <c r="B2694" t="s">
        <v>2999</v>
      </c>
      <c r="C2694" t="s">
        <v>3000</v>
      </c>
      <c r="D2694">
        <v>199</v>
      </c>
      <c r="E2694">
        <v>149</v>
      </c>
      <c r="F2694" t="s">
        <v>709</v>
      </c>
      <c r="G2694" t="s">
        <v>2980</v>
      </c>
    </row>
    <row r="2695" spans="1:7" x14ac:dyDescent="0.3">
      <c r="A2695">
        <v>2693</v>
      </c>
      <c r="B2695" t="s">
        <v>3001</v>
      </c>
      <c r="C2695" t="s">
        <v>356</v>
      </c>
      <c r="D2695">
        <v>60</v>
      </c>
      <c r="E2695">
        <v>55</v>
      </c>
      <c r="F2695" t="s">
        <v>280</v>
      </c>
      <c r="G2695" t="s">
        <v>2980</v>
      </c>
    </row>
    <row r="2696" spans="1:7" x14ac:dyDescent="0.3">
      <c r="A2696">
        <v>2694</v>
      </c>
      <c r="B2696" t="s">
        <v>3002</v>
      </c>
      <c r="C2696" t="s">
        <v>2984</v>
      </c>
      <c r="D2696">
        <v>77</v>
      </c>
      <c r="E2696">
        <v>72</v>
      </c>
      <c r="F2696" t="s">
        <v>2985</v>
      </c>
      <c r="G2696" t="s">
        <v>2980</v>
      </c>
    </row>
    <row r="2697" spans="1:7" x14ac:dyDescent="0.3">
      <c r="A2697">
        <v>2695</v>
      </c>
      <c r="B2697" t="s">
        <v>3002</v>
      </c>
      <c r="C2697" t="s">
        <v>2984</v>
      </c>
      <c r="D2697">
        <v>150</v>
      </c>
      <c r="E2697">
        <v>132</v>
      </c>
      <c r="F2697" t="s">
        <v>2986</v>
      </c>
      <c r="G2697" t="s">
        <v>2980</v>
      </c>
    </row>
    <row r="2698" spans="1:7" x14ac:dyDescent="0.3">
      <c r="A2698">
        <v>2696</v>
      </c>
      <c r="B2698" t="s">
        <v>3003</v>
      </c>
      <c r="C2698" t="s">
        <v>2984</v>
      </c>
      <c r="D2698">
        <v>172</v>
      </c>
      <c r="E2698">
        <v>132</v>
      </c>
      <c r="F2698" t="s">
        <v>3004</v>
      </c>
      <c r="G2698" t="s">
        <v>2980</v>
      </c>
    </row>
    <row r="2699" spans="1:7" x14ac:dyDescent="0.3">
      <c r="A2699">
        <v>2697</v>
      </c>
      <c r="B2699" t="s">
        <v>3005</v>
      </c>
      <c r="C2699" t="s">
        <v>3006</v>
      </c>
      <c r="D2699">
        <v>410</v>
      </c>
      <c r="E2699">
        <v>329</v>
      </c>
      <c r="F2699" t="s">
        <v>3004</v>
      </c>
      <c r="G2699" t="s">
        <v>2980</v>
      </c>
    </row>
    <row r="2700" spans="1:7" x14ac:dyDescent="0.3">
      <c r="A2700">
        <v>2698</v>
      </c>
      <c r="B2700" t="s">
        <v>3007</v>
      </c>
      <c r="C2700" t="s">
        <v>356</v>
      </c>
      <c r="D2700">
        <v>60</v>
      </c>
      <c r="E2700">
        <v>55</v>
      </c>
      <c r="F2700" t="s">
        <v>280</v>
      </c>
      <c r="G2700" t="s">
        <v>2980</v>
      </c>
    </row>
    <row r="2701" spans="1:7" x14ac:dyDescent="0.3">
      <c r="A2701">
        <v>2699</v>
      </c>
      <c r="B2701" t="s">
        <v>3008</v>
      </c>
      <c r="C2701" t="s">
        <v>3009</v>
      </c>
      <c r="D2701">
        <v>340</v>
      </c>
      <c r="E2701">
        <v>279</v>
      </c>
      <c r="F2701" t="s">
        <v>3004</v>
      </c>
      <c r="G2701" t="s">
        <v>2980</v>
      </c>
    </row>
    <row r="2702" spans="1:7" x14ac:dyDescent="0.3">
      <c r="A2702">
        <v>2700</v>
      </c>
      <c r="B2702" t="s">
        <v>3010</v>
      </c>
      <c r="C2702" t="s">
        <v>356</v>
      </c>
      <c r="D2702">
        <v>60</v>
      </c>
      <c r="E2702">
        <v>55</v>
      </c>
      <c r="F2702" t="s">
        <v>280</v>
      </c>
      <c r="G2702" t="s">
        <v>2980</v>
      </c>
    </row>
    <row r="2703" spans="1:7" x14ac:dyDescent="0.3">
      <c r="A2703">
        <v>2701</v>
      </c>
      <c r="B2703" t="s">
        <v>3011</v>
      </c>
      <c r="C2703" t="s">
        <v>3012</v>
      </c>
      <c r="D2703">
        <v>169</v>
      </c>
      <c r="E2703">
        <v>119</v>
      </c>
      <c r="F2703" t="s">
        <v>3013</v>
      </c>
      <c r="G2703" t="s">
        <v>2980</v>
      </c>
    </row>
    <row r="2704" spans="1:7" x14ac:dyDescent="0.3">
      <c r="A2704">
        <v>2702</v>
      </c>
      <c r="B2704" t="s">
        <v>3014</v>
      </c>
      <c r="C2704" t="s">
        <v>356</v>
      </c>
      <c r="D2704">
        <v>169</v>
      </c>
      <c r="E2704">
        <v>134</v>
      </c>
      <c r="F2704" t="s">
        <v>3013</v>
      </c>
      <c r="G2704" t="s">
        <v>2980</v>
      </c>
    </row>
    <row r="2705" spans="1:7" x14ac:dyDescent="0.3">
      <c r="A2705">
        <v>2703</v>
      </c>
      <c r="B2705" t="s">
        <v>3015</v>
      </c>
      <c r="C2705" t="s">
        <v>3016</v>
      </c>
      <c r="D2705">
        <v>599</v>
      </c>
      <c r="E2705">
        <v>449</v>
      </c>
      <c r="F2705" t="s">
        <v>2712</v>
      </c>
      <c r="G2705" t="s">
        <v>2980</v>
      </c>
    </row>
    <row r="2706" spans="1:7" x14ac:dyDescent="0.3">
      <c r="A2706">
        <v>2704</v>
      </c>
      <c r="B2706" t="s">
        <v>3017</v>
      </c>
      <c r="C2706" t="s">
        <v>356</v>
      </c>
      <c r="D2706">
        <v>575</v>
      </c>
      <c r="E2706">
        <v>459</v>
      </c>
      <c r="F2706" t="s">
        <v>2712</v>
      </c>
      <c r="G2706" t="s">
        <v>2980</v>
      </c>
    </row>
    <row r="2707" spans="1:7" x14ac:dyDescent="0.3">
      <c r="A2707">
        <v>2705</v>
      </c>
      <c r="B2707" t="s">
        <v>3018</v>
      </c>
      <c r="C2707" t="s">
        <v>3019</v>
      </c>
      <c r="D2707">
        <v>109</v>
      </c>
      <c r="E2707">
        <v>54</v>
      </c>
      <c r="F2707" t="s">
        <v>12</v>
      </c>
      <c r="G2707" t="s">
        <v>2980</v>
      </c>
    </row>
    <row r="2708" spans="1:7" x14ac:dyDescent="0.3">
      <c r="A2708">
        <v>2706</v>
      </c>
      <c r="B2708" t="s">
        <v>3020</v>
      </c>
      <c r="C2708" t="s">
        <v>3021</v>
      </c>
      <c r="D2708">
        <v>49</v>
      </c>
      <c r="E2708">
        <v>29</v>
      </c>
      <c r="F2708" t="s">
        <v>280</v>
      </c>
      <c r="G2708" t="s">
        <v>2980</v>
      </c>
    </row>
    <row r="2709" spans="1:7" x14ac:dyDescent="0.3">
      <c r="A2709">
        <v>2707</v>
      </c>
      <c r="B2709" t="s">
        <v>3022</v>
      </c>
      <c r="C2709" t="s">
        <v>2991</v>
      </c>
      <c r="D2709">
        <v>60</v>
      </c>
      <c r="E2709">
        <v>54</v>
      </c>
      <c r="F2709" t="s">
        <v>280</v>
      </c>
      <c r="G2709" t="s">
        <v>2980</v>
      </c>
    </row>
    <row r="2710" spans="1:7" x14ac:dyDescent="0.3">
      <c r="A2710">
        <v>2708</v>
      </c>
      <c r="B2710" t="s">
        <v>3023</v>
      </c>
      <c r="C2710" t="s">
        <v>356</v>
      </c>
      <c r="D2710">
        <v>60</v>
      </c>
      <c r="E2710">
        <v>55</v>
      </c>
      <c r="F2710" t="s">
        <v>280</v>
      </c>
      <c r="G2710" t="s">
        <v>2980</v>
      </c>
    </row>
    <row r="2711" spans="1:7" x14ac:dyDescent="0.3">
      <c r="A2711">
        <v>2709</v>
      </c>
      <c r="B2711" t="s">
        <v>3024</v>
      </c>
      <c r="C2711" t="s">
        <v>3025</v>
      </c>
      <c r="D2711">
        <v>154</v>
      </c>
      <c r="E2711">
        <v>77</v>
      </c>
      <c r="F2711" t="s">
        <v>76</v>
      </c>
      <c r="G2711" t="s">
        <v>2980</v>
      </c>
    </row>
    <row r="2712" spans="1:7" x14ac:dyDescent="0.3">
      <c r="A2712">
        <v>2710</v>
      </c>
      <c r="B2712" t="s">
        <v>3024</v>
      </c>
      <c r="C2712" t="s">
        <v>3025</v>
      </c>
      <c r="D2712">
        <v>78</v>
      </c>
      <c r="E2712">
        <v>39</v>
      </c>
      <c r="F2712" t="s">
        <v>12</v>
      </c>
      <c r="G2712" t="s">
        <v>2980</v>
      </c>
    </row>
    <row r="2713" spans="1:7" x14ac:dyDescent="0.3">
      <c r="A2713">
        <v>2711</v>
      </c>
      <c r="B2713" t="s">
        <v>3026</v>
      </c>
      <c r="C2713" t="s">
        <v>3019</v>
      </c>
      <c r="D2713">
        <v>88</v>
      </c>
      <c r="E2713">
        <v>44</v>
      </c>
      <c r="F2713" t="s">
        <v>12</v>
      </c>
      <c r="G2713" t="s">
        <v>2980</v>
      </c>
    </row>
    <row r="2714" spans="1:7" x14ac:dyDescent="0.3">
      <c r="A2714">
        <v>2712</v>
      </c>
      <c r="B2714" t="s">
        <v>3027</v>
      </c>
      <c r="C2714" t="s">
        <v>2991</v>
      </c>
      <c r="D2714">
        <v>500</v>
      </c>
      <c r="E2714">
        <v>250</v>
      </c>
      <c r="F2714" t="s">
        <v>1847</v>
      </c>
      <c r="G2714" t="s">
        <v>2980</v>
      </c>
    </row>
    <row r="2715" spans="1:7" x14ac:dyDescent="0.3">
      <c r="A2715">
        <v>2713</v>
      </c>
      <c r="B2715" t="s">
        <v>3028</v>
      </c>
      <c r="C2715" t="s">
        <v>2991</v>
      </c>
      <c r="D2715">
        <v>60</v>
      </c>
      <c r="E2715">
        <v>49</v>
      </c>
      <c r="F2715" t="s">
        <v>280</v>
      </c>
      <c r="G2715" t="s">
        <v>2980</v>
      </c>
    </row>
    <row r="2716" spans="1:7" x14ac:dyDescent="0.3">
      <c r="A2716">
        <v>2714</v>
      </c>
      <c r="B2716" t="s">
        <v>3029</v>
      </c>
      <c r="C2716" t="s">
        <v>3000</v>
      </c>
      <c r="D2716">
        <v>199</v>
      </c>
      <c r="E2716">
        <v>135</v>
      </c>
      <c r="F2716" t="s">
        <v>709</v>
      </c>
      <c r="G2716" t="s">
        <v>2980</v>
      </c>
    </row>
    <row r="2717" spans="1:7" x14ac:dyDescent="0.3">
      <c r="A2717">
        <v>2715</v>
      </c>
      <c r="B2717" t="s">
        <v>3030</v>
      </c>
      <c r="C2717" t="s">
        <v>2989</v>
      </c>
      <c r="D2717">
        <v>77</v>
      </c>
      <c r="E2717">
        <v>71</v>
      </c>
      <c r="F2717" t="s">
        <v>2985</v>
      </c>
      <c r="G2717" t="s">
        <v>2980</v>
      </c>
    </row>
    <row r="2718" spans="1:7" x14ac:dyDescent="0.3">
      <c r="A2718">
        <v>2716</v>
      </c>
      <c r="B2718" t="s">
        <v>3031</v>
      </c>
      <c r="C2718" t="s">
        <v>3021</v>
      </c>
      <c r="D2718">
        <v>49</v>
      </c>
      <c r="E2718">
        <v>29</v>
      </c>
      <c r="F2718" t="s">
        <v>280</v>
      </c>
      <c r="G2718" t="s">
        <v>2980</v>
      </c>
    </row>
    <row r="2719" spans="1:7" x14ac:dyDescent="0.3">
      <c r="A2719">
        <v>2717</v>
      </c>
      <c r="B2719" t="s">
        <v>3032</v>
      </c>
      <c r="C2719" t="s">
        <v>2997</v>
      </c>
      <c r="D2719">
        <v>166</v>
      </c>
      <c r="E2719">
        <v>145</v>
      </c>
      <c r="F2719" t="s">
        <v>2986</v>
      </c>
      <c r="G2719" t="s">
        <v>2980</v>
      </c>
    </row>
    <row r="2720" spans="1:7" x14ac:dyDescent="0.3">
      <c r="A2720">
        <v>2718</v>
      </c>
      <c r="B2720" t="s">
        <v>3033</v>
      </c>
      <c r="C2720" t="s">
        <v>3034</v>
      </c>
      <c r="D2720">
        <v>279</v>
      </c>
      <c r="E2720">
        <v>249</v>
      </c>
      <c r="F2720" t="s">
        <v>1512</v>
      </c>
      <c r="G2720" t="s">
        <v>2980</v>
      </c>
    </row>
    <row r="2721" spans="1:7" x14ac:dyDescent="0.3">
      <c r="A2721">
        <v>2719</v>
      </c>
      <c r="B2721" t="s">
        <v>3035</v>
      </c>
      <c r="C2721" t="s">
        <v>3036</v>
      </c>
      <c r="D2721">
        <v>325</v>
      </c>
      <c r="E2721">
        <v>285</v>
      </c>
      <c r="F2721" t="s">
        <v>1182</v>
      </c>
      <c r="G2721" t="s">
        <v>2980</v>
      </c>
    </row>
    <row r="2722" spans="1:7" x14ac:dyDescent="0.3">
      <c r="A2722">
        <v>2720</v>
      </c>
      <c r="B2722" t="s">
        <v>3037</v>
      </c>
      <c r="C2722" t="s">
        <v>2991</v>
      </c>
      <c r="D2722">
        <v>60</v>
      </c>
      <c r="E2722">
        <v>54</v>
      </c>
      <c r="F2722" t="s">
        <v>280</v>
      </c>
      <c r="G2722" t="s">
        <v>2980</v>
      </c>
    </row>
    <row r="2723" spans="1:7" x14ac:dyDescent="0.3">
      <c r="A2723">
        <v>2721</v>
      </c>
      <c r="B2723" t="s">
        <v>3038</v>
      </c>
      <c r="C2723" t="s">
        <v>3012</v>
      </c>
      <c r="D2723">
        <v>195</v>
      </c>
      <c r="E2723">
        <v>165</v>
      </c>
      <c r="F2723" t="s">
        <v>3039</v>
      </c>
      <c r="G2723" t="s">
        <v>2980</v>
      </c>
    </row>
    <row r="2724" spans="1:7" x14ac:dyDescent="0.3">
      <c r="A2724">
        <v>2722</v>
      </c>
      <c r="B2724" t="s">
        <v>3040</v>
      </c>
      <c r="C2724" t="s">
        <v>356</v>
      </c>
      <c r="D2724">
        <v>399</v>
      </c>
      <c r="E2724">
        <v>319</v>
      </c>
      <c r="F2724" t="s">
        <v>814</v>
      </c>
      <c r="G2724" t="s">
        <v>2980</v>
      </c>
    </row>
    <row r="2725" spans="1:7" x14ac:dyDescent="0.3">
      <c r="A2725">
        <v>2723</v>
      </c>
      <c r="B2725" t="s">
        <v>3041</v>
      </c>
      <c r="C2725" t="s">
        <v>3000</v>
      </c>
      <c r="D2725">
        <v>199</v>
      </c>
      <c r="E2725">
        <v>139</v>
      </c>
      <c r="F2725" t="s">
        <v>709</v>
      </c>
      <c r="G2725" t="s">
        <v>2980</v>
      </c>
    </row>
    <row r="2726" spans="1:7" x14ac:dyDescent="0.3">
      <c r="A2726">
        <v>2724</v>
      </c>
      <c r="B2726" t="s">
        <v>3042</v>
      </c>
      <c r="C2726" t="s">
        <v>3000</v>
      </c>
      <c r="D2726">
        <v>199</v>
      </c>
      <c r="E2726">
        <v>135</v>
      </c>
      <c r="F2726" t="s">
        <v>709</v>
      </c>
      <c r="G2726" t="s">
        <v>2980</v>
      </c>
    </row>
    <row r="2727" spans="1:7" x14ac:dyDescent="0.3">
      <c r="A2727">
        <v>2725</v>
      </c>
      <c r="B2727" t="s">
        <v>3043</v>
      </c>
      <c r="C2727" t="s">
        <v>17</v>
      </c>
      <c r="D2727">
        <v>95</v>
      </c>
      <c r="E2727">
        <v>85</v>
      </c>
      <c r="F2727" t="s">
        <v>2985</v>
      </c>
      <c r="G2727" t="s">
        <v>2980</v>
      </c>
    </row>
    <row r="2728" spans="1:7" x14ac:dyDescent="0.3">
      <c r="A2728">
        <v>2726</v>
      </c>
      <c r="B2728" t="s">
        <v>3044</v>
      </c>
      <c r="C2728" t="s">
        <v>356</v>
      </c>
      <c r="D2728">
        <v>60</v>
      </c>
      <c r="E2728">
        <v>55</v>
      </c>
      <c r="F2728" t="s">
        <v>280</v>
      </c>
      <c r="G2728" t="s">
        <v>2980</v>
      </c>
    </row>
    <row r="2729" spans="1:7" x14ac:dyDescent="0.3">
      <c r="A2729">
        <v>2727</v>
      </c>
      <c r="B2729" t="s">
        <v>3045</v>
      </c>
      <c r="C2729" t="s">
        <v>3046</v>
      </c>
      <c r="D2729">
        <v>199</v>
      </c>
      <c r="E2729">
        <v>129</v>
      </c>
      <c r="F2729" t="s">
        <v>3013</v>
      </c>
      <c r="G2729" t="s">
        <v>2980</v>
      </c>
    </row>
    <row r="2730" spans="1:7" x14ac:dyDescent="0.3">
      <c r="A2730">
        <v>2728</v>
      </c>
      <c r="B2730" t="s">
        <v>3047</v>
      </c>
      <c r="C2730" t="s">
        <v>3025</v>
      </c>
      <c r="D2730">
        <v>99</v>
      </c>
      <c r="E2730">
        <v>49</v>
      </c>
      <c r="F2730" t="s">
        <v>12</v>
      </c>
      <c r="G2730" t="s">
        <v>2980</v>
      </c>
    </row>
    <row r="2731" spans="1:7" x14ac:dyDescent="0.3">
      <c r="A2731">
        <v>2729</v>
      </c>
      <c r="B2731" t="s">
        <v>3048</v>
      </c>
      <c r="C2731" t="s">
        <v>3000</v>
      </c>
      <c r="D2731">
        <v>199</v>
      </c>
      <c r="E2731">
        <v>135</v>
      </c>
      <c r="F2731" t="s">
        <v>709</v>
      </c>
      <c r="G2731" t="s">
        <v>2980</v>
      </c>
    </row>
    <row r="2732" spans="1:7" x14ac:dyDescent="0.3">
      <c r="A2732">
        <v>2730</v>
      </c>
      <c r="B2732" t="s">
        <v>3049</v>
      </c>
      <c r="C2732" t="s">
        <v>3049</v>
      </c>
      <c r="D2732">
        <v>280</v>
      </c>
      <c r="E2732">
        <v>225</v>
      </c>
      <c r="F2732" t="s">
        <v>391</v>
      </c>
      <c r="G2732" t="s">
        <v>2980</v>
      </c>
    </row>
    <row r="2733" spans="1:7" x14ac:dyDescent="0.3">
      <c r="A2733">
        <v>2731</v>
      </c>
      <c r="B2733" t="s">
        <v>3050</v>
      </c>
      <c r="C2733" t="s">
        <v>2991</v>
      </c>
      <c r="D2733">
        <v>500</v>
      </c>
      <c r="E2733">
        <v>250</v>
      </c>
      <c r="F2733" t="s">
        <v>1847</v>
      </c>
      <c r="G2733" t="s">
        <v>2980</v>
      </c>
    </row>
    <row r="2734" spans="1:7" x14ac:dyDescent="0.3">
      <c r="A2734">
        <v>2732</v>
      </c>
      <c r="B2734" t="s">
        <v>3051</v>
      </c>
      <c r="C2734" t="s">
        <v>3025</v>
      </c>
      <c r="D2734">
        <v>47</v>
      </c>
      <c r="E2734">
        <v>23</v>
      </c>
      <c r="F2734" t="s">
        <v>216</v>
      </c>
      <c r="G2734" t="s">
        <v>2980</v>
      </c>
    </row>
    <row r="2735" spans="1:7" x14ac:dyDescent="0.3">
      <c r="A2735">
        <v>2733</v>
      </c>
      <c r="B2735" t="s">
        <v>3052</v>
      </c>
      <c r="C2735" t="s">
        <v>3046</v>
      </c>
      <c r="D2735">
        <v>199</v>
      </c>
      <c r="E2735">
        <v>139</v>
      </c>
      <c r="F2735" t="s">
        <v>3013</v>
      </c>
      <c r="G2735" t="s">
        <v>2980</v>
      </c>
    </row>
    <row r="2736" spans="1:7" x14ac:dyDescent="0.3">
      <c r="A2736">
        <v>2734</v>
      </c>
      <c r="B2736" t="s">
        <v>3053</v>
      </c>
      <c r="C2736" t="s">
        <v>3054</v>
      </c>
      <c r="D2736">
        <v>99</v>
      </c>
      <c r="E2736">
        <v>92</v>
      </c>
      <c r="F2736" t="s">
        <v>11</v>
      </c>
      <c r="G2736" t="s">
        <v>2980</v>
      </c>
    </row>
    <row r="2737" spans="1:7" x14ac:dyDescent="0.3">
      <c r="A2737">
        <v>2735</v>
      </c>
      <c r="B2737" t="s">
        <v>3055</v>
      </c>
      <c r="C2737" t="s">
        <v>3021</v>
      </c>
      <c r="D2737">
        <v>49</v>
      </c>
      <c r="E2737">
        <v>29</v>
      </c>
      <c r="F2737" t="s">
        <v>280</v>
      </c>
      <c r="G2737" t="s">
        <v>2980</v>
      </c>
    </row>
    <row r="2738" spans="1:7" x14ac:dyDescent="0.3">
      <c r="A2738">
        <v>2736</v>
      </c>
      <c r="B2738" t="s">
        <v>3056</v>
      </c>
      <c r="C2738" t="s">
        <v>2984</v>
      </c>
      <c r="D2738">
        <v>80</v>
      </c>
      <c r="E2738">
        <v>69</v>
      </c>
      <c r="F2738" t="s">
        <v>3057</v>
      </c>
      <c r="G2738" t="s">
        <v>2980</v>
      </c>
    </row>
    <row r="2739" spans="1:7" x14ac:dyDescent="0.3">
      <c r="A2739">
        <v>2737</v>
      </c>
      <c r="B2739" t="s">
        <v>3058</v>
      </c>
      <c r="C2739" t="s">
        <v>2991</v>
      </c>
      <c r="D2739">
        <v>60</v>
      </c>
      <c r="E2739">
        <v>52</v>
      </c>
      <c r="F2739" t="s">
        <v>280</v>
      </c>
      <c r="G2739" t="s">
        <v>2980</v>
      </c>
    </row>
    <row r="2740" spans="1:7" x14ac:dyDescent="0.3">
      <c r="A2740">
        <v>2738</v>
      </c>
      <c r="B2740" t="s">
        <v>3059</v>
      </c>
      <c r="C2740" t="s">
        <v>3046</v>
      </c>
      <c r="D2740">
        <v>199</v>
      </c>
      <c r="E2740">
        <v>139</v>
      </c>
      <c r="F2740" t="s">
        <v>3013</v>
      </c>
      <c r="G2740" t="s">
        <v>2980</v>
      </c>
    </row>
    <row r="2741" spans="1:7" x14ac:dyDescent="0.3">
      <c r="A2741">
        <v>2739</v>
      </c>
      <c r="B2741" t="s">
        <v>3055</v>
      </c>
      <c r="C2741" t="s">
        <v>3021</v>
      </c>
      <c r="D2741">
        <v>149</v>
      </c>
      <c r="E2741">
        <v>74</v>
      </c>
      <c r="F2741" t="s">
        <v>3060</v>
      </c>
      <c r="G2741" t="s">
        <v>2980</v>
      </c>
    </row>
    <row r="2742" spans="1:7" x14ac:dyDescent="0.3">
      <c r="A2742">
        <v>2740</v>
      </c>
      <c r="B2742" t="s">
        <v>3061</v>
      </c>
      <c r="C2742" t="s">
        <v>3062</v>
      </c>
      <c r="D2742">
        <v>199</v>
      </c>
      <c r="E2742">
        <v>139</v>
      </c>
      <c r="F2742" t="s">
        <v>709</v>
      </c>
      <c r="G2742" t="s">
        <v>2980</v>
      </c>
    </row>
    <row r="2743" spans="1:7" x14ac:dyDescent="0.3">
      <c r="A2743">
        <v>2741</v>
      </c>
      <c r="B2743" t="s">
        <v>3063</v>
      </c>
      <c r="C2743" t="s">
        <v>3025</v>
      </c>
      <c r="D2743">
        <v>47</v>
      </c>
      <c r="E2743">
        <v>23</v>
      </c>
      <c r="F2743" t="s">
        <v>216</v>
      </c>
      <c r="G2743" t="s">
        <v>2980</v>
      </c>
    </row>
    <row r="2744" spans="1:7" x14ac:dyDescent="0.3">
      <c r="A2744">
        <v>2742</v>
      </c>
      <c r="B2744" t="s">
        <v>3064</v>
      </c>
      <c r="C2744" t="s">
        <v>3034</v>
      </c>
      <c r="D2744">
        <v>279</v>
      </c>
      <c r="E2744">
        <v>249</v>
      </c>
      <c r="F2744" t="s">
        <v>1512</v>
      </c>
      <c r="G2744" t="s">
        <v>2980</v>
      </c>
    </row>
    <row r="2745" spans="1:7" x14ac:dyDescent="0.3">
      <c r="A2745">
        <v>2743</v>
      </c>
      <c r="B2745" t="s">
        <v>3065</v>
      </c>
      <c r="C2745" t="s">
        <v>2984</v>
      </c>
      <c r="D2745">
        <v>95</v>
      </c>
      <c r="E2745">
        <v>85</v>
      </c>
      <c r="F2745" t="s">
        <v>2712</v>
      </c>
      <c r="G2745" t="s">
        <v>2980</v>
      </c>
    </row>
    <row r="2746" spans="1:7" x14ac:dyDescent="0.3">
      <c r="A2746">
        <v>2744</v>
      </c>
      <c r="B2746" t="s">
        <v>3066</v>
      </c>
      <c r="C2746" t="s">
        <v>3025</v>
      </c>
      <c r="D2746">
        <v>47</v>
      </c>
      <c r="E2746">
        <v>23</v>
      </c>
      <c r="F2746" t="s">
        <v>216</v>
      </c>
      <c r="G2746" t="s">
        <v>2980</v>
      </c>
    </row>
    <row r="2747" spans="1:7" x14ac:dyDescent="0.3">
      <c r="A2747">
        <v>2745</v>
      </c>
      <c r="B2747" t="s">
        <v>3067</v>
      </c>
      <c r="C2747" t="s">
        <v>3021</v>
      </c>
      <c r="D2747">
        <v>49</v>
      </c>
      <c r="E2747">
        <v>29</v>
      </c>
      <c r="F2747" t="s">
        <v>280</v>
      </c>
      <c r="G2747" t="s">
        <v>2980</v>
      </c>
    </row>
    <row r="2748" spans="1:7" x14ac:dyDescent="0.3">
      <c r="A2748">
        <v>2746</v>
      </c>
      <c r="B2748" t="s">
        <v>3068</v>
      </c>
      <c r="C2748" t="s">
        <v>3025</v>
      </c>
      <c r="D2748">
        <v>47</v>
      </c>
      <c r="E2748">
        <v>23</v>
      </c>
      <c r="F2748" t="s">
        <v>216</v>
      </c>
      <c r="G2748" t="s">
        <v>2980</v>
      </c>
    </row>
    <row r="2749" spans="1:7" x14ac:dyDescent="0.3">
      <c r="A2749">
        <v>2747</v>
      </c>
      <c r="B2749" t="s">
        <v>3069</v>
      </c>
      <c r="C2749" t="s">
        <v>3021</v>
      </c>
      <c r="D2749">
        <v>149</v>
      </c>
      <c r="E2749">
        <v>74</v>
      </c>
      <c r="F2749" t="s">
        <v>3060</v>
      </c>
      <c r="G2749" t="s">
        <v>2980</v>
      </c>
    </row>
    <row r="2750" spans="1:7" x14ac:dyDescent="0.3">
      <c r="A2750">
        <v>2748</v>
      </c>
      <c r="B2750" t="s">
        <v>3031</v>
      </c>
      <c r="C2750" t="s">
        <v>3021</v>
      </c>
      <c r="D2750">
        <v>149</v>
      </c>
      <c r="E2750">
        <v>74</v>
      </c>
      <c r="F2750" t="s">
        <v>3060</v>
      </c>
      <c r="G2750" t="s">
        <v>2980</v>
      </c>
    </row>
    <row r="2751" spans="1:7" x14ac:dyDescent="0.3">
      <c r="A2751">
        <v>2749</v>
      </c>
      <c r="B2751" t="s">
        <v>3070</v>
      </c>
      <c r="C2751" t="s">
        <v>3071</v>
      </c>
      <c r="D2751">
        <v>199</v>
      </c>
      <c r="E2751">
        <v>150</v>
      </c>
      <c r="F2751" t="s">
        <v>1371</v>
      </c>
      <c r="G2751" t="s">
        <v>2980</v>
      </c>
    </row>
    <row r="2752" spans="1:7" x14ac:dyDescent="0.3">
      <c r="A2752">
        <v>2750</v>
      </c>
      <c r="B2752" t="s">
        <v>3072</v>
      </c>
      <c r="C2752" t="s">
        <v>3073</v>
      </c>
      <c r="D2752">
        <v>16</v>
      </c>
      <c r="E2752">
        <v>13</v>
      </c>
      <c r="F2752" t="s">
        <v>3004</v>
      </c>
      <c r="G2752" t="s">
        <v>2980</v>
      </c>
    </row>
    <row r="2753" spans="1:7" x14ac:dyDescent="0.3">
      <c r="A2753">
        <v>2751</v>
      </c>
      <c r="B2753" t="s">
        <v>3074</v>
      </c>
      <c r="C2753" t="s">
        <v>3075</v>
      </c>
      <c r="D2753">
        <v>150</v>
      </c>
      <c r="E2753">
        <v>99</v>
      </c>
      <c r="F2753" t="s">
        <v>1501</v>
      </c>
      <c r="G2753" t="s">
        <v>2980</v>
      </c>
    </row>
    <row r="2754" spans="1:7" x14ac:dyDescent="0.3">
      <c r="A2754">
        <v>2752</v>
      </c>
      <c r="B2754" t="s">
        <v>3076</v>
      </c>
      <c r="C2754" t="s">
        <v>3075</v>
      </c>
      <c r="D2754">
        <v>150</v>
      </c>
      <c r="E2754">
        <v>95</v>
      </c>
      <c r="F2754" t="s">
        <v>1501</v>
      </c>
      <c r="G2754" t="s">
        <v>2980</v>
      </c>
    </row>
    <row r="2755" spans="1:7" x14ac:dyDescent="0.3">
      <c r="A2755">
        <v>2753</v>
      </c>
      <c r="B2755" t="s">
        <v>3077</v>
      </c>
      <c r="C2755" t="s">
        <v>356</v>
      </c>
      <c r="D2755">
        <v>569</v>
      </c>
      <c r="E2755">
        <v>449</v>
      </c>
      <c r="F2755" t="s">
        <v>2712</v>
      </c>
      <c r="G2755" t="s">
        <v>2980</v>
      </c>
    </row>
    <row r="2756" spans="1:7" x14ac:dyDescent="0.3">
      <c r="A2756">
        <v>2754</v>
      </c>
      <c r="B2756" t="s">
        <v>3078</v>
      </c>
      <c r="C2756" t="s">
        <v>3079</v>
      </c>
      <c r="D2756">
        <v>80</v>
      </c>
      <c r="E2756">
        <v>65</v>
      </c>
      <c r="F2756" t="s">
        <v>3057</v>
      </c>
      <c r="G2756" t="s">
        <v>2980</v>
      </c>
    </row>
    <row r="2757" spans="1:7" x14ac:dyDescent="0.3">
      <c r="A2757">
        <v>2755</v>
      </c>
      <c r="B2757" t="s">
        <v>3080</v>
      </c>
      <c r="C2757" t="s">
        <v>3034</v>
      </c>
      <c r="D2757">
        <v>299</v>
      </c>
      <c r="E2757">
        <v>169</v>
      </c>
      <c r="F2757" t="s">
        <v>1015</v>
      </c>
      <c r="G2757" t="s">
        <v>2980</v>
      </c>
    </row>
    <row r="2758" spans="1:7" x14ac:dyDescent="0.3">
      <c r="A2758">
        <v>2756</v>
      </c>
      <c r="B2758" t="s">
        <v>3081</v>
      </c>
      <c r="C2758" t="s">
        <v>3034</v>
      </c>
      <c r="D2758">
        <v>299</v>
      </c>
      <c r="E2758">
        <v>189</v>
      </c>
      <c r="F2758" t="s">
        <v>1015</v>
      </c>
      <c r="G2758" t="s">
        <v>2980</v>
      </c>
    </row>
    <row r="2759" spans="1:7" x14ac:dyDescent="0.3">
      <c r="A2759">
        <v>2757</v>
      </c>
      <c r="B2759" t="s">
        <v>3082</v>
      </c>
      <c r="C2759" t="s">
        <v>3036</v>
      </c>
      <c r="D2759">
        <v>189</v>
      </c>
      <c r="E2759">
        <v>159</v>
      </c>
      <c r="F2759" t="s">
        <v>3083</v>
      </c>
      <c r="G2759" t="s">
        <v>2980</v>
      </c>
    </row>
    <row r="2760" spans="1:7" x14ac:dyDescent="0.3">
      <c r="A2760">
        <v>2758</v>
      </c>
      <c r="B2760" t="s">
        <v>3084</v>
      </c>
      <c r="C2760" t="s">
        <v>3036</v>
      </c>
      <c r="D2760">
        <v>189</v>
      </c>
      <c r="E2760">
        <v>159</v>
      </c>
      <c r="F2760" t="s">
        <v>3083</v>
      </c>
      <c r="G2760" t="s">
        <v>2980</v>
      </c>
    </row>
    <row r="2761" spans="1:7" x14ac:dyDescent="0.3">
      <c r="A2761">
        <v>2759</v>
      </c>
      <c r="B2761" t="s">
        <v>3085</v>
      </c>
      <c r="C2761" t="s">
        <v>3086</v>
      </c>
      <c r="D2761">
        <v>1699</v>
      </c>
      <c r="E2761">
        <v>1149</v>
      </c>
      <c r="F2761" t="s">
        <v>539</v>
      </c>
      <c r="G2761" t="s">
        <v>3087</v>
      </c>
    </row>
    <row r="2762" spans="1:7" x14ac:dyDescent="0.3">
      <c r="A2762">
        <v>2760</v>
      </c>
      <c r="B2762" t="s">
        <v>3088</v>
      </c>
      <c r="C2762" t="s">
        <v>3086</v>
      </c>
      <c r="D2762">
        <v>1699</v>
      </c>
      <c r="E2762">
        <v>1149</v>
      </c>
      <c r="F2762" t="s">
        <v>3089</v>
      </c>
      <c r="G2762" t="s">
        <v>3087</v>
      </c>
    </row>
    <row r="2763" spans="1:7" x14ac:dyDescent="0.3">
      <c r="A2763">
        <v>2761</v>
      </c>
      <c r="B2763" t="s">
        <v>3090</v>
      </c>
      <c r="C2763" t="s">
        <v>3091</v>
      </c>
      <c r="D2763">
        <v>1349</v>
      </c>
      <c r="E2763">
        <v>999</v>
      </c>
      <c r="F2763" t="s">
        <v>3092</v>
      </c>
      <c r="G2763" t="s">
        <v>3087</v>
      </c>
    </row>
    <row r="2764" spans="1:7" x14ac:dyDescent="0.3">
      <c r="A2764">
        <v>2762</v>
      </c>
      <c r="B2764" t="s">
        <v>3093</v>
      </c>
      <c r="C2764" t="s">
        <v>3091</v>
      </c>
      <c r="D2764">
        <v>1349</v>
      </c>
      <c r="E2764">
        <v>999</v>
      </c>
      <c r="F2764" t="s">
        <v>3092</v>
      </c>
      <c r="G2764" t="s">
        <v>3087</v>
      </c>
    </row>
    <row r="2765" spans="1:7" x14ac:dyDescent="0.3">
      <c r="A2765">
        <v>2763</v>
      </c>
      <c r="B2765" t="s">
        <v>3094</v>
      </c>
      <c r="C2765" t="s">
        <v>3091</v>
      </c>
      <c r="D2765">
        <v>800</v>
      </c>
      <c r="E2765">
        <v>349</v>
      </c>
      <c r="F2765" t="s">
        <v>3095</v>
      </c>
      <c r="G2765" t="s">
        <v>3087</v>
      </c>
    </row>
    <row r="2766" spans="1:7" x14ac:dyDescent="0.3">
      <c r="A2766">
        <v>2764</v>
      </c>
      <c r="B2766" t="s">
        <v>3096</v>
      </c>
      <c r="C2766" t="s">
        <v>3091</v>
      </c>
      <c r="D2766">
        <v>700</v>
      </c>
      <c r="E2766">
        <v>498</v>
      </c>
      <c r="F2766" t="s">
        <v>3092</v>
      </c>
      <c r="G2766" t="s">
        <v>3087</v>
      </c>
    </row>
    <row r="2767" spans="1:7" x14ac:dyDescent="0.3">
      <c r="A2767">
        <v>2765</v>
      </c>
      <c r="B2767" t="s">
        <v>3097</v>
      </c>
      <c r="C2767" t="s">
        <v>3091</v>
      </c>
      <c r="D2767">
        <v>825</v>
      </c>
      <c r="E2767">
        <v>599</v>
      </c>
      <c r="F2767" t="s">
        <v>3092</v>
      </c>
      <c r="G2767" t="s">
        <v>3087</v>
      </c>
    </row>
    <row r="2768" spans="1:7" x14ac:dyDescent="0.3">
      <c r="A2768">
        <v>2766</v>
      </c>
      <c r="B2768" t="s">
        <v>3098</v>
      </c>
      <c r="C2768" t="s">
        <v>3091</v>
      </c>
      <c r="D2768">
        <v>1349</v>
      </c>
      <c r="E2768">
        <v>999</v>
      </c>
      <c r="F2768" t="s">
        <v>3092</v>
      </c>
      <c r="G2768" t="s">
        <v>3087</v>
      </c>
    </row>
    <row r="2769" spans="1:7" x14ac:dyDescent="0.3">
      <c r="A2769">
        <v>2767</v>
      </c>
      <c r="B2769" t="s">
        <v>3099</v>
      </c>
      <c r="C2769" t="s">
        <v>3091</v>
      </c>
      <c r="D2769">
        <v>700</v>
      </c>
      <c r="E2769">
        <v>499</v>
      </c>
      <c r="F2769" t="s">
        <v>3092</v>
      </c>
      <c r="G2769" t="s">
        <v>3087</v>
      </c>
    </row>
    <row r="2770" spans="1:7" x14ac:dyDescent="0.3">
      <c r="A2770">
        <v>2768</v>
      </c>
      <c r="B2770" t="s">
        <v>3100</v>
      </c>
      <c r="C2770" t="s">
        <v>3086</v>
      </c>
      <c r="D2770">
        <v>1299</v>
      </c>
      <c r="E2770">
        <v>549</v>
      </c>
      <c r="F2770" t="s">
        <v>3089</v>
      </c>
      <c r="G2770" t="s">
        <v>3087</v>
      </c>
    </row>
    <row r="2771" spans="1:7" x14ac:dyDescent="0.3">
      <c r="A2771">
        <v>2769</v>
      </c>
      <c r="B2771" t="s">
        <v>3101</v>
      </c>
      <c r="C2771" t="s">
        <v>3091</v>
      </c>
      <c r="D2771">
        <v>825</v>
      </c>
      <c r="E2771">
        <v>599</v>
      </c>
      <c r="F2771" t="s">
        <v>3092</v>
      </c>
      <c r="G2771" t="s">
        <v>3087</v>
      </c>
    </row>
    <row r="2772" spans="1:7" x14ac:dyDescent="0.3">
      <c r="A2772">
        <v>2770</v>
      </c>
      <c r="B2772" t="s">
        <v>3102</v>
      </c>
      <c r="C2772" t="s">
        <v>3086</v>
      </c>
      <c r="D2772">
        <v>1499</v>
      </c>
      <c r="E2772">
        <v>999</v>
      </c>
      <c r="F2772" t="s">
        <v>3103</v>
      </c>
      <c r="G2772" t="s">
        <v>3087</v>
      </c>
    </row>
    <row r="2773" spans="1:7" x14ac:dyDescent="0.3">
      <c r="A2773">
        <v>2771</v>
      </c>
      <c r="B2773" t="s">
        <v>3104</v>
      </c>
      <c r="C2773" t="s">
        <v>3086</v>
      </c>
      <c r="D2773">
        <v>1499</v>
      </c>
      <c r="E2773">
        <v>999</v>
      </c>
      <c r="F2773" t="s">
        <v>539</v>
      </c>
      <c r="G2773" t="s">
        <v>3087</v>
      </c>
    </row>
    <row r="2774" spans="1:7" x14ac:dyDescent="0.3">
      <c r="A2774">
        <v>2772</v>
      </c>
      <c r="B2774" t="s">
        <v>3105</v>
      </c>
      <c r="C2774" t="s">
        <v>3091</v>
      </c>
      <c r="D2774">
        <v>625</v>
      </c>
      <c r="E2774">
        <v>425</v>
      </c>
      <c r="F2774" t="s">
        <v>3092</v>
      </c>
      <c r="G2774" t="s">
        <v>3087</v>
      </c>
    </row>
    <row r="2775" spans="1:7" x14ac:dyDescent="0.3">
      <c r="A2775">
        <v>2773</v>
      </c>
      <c r="B2775" t="s">
        <v>3106</v>
      </c>
      <c r="C2775" t="s">
        <v>3086</v>
      </c>
      <c r="D2775">
        <v>399</v>
      </c>
      <c r="E2775">
        <v>199</v>
      </c>
      <c r="F2775" t="s">
        <v>3089</v>
      </c>
      <c r="G2775" t="s">
        <v>3087</v>
      </c>
    </row>
    <row r="2776" spans="1:7" x14ac:dyDescent="0.3">
      <c r="A2776">
        <v>2774</v>
      </c>
      <c r="B2776" t="s">
        <v>3106</v>
      </c>
      <c r="C2776" t="s">
        <v>3086</v>
      </c>
      <c r="D2776">
        <v>399</v>
      </c>
      <c r="E2776">
        <v>199</v>
      </c>
      <c r="F2776" t="s">
        <v>3107</v>
      </c>
      <c r="G2776" t="s">
        <v>3087</v>
      </c>
    </row>
    <row r="2777" spans="1:7" x14ac:dyDescent="0.3">
      <c r="A2777">
        <v>2775</v>
      </c>
      <c r="B2777" t="s">
        <v>3106</v>
      </c>
      <c r="C2777" t="s">
        <v>3086</v>
      </c>
      <c r="D2777">
        <v>399</v>
      </c>
      <c r="E2777">
        <v>199</v>
      </c>
      <c r="F2777" t="s">
        <v>3103</v>
      </c>
      <c r="G2777" t="s">
        <v>3087</v>
      </c>
    </row>
    <row r="2778" spans="1:7" x14ac:dyDescent="0.3">
      <c r="A2778">
        <v>2776</v>
      </c>
      <c r="B2778" t="s">
        <v>3108</v>
      </c>
      <c r="C2778" t="s">
        <v>17</v>
      </c>
      <c r="D2778">
        <v>135</v>
      </c>
      <c r="E2778">
        <v>99</v>
      </c>
      <c r="F2778" t="s">
        <v>2712</v>
      </c>
      <c r="G2778" t="s">
        <v>3087</v>
      </c>
    </row>
    <row r="2779" spans="1:7" x14ac:dyDescent="0.3">
      <c r="A2779">
        <v>2777</v>
      </c>
      <c r="B2779" t="s">
        <v>3109</v>
      </c>
      <c r="C2779" t="s">
        <v>3110</v>
      </c>
      <c r="D2779">
        <v>2000</v>
      </c>
      <c r="E2779">
        <v>1149</v>
      </c>
      <c r="F2779" t="s">
        <v>2712</v>
      </c>
      <c r="G2779" t="s">
        <v>3087</v>
      </c>
    </row>
    <row r="2780" spans="1:7" x14ac:dyDescent="0.3">
      <c r="A2780">
        <v>2778</v>
      </c>
      <c r="B2780" t="s">
        <v>3111</v>
      </c>
      <c r="C2780" t="s">
        <v>3110</v>
      </c>
      <c r="D2780">
        <v>2000</v>
      </c>
      <c r="E2780">
        <v>1149</v>
      </c>
      <c r="F2780" t="s">
        <v>2712</v>
      </c>
      <c r="G2780" t="s">
        <v>3087</v>
      </c>
    </row>
    <row r="2781" spans="1:7" x14ac:dyDescent="0.3">
      <c r="A2781">
        <v>2779</v>
      </c>
      <c r="B2781" t="s">
        <v>3112</v>
      </c>
      <c r="C2781" t="s">
        <v>3113</v>
      </c>
      <c r="D2781">
        <v>399</v>
      </c>
      <c r="E2781">
        <v>275</v>
      </c>
      <c r="F2781" t="s">
        <v>2712</v>
      </c>
      <c r="G2781" t="s">
        <v>3087</v>
      </c>
    </row>
    <row r="2782" spans="1:7" x14ac:dyDescent="0.3">
      <c r="A2782">
        <v>2780</v>
      </c>
      <c r="B2782" t="s">
        <v>3114</v>
      </c>
      <c r="C2782" t="s">
        <v>3113</v>
      </c>
      <c r="D2782">
        <v>399</v>
      </c>
      <c r="E2782">
        <v>275</v>
      </c>
      <c r="F2782" t="s">
        <v>2712</v>
      </c>
      <c r="G2782" t="s">
        <v>3087</v>
      </c>
    </row>
    <row r="2783" spans="1:7" x14ac:dyDescent="0.3">
      <c r="A2783">
        <v>2781</v>
      </c>
      <c r="B2783" t="s">
        <v>3115</v>
      </c>
      <c r="C2783" t="s">
        <v>3113</v>
      </c>
      <c r="D2783">
        <v>399</v>
      </c>
      <c r="E2783">
        <v>275</v>
      </c>
      <c r="F2783" t="s">
        <v>2712</v>
      </c>
      <c r="G2783" t="s">
        <v>3087</v>
      </c>
    </row>
    <row r="2784" spans="1:7" x14ac:dyDescent="0.3">
      <c r="A2784">
        <v>2782</v>
      </c>
      <c r="B2784" t="s">
        <v>3116</v>
      </c>
      <c r="C2784" t="s">
        <v>3113</v>
      </c>
      <c r="D2784">
        <v>399</v>
      </c>
      <c r="E2784">
        <v>275</v>
      </c>
      <c r="F2784" t="s">
        <v>2712</v>
      </c>
      <c r="G2784" t="s">
        <v>3087</v>
      </c>
    </row>
    <row r="2785" spans="1:7" x14ac:dyDescent="0.3">
      <c r="A2785">
        <v>2783</v>
      </c>
      <c r="B2785" t="s">
        <v>3117</v>
      </c>
      <c r="C2785" t="s">
        <v>3113</v>
      </c>
      <c r="D2785">
        <v>399</v>
      </c>
      <c r="E2785">
        <v>275</v>
      </c>
      <c r="F2785" t="s">
        <v>2712</v>
      </c>
      <c r="G2785" t="s">
        <v>3087</v>
      </c>
    </row>
    <row r="2786" spans="1:7" x14ac:dyDescent="0.3">
      <c r="A2786">
        <v>2784</v>
      </c>
      <c r="B2786" t="s">
        <v>3118</v>
      </c>
      <c r="C2786" t="s">
        <v>3113</v>
      </c>
      <c r="D2786">
        <v>399</v>
      </c>
      <c r="E2786">
        <v>275</v>
      </c>
      <c r="F2786" t="s">
        <v>2712</v>
      </c>
      <c r="G2786" t="s">
        <v>3087</v>
      </c>
    </row>
    <row r="2787" spans="1:7" x14ac:dyDescent="0.3">
      <c r="A2787">
        <v>2785</v>
      </c>
      <c r="B2787" t="s">
        <v>3119</v>
      </c>
      <c r="C2787" t="s">
        <v>3113</v>
      </c>
      <c r="D2787">
        <v>399</v>
      </c>
      <c r="E2787">
        <v>275</v>
      </c>
      <c r="F2787" t="s">
        <v>2712</v>
      </c>
      <c r="G2787" t="s">
        <v>3087</v>
      </c>
    </row>
    <row r="2788" spans="1:7" x14ac:dyDescent="0.3">
      <c r="A2788">
        <v>2786</v>
      </c>
      <c r="B2788" t="s">
        <v>3120</v>
      </c>
      <c r="C2788" t="s">
        <v>3113</v>
      </c>
      <c r="D2788">
        <v>399</v>
      </c>
      <c r="E2788">
        <v>275</v>
      </c>
      <c r="F2788" t="s">
        <v>2712</v>
      </c>
      <c r="G2788" t="s">
        <v>3087</v>
      </c>
    </row>
    <row r="2789" spans="1:7" x14ac:dyDescent="0.3">
      <c r="A2789">
        <v>2787</v>
      </c>
      <c r="B2789" t="s">
        <v>3121</v>
      </c>
      <c r="C2789" t="s">
        <v>3113</v>
      </c>
      <c r="D2789">
        <v>399</v>
      </c>
      <c r="E2789">
        <v>275</v>
      </c>
      <c r="F2789" t="s">
        <v>2712</v>
      </c>
      <c r="G2789" t="s">
        <v>3087</v>
      </c>
    </row>
    <row r="2790" spans="1:7" x14ac:dyDescent="0.3">
      <c r="A2790">
        <v>2788</v>
      </c>
      <c r="B2790" t="s">
        <v>3122</v>
      </c>
      <c r="C2790" t="s">
        <v>3113</v>
      </c>
      <c r="D2790">
        <v>399</v>
      </c>
      <c r="E2790">
        <v>275</v>
      </c>
      <c r="F2790" t="s">
        <v>2712</v>
      </c>
      <c r="G2790" t="s">
        <v>3087</v>
      </c>
    </row>
    <row r="2791" spans="1:7" x14ac:dyDescent="0.3">
      <c r="A2791">
        <v>2789</v>
      </c>
      <c r="B2791" t="s">
        <v>3123</v>
      </c>
      <c r="C2791" t="s">
        <v>3113</v>
      </c>
      <c r="D2791">
        <v>399</v>
      </c>
      <c r="E2791">
        <v>275</v>
      </c>
      <c r="F2791" t="s">
        <v>2712</v>
      </c>
      <c r="G2791" t="s">
        <v>3087</v>
      </c>
    </row>
    <row r="2792" spans="1:7" x14ac:dyDescent="0.3">
      <c r="A2792">
        <v>2790</v>
      </c>
      <c r="B2792" t="s">
        <v>3124</v>
      </c>
      <c r="C2792" t="s">
        <v>3113</v>
      </c>
      <c r="D2792">
        <v>200</v>
      </c>
      <c r="E2792">
        <v>149</v>
      </c>
      <c r="F2792" t="s">
        <v>2712</v>
      </c>
      <c r="G2792" t="s">
        <v>3087</v>
      </c>
    </row>
    <row r="2793" spans="1:7" x14ac:dyDescent="0.3">
      <c r="A2793">
        <v>2791</v>
      </c>
      <c r="B2793" t="s">
        <v>3125</v>
      </c>
      <c r="C2793" t="s">
        <v>3110</v>
      </c>
      <c r="D2793">
        <v>3200</v>
      </c>
      <c r="E2793">
        <v>2499</v>
      </c>
      <c r="F2793" t="s">
        <v>2712</v>
      </c>
      <c r="G2793" t="s">
        <v>3087</v>
      </c>
    </row>
    <row r="2794" spans="1:7" x14ac:dyDescent="0.3">
      <c r="A2794">
        <v>2792</v>
      </c>
      <c r="B2794" t="s">
        <v>3126</v>
      </c>
      <c r="C2794" t="s">
        <v>2864</v>
      </c>
      <c r="D2794">
        <v>347</v>
      </c>
      <c r="E2794">
        <v>294</v>
      </c>
      <c r="F2794" t="s">
        <v>246</v>
      </c>
      <c r="G2794" t="s">
        <v>3127</v>
      </c>
    </row>
    <row r="2795" spans="1:7" x14ac:dyDescent="0.3">
      <c r="A2795">
        <v>2793</v>
      </c>
      <c r="B2795" t="s">
        <v>3126</v>
      </c>
      <c r="C2795" t="s">
        <v>2864</v>
      </c>
      <c r="D2795">
        <v>98</v>
      </c>
      <c r="E2795">
        <v>91</v>
      </c>
      <c r="F2795" t="s">
        <v>399</v>
      </c>
      <c r="G2795" t="s">
        <v>3127</v>
      </c>
    </row>
    <row r="2796" spans="1:7" x14ac:dyDescent="0.3">
      <c r="A2796">
        <v>2794</v>
      </c>
      <c r="B2796" t="s">
        <v>3126</v>
      </c>
      <c r="C2796" t="s">
        <v>2864</v>
      </c>
      <c r="D2796">
        <v>193</v>
      </c>
      <c r="E2796">
        <v>173</v>
      </c>
      <c r="F2796" t="s">
        <v>391</v>
      </c>
      <c r="G2796" t="s">
        <v>3127</v>
      </c>
    </row>
    <row r="2797" spans="1:7" x14ac:dyDescent="0.3">
      <c r="A2797">
        <v>2795</v>
      </c>
      <c r="B2797" t="s">
        <v>3128</v>
      </c>
      <c r="C2797" t="s">
        <v>3129</v>
      </c>
      <c r="D2797">
        <v>165</v>
      </c>
      <c r="E2797">
        <v>130</v>
      </c>
      <c r="F2797" t="s">
        <v>1527</v>
      </c>
      <c r="G2797" t="s">
        <v>3127</v>
      </c>
    </row>
    <row r="2798" spans="1:7" x14ac:dyDescent="0.3">
      <c r="A2798">
        <v>2796</v>
      </c>
      <c r="B2798" t="s">
        <v>3130</v>
      </c>
      <c r="C2798" t="s">
        <v>2864</v>
      </c>
      <c r="D2798">
        <v>159</v>
      </c>
      <c r="E2798">
        <v>147</v>
      </c>
      <c r="F2798" t="s">
        <v>1527</v>
      </c>
      <c r="G2798" t="s">
        <v>3127</v>
      </c>
    </row>
    <row r="2799" spans="1:7" x14ac:dyDescent="0.3">
      <c r="A2799">
        <v>2797</v>
      </c>
      <c r="B2799" t="s">
        <v>3131</v>
      </c>
      <c r="C2799" t="s">
        <v>3132</v>
      </c>
      <c r="D2799">
        <v>10990</v>
      </c>
      <c r="E2799">
        <v>7999</v>
      </c>
      <c r="F2799" t="s">
        <v>3004</v>
      </c>
      <c r="G2799" t="s">
        <v>3127</v>
      </c>
    </row>
    <row r="2800" spans="1:7" x14ac:dyDescent="0.3">
      <c r="A2800">
        <v>2798</v>
      </c>
      <c r="B2800" t="s">
        <v>3133</v>
      </c>
      <c r="C2800" t="s">
        <v>3134</v>
      </c>
      <c r="D2800">
        <v>210</v>
      </c>
      <c r="E2800">
        <v>140</v>
      </c>
      <c r="F2800" t="s">
        <v>3135</v>
      </c>
      <c r="G2800" t="s">
        <v>2945</v>
      </c>
    </row>
    <row r="2801" spans="1:7" x14ac:dyDescent="0.3">
      <c r="A2801">
        <v>2799</v>
      </c>
      <c r="B2801" t="s">
        <v>3136</v>
      </c>
      <c r="C2801" t="s">
        <v>3134</v>
      </c>
      <c r="D2801">
        <v>249</v>
      </c>
      <c r="E2801">
        <v>199</v>
      </c>
      <c r="F2801" t="s">
        <v>3137</v>
      </c>
      <c r="G2801" t="s">
        <v>2945</v>
      </c>
    </row>
    <row r="2802" spans="1:7" x14ac:dyDescent="0.3">
      <c r="A2802">
        <v>2800</v>
      </c>
      <c r="B2802" t="s">
        <v>3138</v>
      </c>
      <c r="C2802" t="s">
        <v>3134</v>
      </c>
      <c r="D2802">
        <v>249</v>
      </c>
      <c r="E2802">
        <v>155</v>
      </c>
      <c r="F2802" t="s">
        <v>3139</v>
      </c>
      <c r="G2802" t="s">
        <v>2945</v>
      </c>
    </row>
    <row r="2803" spans="1:7" x14ac:dyDescent="0.3">
      <c r="A2803">
        <v>2801</v>
      </c>
      <c r="B2803" t="s">
        <v>3140</v>
      </c>
      <c r="C2803" t="s">
        <v>3134</v>
      </c>
      <c r="D2803">
        <v>249</v>
      </c>
      <c r="E2803">
        <v>199</v>
      </c>
      <c r="F2803" t="s">
        <v>3141</v>
      </c>
      <c r="G2803" t="s">
        <v>2945</v>
      </c>
    </row>
    <row r="2804" spans="1:7" x14ac:dyDescent="0.3">
      <c r="A2804">
        <v>2802</v>
      </c>
      <c r="B2804" t="s">
        <v>3142</v>
      </c>
      <c r="C2804" t="s">
        <v>3143</v>
      </c>
      <c r="D2804">
        <v>650</v>
      </c>
      <c r="E2804">
        <v>479</v>
      </c>
      <c r="F2804" t="s">
        <v>3144</v>
      </c>
      <c r="G2804" t="s">
        <v>3145</v>
      </c>
    </row>
    <row r="2805" spans="1:7" x14ac:dyDescent="0.3">
      <c r="A2805">
        <v>2803</v>
      </c>
      <c r="B2805" t="s">
        <v>3142</v>
      </c>
      <c r="C2805" t="s">
        <v>3143</v>
      </c>
      <c r="D2805">
        <v>125</v>
      </c>
      <c r="E2805">
        <v>105</v>
      </c>
      <c r="F2805" t="s">
        <v>3146</v>
      </c>
      <c r="G2805" t="s">
        <v>3145</v>
      </c>
    </row>
    <row r="2806" spans="1:7" x14ac:dyDescent="0.3">
      <c r="A2806">
        <v>2804</v>
      </c>
      <c r="B2806" t="s">
        <v>3147</v>
      </c>
      <c r="C2806" t="s">
        <v>3148</v>
      </c>
      <c r="D2806">
        <v>120</v>
      </c>
      <c r="E2806">
        <v>109</v>
      </c>
      <c r="F2806" t="s">
        <v>1118</v>
      </c>
      <c r="G2806" t="s">
        <v>3145</v>
      </c>
    </row>
    <row r="2807" spans="1:7" x14ac:dyDescent="0.3">
      <c r="A2807">
        <v>2805</v>
      </c>
      <c r="B2807" t="s">
        <v>3133</v>
      </c>
      <c r="C2807" t="s">
        <v>3134</v>
      </c>
      <c r="D2807">
        <v>250</v>
      </c>
      <c r="E2807">
        <v>150</v>
      </c>
      <c r="F2807" t="s">
        <v>3149</v>
      </c>
      <c r="G2807" t="s">
        <v>3145</v>
      </c>
    </row>
    <row r="2808" spans="1:7" x14ac:dyDescent="0.3">
      <c r="A2808">
        <v>2806</v>
      </c>
      <c r="B2808" t="s">
        <v>3150</v>
      </c>
      <c r="C2808" t="s">
        <v>3134</v>
      </c>
      <c r="D2808">
        <v>229</v>
      </c>
      <c r="E2808">
        <v>140</v>
      </c>
      <c r="F2808" t="s">
        <v>3151</v>
      </c>
      <c r="G2808" t="s">
        <v>3145</v>
      </c>
    </row>
    <row r="2809" spans="1:7" x14ac:dyDescent="0.3">
      <c r="A2809">
        <v>2807</v>
      </c>
      <c r="B2809" t="s">
        <v>3152</v>
      </c>
      <c r="C2809" t="s">
        <v>3153</v>
      </c>
      <c r="D2809">
        <v>130</v>
      </c>
      <c r="E2809">
        <v>65</v>
      </c>
      <c r="F2809" t="s">
        <v>3154</v>
      </c>
      <c r="G2809" t="s">
        <v>1510</v>
      </c>
    </row>
    <row r="2810" spans="1:7" x14ac:dyDescent="0.3">
      <c r="A2810">
        <v>2808</v>
      </c>
      <c r="B2810" t="s">
        <v>3155</v>
      </c>
      <c r="C2810" t="s">
        <v>3156</v>
      </c>
      <c r="D2810">
        <v>175</v>
      </c>
      <c r="E2810">
        <v>87</v>
      </c>
      <c r="F2810" t="s">
        <v>3154</v>
      </c>
      <c r="G2810" t="s">
        <v>1510</v>
      </c>
    </row>
    <row r="2811" spans="1:7" x14ac:dyDescent="0.3">
      <c r="A2811">
        <v>2809</v>
      </c>
      <c r="B2811" t="s">
        <v>3157</v>
      </c>
      <c r="C2811" t="s">
        <v>3158</v>
      </c>
      <c r="D2811">
        <v>95</v>
      </c>
      <c r="E2811">
        <v>47</v>
      </c>
      <c r="F2811" t="s">
        <v>3159</v>
      </c>
      <c r="G2811" t="s">
        <v>1510</v>
      </c>
    </row>
    <row r="2812" spans="1:7" x14ac:dyDescent="0.3">
      <c r="A2812">
        <v>2810</v>
      </c>
      <c r="B2812" t="s">
        <v>3157</v>
      </c>
      <c r="C2812" t="s">
        <v>3158</v>
      </c>
      <c r="D2812">
        <v>165</v>
      </c>
      <c r="E2812">
        <v>82</v>
      </c>
      <c r="F2812" t="s">
        <v>3154</v>
      </c>
      <c r="G2812" t="s">
        <v>1510</v>
      </c>
    </row>
    <row r="2813" spans="1:7" x14ac:dyDescent="0.3">
      <c r="A2813">
        <v>2811</v>
      </c>
      <c r="B2813" t="s">
        <v>3160</v>
      </c>
      <c r="C2813" t="s">
        <v>3156</v>
      </c>
      <c r="D2813">
        <v>95</v>
      </c>
      <c r="E2813">
        <v>47</v>
      </c>
      <c r="F2813" t="s">
        <v>3161</v>
      </c>
      <c r="G2813" t="s">
        <v>1510</v>
      </c>
    </row>
    <row r="2814" spans="1:7" x14ac:dyDescent="0.3">
      <c r="A2814">
        <v>2812</v>
      </c>
      <c r="B2814" t="s">
        <v>3162</v>
      </c>
      <c r="C2814" t="s">
        <v>3163</v>
      </c>
      <c r="D2814">
        <v>95</v>
      </c>
      <c r="E2814">
        <v>47</v>
      </c>
      <c r="F2814" t="s">
        <v>3159</v>
      </c>
      <c r="G2814" t="s">
        <v>1510</v>
      </c>
    </row>
    <row r="2815" spans="1:7" x14ac:dyDescent="0.3">
      <c r="A2815">
        <v>2813</v>
      </c>
      <c r="B2815" t="s">
        <v>3164</v>
      </c>
      <c r="C2815" t="s">
        <v>3156</v>
      </c>
      <c r="D2815">
        <v>95</v>
      </c>
      <c r="E2815">
        <v>47</v>
      </c>
      <c r="F2815" t="s">
        <v>3165</v>
      </c>
      <c r="G2815" t="s">
        <v>1510</v>
      </c>
    </row>
    <row r="2816" spans="1:7" x14ac:dyDescent="0.3">
      <c r="A2816">
        <v>2814</v>
      </c>
      <c r="B2816" t="s">
        <v>3166</v>
      </c>
      <c r="C2816" t="s">
        <v>17</v>
      </c>
      <c r="D2816">
        <v>99</v>
      </c>
      <c r="E2816">
        <v>59</v>
      </c>
      <c r="F2816" t="s">
        <v>3167</v>
      </c>
      <c r="G2816" t="s">
        <v>3145</v>
      </c>
    </row>
    <row r="2817" spans="1:7" x14ac:dyDescent="0.3">
      <c r="A2817">
        <v>2815</v>
      </c>
      <c r="B2817" t="s">
        <v>3166</v>
      </c>
      <c r="C2817" t="s">
        <v>17</v>
      </c>
      <c r="D2817">
        <v>99</v>
      </c>
      <c r="E2817">
        <v>59</v>
      </c>
      <c r="F2817" t="s">
        <v>3168</v>
      </c>
      <c r="G2817" t="s">
        <v>3145</v>
      </c>
    </row>
    <row r="2818" spans="1:7" x14ac:dyDescent="0.3">
      <c r="A2818">
        <v>2816</v>
      </c>
      <c r="B2818" t="s">
        <v>3169</v>
      </c>
      <c r="C2818" t="s">
        <v>3170</v>
      </c>
      <c r="D2818">
        <v>130</v>
      </c>
      <c r="E2818">
        <v>69</v>
      </c>
      <c r="F2818" t="s">
        <v>3168</v>
      </c>
      <c r="G2818" t="s">
        <v>3145</v>
      </c>
    </row>
    <row r="2819" spans="1:7" x14ac:dyDescent="0.3">
      <c r="A2819">
        <v>2817</v>
      </c>
      <c r="B2819" t="s">
        <v>3169</v>
      </c>
      <c r="C2819" t="s">
        <v>3170</v>
      </c>
      <c r="D2819">
        <v>130</v>
      </c>
      <c r="E2819">
        <v>69</v>
      </c>
      <c r="F2819" t="s">
        <v>3167</v>
      </c>
      <c r="G2819" t="s">
        <v>3145</v>
      </c>
    </row>
    <row r="2820" spans="1:7" x14ac:dyDescent="0.3">
      <c r="A2820">
        <v>2818</v>
      </c>
      <c r="B2820" t="s">
        <v>3171</v>
      </c>
      <c r="C2820" t="s">
        <v>3172</v>
      </c>
      <c r="D2820">
        <v>250</v>
      </c>
      <c r="E2820">
        <v>119</v>
      </c>
      <c r="F2820" t="s">
        <v>3168</v>
      </c>
      <c r="G2820" t="s">
        <v>3145</v>
      </c>
    </row>
    <row r="2821" spans="1:7" x14ac:dyDescent="0.3">
      <c r="A2821">
        <v>2819</v>
      </c>
      <c r="B2821" t="s">
        <v>3171</v>
      </c>
      <c r="C2821" t="s">
        <v>3172</v>
      </c>
      <c r="D2821">
        <v>250</v>
      </c>
      <c r="E2821">
        <v>119</v>
      </c>
      <c r="F2821" t="s">
        <v>3167</v>
      </c>
      <c r="G2821" t="s">
        <v>3145</v>
      </c>
    </row>
    <row r="2822" spans="1:7" x14ac:dyDescent="0.3">
      <c r="A2822">
        <v>2820</v>
      </c>
      <c r="B2822" t="s">
        <v>3173</v>
      </c>
      <c r="C2822" t="s">
        <v>3174</v>
      </c>
      <c r="D2822">
        <v>240</v>
      </c>
      <c r="E2822">
        <v>135</v>
      </c>
      <c r="F2822" t="s">
        <v>3175</v>
      </c>
      <c r="G2822" t="s">
        <v>3145</v>
      </c>
    </row>
    <row r="2823" spans="1:7" x14ac:dyDescent="0.3">
      <c r="A2823">
        <v>2821</v>
      </c>
      <c r="B2823" t="s">
        <v>3176</v>
      </c>
      <c r="C2823" t="s">
        <v>3156</v>
      </c>
      <c r="D2823">
        <v>175</v>
      </c>
      <c r="E2823">
        <v>87</v>
      </c>
      <c r="F2823" t="s">
        <v>2739</v>
      </c>
      <c r="G2823" t="s">
        <v>3145</v>
      </c>
    </row>
    <row r="2824" spans="1:7" x14ac:dyDescent="0.3">
      <c r="A2824">
        <v>2822</v>
      </c>
      <c r="B2824" t="s">
        <v>3177</v>
      </c>
      <c r="C2824" t="s">
        <v>3158</v>
      </c>
      <c r="D2824">
        <v>155</v>
      </c>
      <c r="E2824">
        <v>77</v>
      </c>
      <c r="F2824" t="s">
        <v>2739</v>
      </c>
      <c r="G2824" t="s">
        <v>3145</v>
      </c>
    </row>
    <row r="2825" spans="1:7" x14ac:dyDescent="0.3">
      <c r="A2825">
        <v>2823</v>
      </c>
      <c r="B2825" t="s">
        <v>3177</v>
      </c>
      <c r="C2825" t="s">
        <v>3158</v>
      </c>
      <c r="D2825">
        <v>290</v>
      </c>
      <c r="E2825">
        <v>145</v>
      </c>
      <c r="F2825" t="s">
        <v>2691</v>
      </c>
      <c r="G2825" t="s">
        <v>3145</v>
      </c>
    </row>
    <row r="2826" spans="1:7" x14ac:dyDescent="0.3">
      <c r="A2826">
        <v>2824</v>
      </c>
      <c r="B2826" t="s">
        <v>3178</v>
      </c>
      <c r="C2826" t="s">
        <v>3153</v>
      </c>
      <c r="D2826">
        <v>50</v>
      </c>
      <c r="E2826">
        <v>25</v>
      </c>
      <c r="F2826" t="s">
        <v>3159</v>
      </c>
      <c r="G2826" t="s">
        <v>3145</v>
      </c>
    </row>
    <row r="2827" spans="1:7" x14ac:dyDescent="0.3">
      <c r="A2827">
        <v>2825</v>
      </c>
      <c r="B2827" t="s">
        <v>3179</v>
      </c>
      <c r="C2827" t="s">
        <v>3180</v>
      </c>
      <c r="D2827">
        <v>57</v>
      </c>
      <c r="E2827">
        <v>28</v>
      </c>
      <c r="F2827" t="s">
        <v>3159</v>
      </c>
      <c r="G2827" t="s">
        <v>3145</v>
      </c>
    </row>
    <row r="2828" spans="1:7" x14ac:dyDescent="0.3">
      <c r="A2828">
        <v>2826</v>
      </c>
      <c r="B2828" t="s">
        <v>3181</v>
      </c>
      <c r="C2828" t="s">
        <v>3182</v>
      </c>
      <c r="D2828">
        <v>84</v>
      </c>
      <c r="E2828">
        <v>51</v>
      </c>
      <c r="F2828" t="s">
        <v>3159</v>
      </c>
      <c r="G2828" t="s">
        <v>3145</v>
      </c>
    </row>
    <row r="2829" spans="1:7" x14ac:dyDescent="0.3">
      <c r="A2829">
        <v>2827</v>
      </c>
      <c r="B2829" t="s">
        <v>3181</v>
      </c>
      <c r="C2829" t="s">
        <v>3182</v>
      </c>
      <c r="D2829">
        <v>80</v>
      </c>
      <c r="E2829">
        <v>55</v>
      </c>
      <c r="F2829" t="s">
        <v>3159</v>
      </c>
      <c r="G2829" t="s">
        <v>3145</v>
      </c>
    </row>
    <row r="2830" spans="1:7" x14ac:dyDescent="0.3">
      <c r="A2830">
        <v>2828</v>
      </c>
      <c r="B2830" t="s">
        <v>3183</v>
      </c>
      <c r="C2830" t="s">
        <v>1753</v>
      </c>
      <c r="D2830">
        <v>42</v>
      </c>
      <c r="E2830">
        <v>17</v>
      </c>
      <c r="F2830" t="s">
        <v>3184</v>
      </c>
      <c r="G2830" t="s">
        <v>3145</v>
      </c>
    </row>
    <row r="2831" spans="1:7" x14ac:dyDescent="0.3">
      <c r="A2831">
        <v>2829</v>
      </c>
      <c r="B2831" t="s">
        <v>3185</v>
      </c>
      <c r="C2831" t="s">
        <v>17</v>
      </c>
      <c r="D2831">
        <v>80</v>
      </c>
      <c r="E2831">
        <v>59</v>
      </c>
      <c r="F2831" t="s">
        <v>3186</v>
      </c>
      <c r="G2831" t="s">
        <v>3145</v>
      </c>
    </row>
    <row r="2832" spans="1:7" x14ac:dyDescent="0.3">
      <c r="A2832">
        <v>2830</v>
      </c>
      <c r="B2832" t="s">
        <v>3187</v>
      </c>
      <c r="C2832" t="s">
        <v>3156</v>
      </c>
      <c r="D2832">
        <v>80</v>
      </c>
      <c r="E2832">
        <v>40</v>
      </c>
      <c r="F2832" t="s">
        <v>3188</v>
      </c>
      <c r="G2832" t="s">
        <v>3145</v>
      </c>
    </row>
    <row r="2833" spans="1:7" x14ac:dyDescent="0.3">
      <c r="A2833">
        <v>2831</v>
      </c>
      <c r="B2833" t="s">
        <v>3189</v>
      </c>
      <c r="C2833" t="s">
        <v>3156</v>
      </c>
      <c r="D2833">
        <v>75</v>
      </c>
      <c r="E2833">
        <v>45</v>
      </c>
      <c r="F2833" t="s">
        <v>3159</v>
      </c>
      <c r="G2833" t="s">
        <v>3145</v>
      </c>
    </row>
    <row r="2834" spans="1:7" x14ac:dyDescent="0.3">
      <c r="A2834">
        <v>2832</v>
      </c>
      <c r="B2834" t="s">
        <v>3190</v>
      </c>
      <c r="C2834" t="s">
        <v>3158</v>
      </c>
      <c r="D2834">
        <v>350</v>
      </c>
      <c r="E2834">
        <v>175</v>
      </c>
      <c r="F2834" t="s">
        <v>1094</v>
      </c>
      <c r="G2834" t="s">
        <v>3145</v>
      </c>
    </row>
    <row r="2835" spans="1:7" x14ac:dyDescent="0.3">
      <c r="A2835">
        <v>2833</v>
      </c>
      <c r="B2835" t="s">
        <v>3191</v>
      </c>
      <c r="C2835" t="s">
        <v>3156</v>
      </c>
      <c r="D2835">
        <v>270</v>
      </c>
      <c r="E2835">
        <v>135</v>
      </c>
      <c r="F2835" t="s">
        <v>3192</v>
      </c>
      <c r="G2835" t="s">
        <v>3145</v>
      </c>
    </row>
    <row r="2836" spans="1:7" x14ac:dyDescent="0.3">
      <c r="A2836">
        <v>2834</v>
      </c>
      <c r="B2836" t="s">
        <v>3193</v>
      </c>
      <c r="C2836" t="s">
        <v>3180</v>
      </c>
      <c r="D2836">
        <v>350</v>
      </c>
      <c r="E2836">
        <v>175</v>
      </c>
      <c r="F2836" t="s">
        <v>1094</v>
      </c>
      <c r="G2836" t="s">
        <v>3145</v>
      </c>
    </row>
    <row r="2837" spans="1:7" x14ac:dyDescent="0.3">
      <c r="A2837">
        <v>2835</v>
      </c>
      <c r="B2837" t="s">
        <v>3194</v>
      </c>
      <c r="C2837" t="s">
        <v>3153</v>
      </c>
      <c r="D2837">
        <v>300</v>
      </c>
      <c r="E2837">
        <v>150</v>
      </c>
      <c r="F2837" t="s">
        <v>1094</v>
      </c>
      <c r="G2837" t="s">
        <v>3145</v>
      </c>
    </row>
    <row r="2838" spans="1:7" x14ac:dyDescent="0.3">
      <c r="A2838">
        <v>2836</v>
      </c>
      <c r="B2838" t="s">
        <v>3195</v>
      </c>
      <c r="C2838" t="s">
        <v>3182</v>
      </c>
      <c r="D2838">
        <v>385</v>
      </c>
      <c r="E2838">
        <v>258</v>
      </c>
      <c r="F2838" t="s">
        <v>1094</v>
      </c>
      <c r="G2838" t="s">
        <v>3145</v>
      </c>
    </row>
    <row r="2839" spans="1:7" x14ac:dyDescent="0.3">
      <c r="A2839">
        <v>2837</v>
      </c>
      <c r="B2839" t="s">
        <v>3196</v>
      </c>
      <c r="C2839" t="s">
        <v>3197</v>
      </c>
      <c r="D2839">
        <v>285</v>
      </c>
      <c r="E2839">
        <v>215</v>
      </c>
      <c r="F2839" t="s">
        <v>2712</v>
      </c>
      <c r="G2839" t="s">
        <v>3198</v>
      </c>
    </row>
    <row r="2840" spans="1:7" x14ac:dyDescent="0.3">
      <c r="A2840">
        <v>2838</v>
      </c>
      <c r="B2840" t="s">
        <v>3199</v>
      </c>
      <c r="C2840" t="s">
        <v>3197</v>
      </c>
      <c r="D2840">
        <v>285</v>
      </c>
      <c r="E2840">
        <v>215</v>
      </c>
      <c r="F2840" t="s">
        <v>2712</v>
      </c>
      <c r="G2840" t="s">
        <v>3198</v>
      </c>
    </row>
    <row r="2841" spans="1:7" x14ac:dyDescent="0.3">
      <c r="A2841">
        <v>2839</v>
      </c>
      <c r="B2841" t="s">
        <v>3200</v>
      </c>
      <c r="C2841" t="s">
        <v>3197</v>
      </c>
      <c r="D2841">
        <v>285</v>
      </c>
      <c r="E2841">
        <v>215</v>
      </c>
      <c r="F2841" t="s">
        <v>2712</v>
      </c>
      <c r="G2841" t="s">
        <v>3198</v>
      </c>
    </row>
    <row r="2842" spans="1:7" x14ac:dyDescent="0.3">
      <c r="A2842">
        <v>2840</v>
      </c>
      <c r="B2842" t="s">
        <v>3201</v>
      </c>
      <c r="C2842" t="s">
        <v>3202</v>
      </c>
      <c r="D2842">
        <v>90</v>
      </c>
      <c r="E2842">
        <v>79</v>
      </c>
      <c r="F2842" t="s">
        <v>2739</v>
      </c>
      <c r="G2842" t="s">
        <v>2961</v>
      </c>
    </row>
    <row r="2843" spans="1:7" x14ac:dyDescent="0.3">
      <c r="A2843">
        <v>2841</v>
      </c>
      <c r="B2843" t="s">
        <v>3203</v>
      </c>
      <c r="C2843" t="s">
        <v>3204</v>
      </c>
      <c r="D2843">
        <v>165</v>
      </c>
      <c r="E2843">
        <v>99</v>
      </c>
      <c r="F2843" t="s">
        <v>2712</v>
      </c>
      <c r="G2843" t="s">
        <v>2961</v>
      </c>
    </row>
    <row r="2844" spans="1:7" x14ac:dyDescent="0.3">
      <c r="A2844">
        <v>2842</v>
      </c>
      <c r="B2844" t="s">
        <v>3205</v>
      </c>
      <c r="C2844" t="s">
        <v>2959</v>
      </c>
      <c r="D2844">
        <v>190</v>
      </c>
      <c r="E2844">
        <v>149</v>
      </c>
      <c r="F2844" t="s">
        <v>2712</v>
      </c>
      <c r="G2844" t="s">
        <v>2961</v>
      </c>
    </row>
    <row r="2845" spans="1:7" x14ac:dyDescent="0.3">
      <c r="A2845">
        <v>2843</v>
      </c>
      <c r="B2845" t="s">
        <v>3206</v>
      </c>
      <c r="C2845" t="s">
        <v>2959</v>
      </c>
      <c r="D2845">
        <v>210</v>
      </c>
      <c r="E2845">
        <v>189</v>
      </c>
      <c r="F2845" t="s">
        <v>2712</v>
      </c>
      <c r="G2845" t="s">
        <v>2961</v>
      </c>
    </row>
    <row r="2846" spans="1:7" x14ac:dyDescent="0.3">
      <c r="A2846">
        <v>2844</v>
      </c>
      <c r="B2846" t="s">
        <v>3207</v>
      </c>
      <c r="C2846" t="s">
        <v>2959</v>
      </c>
      <c r="D2846">
        <v>120</v>
      </c>
      <c r="E2846">
        <v>99</v>
      </c>
      <c r="F2846" t="s">
        <v>2712</v>
      </c>
      <c r="G2846" t="s">
        <v>2961</v>
      </c>
    </row>
    <row r="2847" spans="1:7" x14ac:dyDescent="0.3">
      <c r="A2847">
        <v>2845</v>
      </c>
      <c r="B2847" t="s">
        <v>3208</v>
      </c>
      <c r="C2847" t="s">
        <v>2959</v>
      </c>
      <c r="D2847">
        <v>210</v>
      </c>
      <c r="E2847">
        <v>159</v>
      </c>
      <c r="F2847" t="s">
        <v>2712</v>
      </c>
      <c r="G2847" t="s">
        <v>2961</v>
      </c>
    </row>
    <row r="2848" spans="1:7" x14ac:dyDescent="0.3">
      <c r="A2848">
        <v>2846</v>
      </c>
      <c r="B2848" t="s">
        <v>3209</v>
      </c>
      <c r="C2848" t="s">
        <v>2965</v>
      </c>
      <c r="D2848">
        <v>325</v>
      </c>
      <c r="E2848">
        <v>259</v>
      </c>
      <c r="F2848" t="s">
        <v>2712</v>
      </c>
      <c r="G2848" t="s">
        <v>2961</v>
      </c>
    </row>
    <row r="2849" spans="1:7" x14ac:dyDescent="0.3">
      <c r="A2849">
        <v>2847</v>
      </c>
      <c r="B2849" t="s">
        <v>3210</v>
      </c>
      <c r="C2849" t="s">
        <v>3211</v>
      </c>
      <c r="D2849">
        <v>199</v>
      </c>
      <c r="E2849">
        <v>129</v>
      </c>
      <c r="F2849" t="s">
        <v>2712</v>
      </c>
      <c r="G2849" t="s">
        <v>2961</v>
      </c>
    </row>
    <row r="2850" spans="1:7" x14ac:dyDescent="0.3">
      <c r="A2850">
        <v>2848</v>
      </c>
      <c r="B2850" t="s">
        <v>3212</v>
      </c>
      <c r="C2850" t="s">
        <v>2959</v>
      </c>
      <c r="D2850">
        <v>85</v>
      </c>
      <c r="E2850">
        <v>77</v>
      </c>
      <c r="F2850" t="s">
        <v>2712</v>
      </c>
      <c r="G2850" t="s">
        <v>2961</v>
      </c>
    </row>
    <row r="2851" spans="1:7" x14ac:dyDescent="0.3">
      <c r="A2851">
        <v>2849</v>
      </c>
      <c r="B2851" t="s">
        <v>3213</v>
      </c>
      <c r="C2851" t="s">
        <v>2959</v>
      </c>
      <c r="D2851">
        <v>190</v>
      </c>
      <c r="E2851">
        <v>171</v>
      </c>
      <c r="F2851" t="s">
        <v>2712</v>
      </c>
      <c r="G2851" t="s">
        <v>2961</v>
      </c>
    </row>
    <row r="2852" spans="1:7" x14ac:dyDescent="0.3">
      <c r="A2852">
        <v>2850</v>
      </c>
      <c r="B2852" t="s">
        <v>3214</v>
      </c>
      <c r="C2852" t="s">
        <v>2959</v>
      </c>
      <c r="D2852">
        <v>300</v>
      </c>
      <c r="E2852">
        <v>239</v>
      </c>
      <c r="F2852" t="s">
        <v>2712</v>
      </c>
      <c r="G2852" t="s">
        <v>2961</v>
      </c>
    </row>
    <row r="2853" spans="1:7" x14ac:dyDescent="0.3">
      <c r="A2853">
        <v>2851</v>
      </c>
      <c r="B2853" t="s">
        <v>3215</v>
      </c>
      <c r="C2853" t="s">
        <v>2959</v>
      </c>
      <c r="D2853">
        <v>215</v>
      </c>
      <c r="E2853">
        <v>175</v>
      </c>
      <c r="F2853" t="s">
        <v>2712</v>
      </c>
      <c r="G2853" t="s">
        <v>2961</v>
      </c>
    </row>
    <row r="2854" spans="1:7" x14ac:dyDescent="0.3">
      <c r="A2854">
        <v>2852</v>
      </c>
      <c r="B2854" t="s">
        <v>3216</v>
      </c>
      <c r="C2854" t="s">
        <v>3217</v>
      </c>
      <c r="D2854">
        <v>397</v>
      </c>
      <c r="E2854">
        <v>199</v>
      </c>
      <c r="F2854" t="s">
        <v>3218</v>
      </c>
      <c r="G2854" t="s">
        <v>2961</v>
      </c>
    </row>
    <row r="2855" spans="1:7" x14ac:dyDescent="0.3">
      <c r="A2855">
        <v>2853</v>
      </c>
      <c r="B2855" t="s">
        <v>3219</v>
      </c>
      <c r="C2855" t="s">
        <v>17</v>
      </c>
      <c r="D2855">
        <v>665</v>
      </c>
      <c r="E2855">
        <v>599</v>
      </c>
      <c r="F2855" t="s">
        <v>2712</v>
      </c>
      <c r="G2855" t="s">
        <v>2961</v>
      </c>
    </row>
    <row r="2856" spans="1:7" x14ac:dyDescent="0.3">
      <c r="A2856">
        <v>2854</v>
      </c>
      <c r="B2856" t="s">
        <v>3220</v>
      </c>
      <c r="C2856" t="s">
        <v>3221</v>
      </c>
      <c r="D2856">
        <v>249</v>
      </c>
      <c r="E2856">
        <v>99</v>
      </c>
      <c r="F2856" t="s">
        <v>2712</v>
      </c>
      <c r="G2856" t="s">
        <v>2961</v>
      </c>
    </row>
    <row r="2857" spans="1:7" x14ac:dyDescent="0.3">
      <c r="A2857">
        <v>2855</v>
      </c>
      <c r="B2857" t="s">
        <v>3222</v>
      </c>
      <c r="C2857" t="s">
        <v>2965</v>
      </c>
      <c r="D2857">
        <v>105</v>
      </c>
      <c r="E2857">
        <v>85</v>
      </c>
      <c r="F2857" t="s">
        <v>2966</v>
      </c>
      <c r="G2857" t="s">
        <v>2961</v>
      </c>
    </row>
    <row r="2858" spans="1:7" x14ac:dyDescent="0.3">
      <c r="A2858">
        <v>2856</v>
      </c>
      <c r="B2858" t="s">
        <v>3223</v>
      </c>
      <c r="C2858" t="s">
        <v>2965</v>
      </c>
      <c r="D2858">
        <v>75</v>
      </c>
      <c r="E2858">
        <v>65</v>
      </c>
      <c r="F2858" t="s">
        <v>2960</v>
      </c>
      <c r="G2858" t="s">
        <v>2961</v>
      </c>
    </row>
    <row r="2859" spans="1:7" x14ac:dyDescent="0.3">
      <c r="A2859">
        <v>2857</v>
      </c>
      <c r="B2859" t="s">
        <v>3224</v>
      </c>
      <c r="C2859" t="s">
        <v>2965</v>
      </c>
      <c r="D2859">
        <v>35</v>
      </c>
      <c r="E2859">
        <v>18</v>
      </c>
      <c r="F2859" t="s">
        <v>2712</v>
      </c>
      <c r="G2859" t="s">
        <v>2961</v>
      </c>
    </row>
    <row r="2860" spans="1:7" x14ac:dyDescent="0.3">
      <c r="A2860">
        <v>2858</v>
      </c>
      <c r="B2860" t="s">
        <v>2967</v>
      </c>
      <c r="C2860" t="s">
        <v>2959</v>
      </c>
      <c r="D2860">
        <v>45</v>
      </c>
      <c r="E2860">
        <v>33</v>
      </c>
      <c r="F2860" t="s">
        <v>2712</v>
      </c>
      <c r="G2860" t="s">
        <v>2961</v>
      </c>
    </row>
    <row r="2861" spans="1:7" x14ac:dyDescent="0.3">
      <c r="A2861">
        <v>2859</v>
      </c>
      <c r="B2861" t="s">
        <v>3225</v>
      </c>
      <c r="C2861" t="s">
        <v>2959</v>
      </c>
      <c r="D2861">
        <v>40</v>
      </c>
      <c r="E2861">
        <v>20</v>
      </c>
      <c r="F2861" t="s">
        <v>2712</v>
      </c>
      <c r="G2861" t="s">
        <v>2961</v>
      </c>
    </row>
    <row r="2862" spans="1:7" x14ac:dyDescent="0.3">
      <c r="A2862">
        <v>2860</v>
      </c>
      <c r="B2862" t="s">
        <v>3226</v>
      </c>
      <c r="C2862" t="s">
        <v>2959</v>
      </c>
      <c r="D2862">
        <v>165</v>
      </c>
      <c r="E2862">
        <v>149</v>
      </c>
      <c r="F2862" t="s">
        <v>2712</v>
      </c>
      <c r="G2862" t="s">
        <v>2961</v>
      </c>
    </row>
    <row r="2863" spans="1:7" x14ac:dyDescent="0.3">
      <c r="A2863">
        <v>2861</v>
      </c>
      <c r="B2863" t="s">
        <v>3227</v>
      </c>
      <c r="C2863" t="s">
        <v>2965</v>
      </c>
      <c r="D2863">
        <v>90</v>
      </c>
      <c r="E2863">
        <v>79</v>
      </c>
      <c r="F2863" t="s">
        <v>3092</v>
      </c>
      <c r="G2863" t="s">
        <v>2961</v>
      </c>
    </row>
    <row r="2864" spans="1:7" x14ac:dyDescent="0.3">
      <c r="A2864">
        <v>2862</v>
      </c>
      <c r="B2864" t="s">
        <v>3228</v>
      </c>
      <c r="C2864" t="s">
        <v>17</v>
      </c>
      <c r="D2864">
        <v>200</v>
      </c>
      <c r="E2864">
        <v>99</v>
      </c>
      <c r="F2864" t="s">
        <v>3004</v>
      </c>
      <c r="G2864" t="s">
        <v>2961</v>
      </c>
    </row>
    <row r="2865" spans="1:7" x14ac:dyDescent="0.3">
      <c r="A2865">
        <v>2863</v>
      </c>
      <c r="B2865" t="s">
        <v>3229</v>
      </c>
      <c r="C2865" t="s">
        <v>2965</v>
      </c>
      <c r="D2865">
        <v>100</v>
      </c>
      <c r="E2865">
        <v>93</v>
      </c>
      <c r="F2865" t="s">
        <v>3230</v>
      </c>
      <c r="G2865" t="s">
        <v>2961</v>
      </c>
    </row>
    <row r="2866" spans="1:7" x14ac:dyDescent="0.3">
      <c r="A2866">
        <v>2864</v>
      </c>
      <c r="B2866" t="s">
        <v>3231</v>
      </c>
      <c r="C2866" t="s">
        <v>2959</v>
      </c>
      <c r="D2866">
        <v>200</v>
      </c>
      <c r="E2866">
        <v>159</v>
      </c>
      <c r="F2866" t="s">
        <v>2712</v>
      </c>
      <c r="G2866" t="s">
        <v>2961</v>
      </c>
    </row>
    <row r="2867" spans="1:7" x14ac:dyDescent="0.3">
      <c r="A2867">
        <v>2865</v>
      </c>
      <c r="B2867" t="s">
        <v>3232</v>
      </c>
      <c r="C2867" t="s">
        <v>2959</v>
      </c>
      <c r="D2867">
        <v>105</v>
      </c>
      <c r="E2867">
        <v>95</v>
      </c>
      <c r="F2867" t="s">
        <v>2712</v>
      </c>
      <c r="G2867" t="s">
        <v>2961</v>
      </c>
    </row>
    <row r="2868" spans="1:7" x14ac:dyDescent="0.3">
      <c r="A2868">
        <v>2866</v>
      </c>
      <c r="B2868" t="s">
        <v>3233</v>
      </c>
      <c r="C2868" t="s">
        <v>2965</v>
      </c>
      <c r="D2868">
        <v>150</v>
      </c>
      <c r="E2868">
        <v>129</v>
      </c>
      <c r="F2868" t="s">
        <v>2712</v>
      </c>
      <c r="G2868" t="s">
        <v>2961</v>
      </c>
    </row>
    <row r="2869" spans="1:7" x14ac:dyDescent="0.3">
      <c r="A2869">
        <v>2867</v>
      </c>
      <c r="B2869" t="s">
        <v>3234</v>
      </c>
      <c r="C2869" t="s">
        <v>2959</v>
      </c>
      <c r="D2869">
        <v>80</v>
      </c>
      <c r="E2869">
        <v>55</v>
      </c>
      <c r="F2869" t="s">
        <v>2960</v>
      </c>
      <c r="G2869" t="s">
        <v>2961</v>
      </c>
    </row>
    <row r="2870" spans="1:7" x14ac:dyDescent="0.3">
      <c r="A2870">
        <v>2868</v>
      </c>
      <c r="B2870" t="s">
        <v>3235</v>
      </c>
      <c r="C2870" t="s">
        <v>2959</v>
      </c>
      <c r="D2870">
        <v>260</v>
      </c>
      <c r="E2870">
        <v>234</v>
      </c>
      <c r="F2870" t="s">
        <v>2712</v>
      </c>
      <c r="G2870" t="s">
        <v>2961</v>
      </c>
    </row>
    <row r="2871" spans="1:7" x14ac:dyDescent="0.3">
      <c r="A2871">
        <v>2869</v>
      </c>
      <c r="B2871" t="s">
        <v>3236</v>
      </c>
      <c r="C2871" t="s">
        <v>2938</v>
      </c>
      <c r="D2871">
        <v>199</v>
      </c>
      <c r="E2871">
        <v>149</v>
      </c>
      <c r="F2871" t="s">
        <v>2960</v>
      </c>
      <c r="G2871" t="s">
        <v>2961</v>
      </c>
    </row>
    <row r="2872" spans="1:7" x14ac:dyDescent="0.3">
      <c r="A2872">
        <v>2870</v>
      </c>
      <c r="B2872" t="s">
        <v>3237</v>
      </c>
      <c r="C2872" t="s">
        <v>2965</v>
      </c>
      <c r="D2872">
        <v>65</v>
      </c>
      <c r="E2872">
        <v>59</v>
      </c>
      <c r="F2872" t="s">
        <v>2968</v>
      </c>
      <c r="G2872" t="s">
        <v>2961</v>
      </c>
    </row>
    <row r="2873" spans="1:7" x14ac:dyDescent="0.3">
      <c r="A2873">
        <v>2871</v>
      </c>
      <c r="B2873" t="s">
        <v>3238</v>
      </c>
      <c r="C2873" t="s">
        <v>2965</v>
      </c>
      <c r="D2873">
        <v>55</v>
      </c>
      <c r="E2873">
        <v>49</v>
      </c>
      <c r="F2873" t="s">
        <v>2712</v>
      </c>
      <c r="G2873" t="s">
        <v>2961</v>
      </c>
    </row>
    <row r="2874" spans="1:7" x14ac:dyDescent="0.3">
      <c r="A2874">
        <v>2872</v>
      </c>
      <c r="B2874" t="s">
        <v>3239</v>
      </c>
      <c r="C2874" t="s">
        <v>2965</v>
      </c>
      <c r="D2874">
        <v>250</v>
      </c>
      <c r="E2874">
        <v>232</v>
      </c>
      <c r="F2874" t="s">
        <v>2712</v>
      </c>
      <c r="G2874" t="s">
        <v>2961</v>
      </c>
    </row>
    <row r="2875" spans="1:7" x14ac:dyDescent="0.3">
      <c r="A2875">
        <v>2873</v>
      </c>
      <c r="B2875" t="s">
        <v>3240</v>
      </c>
      <c r="C2875" t="s">
        <v>2959</v>
      </c>
      <c r="D2875">
        <v>150</v>
      </c>
      <c r="E2875">
        <v>135</v>
      </c>
      <c r="F2875" t="s">
        <v>2712</v>
      </c>
      <c r="G2875" t="s">
        <v>2961</v>
      </c>
    </row>
    <row r="2876" spans="1:7" x14ac:dyDescent="0.3">
      <c r="A2876">
        <v>2874</v>
      </c>
      <c r="B2876" t="s">
        <v>3241</v>
      </c>
      <c r="C2876" t="s">
        <v>2959</v>
      </c>
      <c r="D2876">
        <v>135</v>
      </c>
      <c r="E2876">
        <v>121</v>
      </c>
      <c r="F2876" t="s">
        <v>2712</v>
      </c>
      <c r="G2876" t="s">
        <v>2961</v>
      </c>
    </row>
    <row r="2877" spans="1:7" x14ac:dyDescent="0.3">
      <c r="A2877">
        <v>2875</v>
      </c>
      <c r="B2877" t="s">
        <v>3242</v>
      </c>
      <c r="C2877" t="s">
        <v>2959</v>
      </c>
      <c r="D2877">
        <v>75</v>
      </c>
      <c r="E2877">
        <v>68</v>
      </c>
      <c r="F2877" t="s">
        <v>2712</v>
      </c>
      <c r="G2877" t="s">
        <v>2961</v>
      </c>
    </row>
    <row r="2878" spans="1:7" x14ac:dyDescent="0.3">
      <c r="A2878">
        <v>2876</v>
      </c>
      <c r="B2878" t="s">
        <v>3243</v>
      </c>
      <c r="C2878" t="s">
        <v>2959</v>
      </c>
      <c r="D2878">
        <v>150</v>
      </c>
      <c r="E2878">
        <v>135</v>
      </c>
      <c r="F2878" t="s">
        <v>2712</v>
      </c>
      <c r="G2878" t="s">
        <v>2961</v>
      </c>
    </row>
    <row r="2879" spans="1:7" x14ac:dyDescent="0.3">
      <c r="A2879">
        <v>2877</v>
      </c>
      <c r="B2879" t="s">
        <v>3244</v>
      </c>
      <c r="C2879" t="s">
        <v>2895</v>
      </c>
      <c r="D2879">
        <v>109</v>
      </c>
      <c r="E2879">
        <v>89</v>
      </c>
      <c r="F2879" t="s">
        <v>2712</v>
      </c>
      <c r="G2879" t="s">
        <v>2961</v>
      </c>
    </row>
    <row r="2880" spans="1:7" x14ac:dyDescent="0.3">
      <c r="A2880">
        <v>2878</v>
      </c>
      <c r="B2880" t="s">
        <v>3245</v>
      </c>
      <c r="C2880" t="s">
        <v>3246</v>
      </c>
      <c r="D2880">
        <v>255</v>
      </c>
      <c r="E2880">
        <v>229</v>
      </c>
      <c r="F2880" t="s">
        <v>3247</v>
      </c>
      <c r="G2880" t="s">
        <v>2961</v>
      </c>
    </row>
    <row r="2881" spans="1:7" x14ac:dyDescent="0.3">
      <c r="A2881">
        <v>2879</v>
      </c>
      <c r="B2881" t="s">
        <v>3248</v>
      </c>
      <c r="C2881" t="s">
        <v>2959</v>
      </c>
      <c r="D2881">
        <v>55</v>
      </c>
      <c r="E2881">
        <v>50</v>
      </c>
      <c r="F2881" t="s">
        <v>2712</v>
      </c>
      <c r="G2881" t="s">
        <v>2961</v>
      </c>
    </row>
    <row r="2882" spans="1:7" x14ac:dyDescent="0.3">
      <c r="A2882">
        <v>2880</v>
      </c>
      <c r="B2882" t="s">
        <v>3249</v>
      </c>
      <c r="C2882" t="s">
        <v>2959</v>
      </c>
      <c r="D2882">
        <v>30</v>
      </c>
      <c r="E2882">
        <v>27</v>
      </c>
      <c r="F2882" t="s">
        <v>2712</v>
      </c>
      <c r="G2882" t="s">
        <v>2961</v>
      </c>
    </row>
    <row r="2883" spans="1:7" x14ac:dyDescent="0.3">
      <c r="A2883">
        <v>2881</v>
      </c>
      <c r="B2883" t="s">
        <v>3250</v>
      </c>
      <c r="C2883" t="s">
        <v>2965</v>
      </c>
      <c r="D2883">
        <v>560</v>
      </c>
      <c r="E2883">
        <v>499</v>
      </c>
      <c r="F2883" t="s">
        <v>2712</v>
      </c>
      <c r="G2883" t="s">
        <v>2961</v>
      </c>
    </row>
    <row r="2884" spans="1:7" x14ac:dyDescent="0.3">
      <c r="A2884">
        <v>2882</v>
      </c>
      <c r="B2884" t="s">
        <v>3251</v>
      </c>
      <c r="C2884" t="s">
        <v>2965</v>
      </c>
      <c r="D2884">
        <v>55</v>
      </c>
      <c r="E2884">
        <v>51</v>
      </c>
      <c r="F2884" t="s">
        <v>3252</v>
      </c>
      <c r="G2884" t="s">
        <v>2961</v>
      </c>
    </row>
    <row r="2885" spans="1:7" x14ac:dyDescent="0.3">
      <c r="A2885">
        <v>2883</v>
      </c>
      <c r="B2885" t="s">
        <v>3253</v>
      </c>
      <c r="C2885" t="s">
        <v>2965</v>
      </c>
      <c r="D2885">
        <v>240</v>
      </c>
      <c r="E2885">
        <v>165</v>
      </c>
      <c r="F2885" t="s">
        <v>3254</v>
      </c>
      <c r="G2885" t="s">
        <v>2961</v>
      </c>
    </row>
    <row r="2886" spans="1:7" x14ac:dyDescent="0.3">
      <c r="A2886">
        <v>2884</v>
      </c>
      <c r="B2886" t="s">
        <v>3255</v>
      </c>
      <c r="C2886" t="s">
        <v>2959</v>
      </c>
      <c r="D2886">
        <v>315</v>
      </c>
      <c r="E2886">
        <v>283</v>
      </c>
      <c r="F2886" t="s">
        <v>2691</v>
      </c>
      <c r="G2886" t="s">
        <v>2961</v>
      </c>
    </row>
    <row r="2887" spans="1:7" x14ac:dyDescent="0.3">
      <c r="A2887">
        <v>2885</v>
      </c>
      <c r="B2887" t="s">
        <v>3256</v>
      </c>
      <c r="C2887" t="s">
        <v>3257</v>
      </c>
      <c r="D2887">
        <v>200</v>
      </c>
      <c r="E2887">
        <v>129</v>
      </c>
      <c r="F2887" t="s">
        <v>3258</v>
      </c>
      <c r="G2887" t="s">
        <v>2961</v>
      </c>
    </row>
    <row r="2888" spans="1:7" x14ac:dyDescent="0.3">
      <c r="A2888">
        <v>2886</v>
      </c>
      <c r="B2888" t="s">
        <v>3256</v>
      </c>
      <c r="C2888" t="s">
        <v>3257</v>
      </c>
      <c r="D2888">
        <v>200</v>
      </c>
      <c r="E2888">
        <v>129</v>
      </c>
      <c r="F2888" t="s">
        <v>3167</v>
      </c>
      <c r="G2888" t="s">
        <v>2961</v>
      </c>
    </row>
    <row r="2889" spans="1:7" x14ac:dyDescent="0.3">
      <c r="A2889">
        <v>2887</v>
      </c>
      <c r="B2889" t="s">
        <v>3259</v>
      </c>
      <c r="C2889" t="s">
        <v>2965</v>
      </c>
      <c r="D2889">
        <v>200</v>
      </c>
      <c r="E2889">
        <v>186</v>
      </c>
      <c r="F2889" t="s">
        <v>2966</v>
      </c>
      <c r="G2889" t="s">
        <v>2961</v>
      </c>
    </row>
    <row r="2890" spans="1:7" x14ac:dyDescent="0.3">
      <c r="A2890">
        <v>2888</v>
      </c>
      <c r="B2890" t="s">
        <v>3260</v>
      </c>
      <c r="C2890" t="s">
        <v>3261</v>
      </c>
      <c r="D2890">
        <v>179</v>
      </c>
      <c r="E2890">
        <v>125</v>
      </c>
      <c r="F2890" t="s">
        <v>3092</v>
      </c>
      <c r="G2890" t="s">
        <v>2961</v>
      </c>
    </row>
    <row r="2891" spans="1:7" x14ac:dyDescent="0.3">
      <c r="A2891">
        <v>2889</v>
      </c>
      <c r="B2891" t="s">
        <v>3262</v>
      </c>
      <c r="C2891" t="s">
        <v>2959</v>
      </c>
      <c r="D2891">
        <v>185</v>
      </c>
      <c r="E2891">
        <v>167</v>
      </c>
      <c r="F2891" t="s">
        <v>2966</v>
      </c>
      <c r="G2891" t="s">
        <v>2961</v>
      </c>
    </row>
    <row r="2892" spans="1:7" x14ac:dyDescent="0.3">
      <c r="A2892">
        <v>2890</v>
      </c>
      <c r="B2892" t="s">
        <v>3263</v>
      </c>
      <c r="C2892" t="s">
        <v>2965</v>
      </c>
      <c r="D2892">
        <v>330</v>
      </c>
      <c r="E2892">
        <v>306</v>
      </c>
      <c r="F2892" t="s">
        <v>2960</v>
      </c>
      <c r="G2892" t="s">
        <v>2961</v>
      </c>
    </row>
    <row r="2893" spans="1:7" x14ac:dyDescent="0.3">
      <c r="A2893">
        <v>2891</v>
      </c>
      <c r="B2893" t="s">
        <v>3236</v>
      </c>
      <c r="C2893" t="s">
        <v>2938</v>
      </c>
      <c r="D2893">
        <v>149</v>
      </c>
      <c r="E2893">
        <v>99</v>
      </c>
      <c r="F2893" t="s">
        <v>2966</v>
      </c>
      <c r="G2893" t="s">
        <v>2961</v>
      </c>
    </row>
    <row r="2894" spans="1:7" x14ac:dyDescent="0.3">
      <c r="A2894">
        <v>2892</v>
      </c>
      <c r="B2894" t="s">
        <v>3264</v>
      </c>
      <c r="C2894" t="s">
        <v>3261</v>
      </c>
      <c r="D2894">
        <v>129</v>
      </c>
      <c r="E2894">
        <v>89</v>
      </c>
      <c r="F2894" t="s">
        <v>3167</v>
      </c>
      <c r="G2894" t="s">
        <v>2961</v>
      </c>
    </row>
    <row r="2895" spans="1:7" x14ac:dyDescent="0.3">
      <c r="A2895">
        <v>2893</v>
      </c>
      <c r="B2895" t="s">
        <v>3264</v>
      </c>
      <c r="C2895" t="s">
        <v>3261</v>
      </c>
      <c r="D2895">
        <v>129</v>
      </c>
      <c r="E2895">
        <v>89</v>
      </c>
      <c r="F2895" t="s">
        <v>3107</v>
      </c>
      <c r="G2895" t="s">
        <v>2961</v>
      </c>
    </row>
    <row r="2896" spans="1:7" x14ac:dyDescent="0.3">
      <c r="A2896">
        <v>2894</v>
      </c>
      <c r="B2896" t="s">
        <v>3264</v>
      </c>
      <c r="C2896" t="s">
        <v>3261</v>
      </c>
      <c r="D2896">
        <v>129</v>
      </c>
      <c r="E2896">
        <v>89</v>
      </c>
      <c r="F2896" t="s">
        <v>3265</v>
      </c>
      <c r="G2896" t="s">
        <v>2961</v>
      </c>
    </row>
    <row r="2897" spans="1:7" x14ac:dyDescent="0.3">
      <c r="A2897">
        <v>2895</v>
      </c>
      <c r="B2897" t="s">
        <v>3266</v>
      </c>
      <c r="C2897" t="s">
        <v>3257</v>
      </c>
      <c r="D2897">
        <v>150</v>
      </c>
      <c r="E2897">
        <v>85</v>
      </c>
      <c r="F2897" t="s">
        <v>2966</v>
      </c>
      <c r="G2897" t="s">
        <v>2961</v>
      </c>
    </row>
    <row r="2898" spans="1:7" x14ac:dyDescent="0.3">
      <c r="A2898">
        <v>2896</v>
      </c>
      <c r="B2898" t="s">
        <v>3267</v>
      </c>
      <c r="C2898" t="s">
        <v>2959</v>
      </c>
      <c r="D2898">
        <v>250</v>
      </c>
      <c r="E2898">
        <v>225</v>
      </c>
      <c r="F2898" t="s">
        <v>3268</v>
      </c>
      <c r="G2898" t="s">
        <v>2961</v>
      </c>
    </row>
    <row r="2899" spans="1:7" x14ac:dyDescent="0.3">
      <c r="A2899">
        <v>2897</v>
      </c>
      <c r="B2899" t="s">
        <v>3269</v>
      </c>
      <c r="C2899" t="s">
        <v>2965</v>
      </c>
      <c r="D2899">
        <v>135</v>
      </c>
      <c r="E2899">
        <v>115</v>
      </c>
      <c r="F2899" t="s">
        <v>2968</v>
      </c>
      <c r="G2899" t="s">
        <v>2961</v>
      </c>
    </row>
    <row r="2900" spans="1:7" x14ac:dyDescent="0.3">
      <c r="A2900">
        <v>2898</v>
      </c>
      <c r="B2900" t="s">
        <v>3270</v>
      </c>
      <c r="C2900" t="s">
        <v>2959</v>
      </c>
      <c r="D2900">
        <v>200</v>
      </c>
      <c r="E2900">
        <v>180</v>
      </c>
      <c r="F2900" t="s">
        <v>3271</v>
      </c>
      <c r="G2900" t="s">
        <v>2961</v>
      </c>
    </row>
    <row r="2901" spans="1:7" x14ac:dyDescent="0.3">
      <c r="A2901">
        <v>2899</v>
      </c>
      <c r="B2901" t="s">
        <v>3272</v>
      </c>
      <c r="C2901" t="s">
        <v>2959</v>
      </c>
      <c r="D2901">
        <v>140</v>
      </c>
      <c r="E2901">
        <v>126</v>
      </c>
      <c r="F2901" t="s">
        <v>2712</v>
      </c>
      <c r="G2901" t="s">
        <v>2961</v>
      </c>
    </row>
    <row r="2902" spans="1:7" x14ac:dyDescent="0.3">
      <c r="A2902">
        <v>2900</v>
      </c>
      <c r="B2902" t="s">
        <v>3273</v>
      </c>
      <c r="C2902" t="s">
        <v>2965</v>
      </c>
      <c r="D2902">
        <v>199</v>
      </c>
      <c r="E2902">
        <v>175</v>
      </c>
      <c r="F2902" t="s">
        <v>3274</v>
      </c>
      <c r="G2902" t="s">
        <v>2961</v>
      </c>
    </row>
    <row r="2903" spans="1:7" x14ac:dyDescent="0.3">
      <c r="A2903">
        <v>2901</v>
      </c>
      <c r="B2903" t="s">
        <v>3275</v>
      </c>
      <c r="C2903" t="s">
        <v>17</v>
      </c>
      <c r="D2903">
        <v>75</v>
      </c>
      <c r="E2903">
        <v>49</v>
      </c>
      <c r="F2903" t="s">
        <v>2712</v>
      </c>
      <c r="G2903" t="s">
        <v>2961</v>
      </c>
    </row>
    <row r="2904" spans="1:7" x14ac:dyDescent="0.3">
      <c r="A2904">
        <v>2902</v>
      </c>
      <c r="B2904" t="s">
        <v>3276</v>
      </c>
      <c r="C2904" t="s">
        <v>17</v>
      </c>
      <c r="D2904">
        <v>75</v>
      </c>
      <c r="E2904">
        <v>59</v>
      </c>
      <c r="F2904" t="s">
        <v>2712</v>
      </c>
      <c r="G2904" t="s">
        <v>2961</v>
      </c>
    </row>
    <row r="2905" spans="1:7" x14ac:dyDescent="0.3">
      <c r="A2905">
        <v>2903</v>
      </c>
      <c r="B2905" t="s">
        <v>3277</v>
      </c>
      <c r="C2905" t="s">
        <v>2959</v>
      </c>
      <c r="D2905">
        <v>1799</v>
      </c>
      <c r="E2905">
        <v>999</v>
      </c>
      <c r="F2905" t="s">
        <v>2712</v>
      </c>
      <c r="G2905" t="s">
        <v>2961</v>
      </c>
    </row>
    <row r="2906" spans="1:7" x14ac:dyDescent="0.3">
      <c r="A2906">
        <v>2904</v>
      </c>
      <c r="B2906" t="s">
        <v>3278</v>
      </c>
      <c r="C2906" t="s">
        <v>2959</v>
      </c>
      <c r="D2906">
        <v>240</v>
      </c>
      <c r="E2906">
        <v>216</v>
      </c>
      <c r="F2906" t="s">
        <v>2712</v>
      </c>
      <c r="G2906" t="s">
        <v>2961</v>
      </c>
    </row>
    <row r="2907" spans="1:7" x14ac:dyDescent="0.3">
      <c r="A2907">
        <v>2905</v>
      </c>
      <c r="B2907" t="s">
        <v>3279</v>
      </c>
      <c r="C2907" t="s">
        <v>2959</v>
      </c>
      <c r="D2907">
        <v>195</v>
      </c>
      <c r="E2907">
        <v>176</v>
      </c>
      <c r="F2907" t="s">
        <v>2712</v>
      </c>
      <c r="G2907" t="s">
        <v>2961</v>
      </c>
    </row>
    <row r="2908" spans="1:7" x14ac:dyDescent="0.3">
      <c r="A2908">
        <v>2906</v>
      </c>
      <c r="B2908" t="s">
        <v>3280</v>
      </c>
      <c r="C2908" t="s">
        <v>2959</v>
      </c>
      <c r="D2908">
        <v>2500</v>
      </c>
      <c r="E2908">
        <v>1599</v>
      </c>
      <c r="F2908" t="s">
        <v>2712</v>
      </c>
      <c r="G2908" t="s">
        <v>2961</v>
      </c>
    </row>
    <row r="2909" spans="1:7" x14ac:dyDescent="0.3">
      <c r="A2909">
        <v>2907</v>
      </c>
      <c r="B2909" t="s">
        <v>3281</v>
      </c>
      <c r="C2909" t="s">
        <v>2959</v>
      </c>
      <c r="D2909">
        <v>700</v>
      </c>
      <c r="E2909">
        <v>599</v>
      </c>
      <c r="F2909" t="s">
        <v>2712</v>
      </c>
      <c r="G2909" t="s">
        <v>2961</v>
      </c>
    </row>
    <row r="2910" spans="1:7" x14ac:dyDescent="0.3">
      <c r="A2910">
        <v>2908</v>
      </c>
      <c r="B2910" t="s">
        <v>3282</v>
      </c>
      <c r="C2910" t="s">
        <v>2959</v>
      </c>
      <c r="D2910">
        <v>165</v>
      </c>
      <c r="E2910">
        <v>149</v>
      </c>
      <c r="F2910" t="s">
        <v>2712</v>
      </c>
      <c r="G2910" t="s">
        <v>2961</v>
      </c>
    </row>
    <row r="2911" spans="1:7" x14ac:dyDescent="0.3">
      <c r="A2911">
        <v>2909</v>
      </c>
      <c r="B2911" t="s">
        <v>3283</v>
      </c>
      <c r="C2911" t="s">
        <v>2959</v>
      </c>
      <c r="D2911">
        <v>450</v>
      </c>
      <c r="E2911">
        <v>329</v>
      </c>
      <c r="F2911" t="s">
        <v>3004</v>
      </c>
      <c r="G2911" t="s">
        <v>2961</v>
      </c>
    </row>
    <row r="2912" spans="1:7" x14ac:dyDescent="0.3">
      <c r="A2912">
        <v>2910</v>
      </c>
      <c r="B2912" t="s">
        <v>3284</v>
      </c>
      <c r="C2912" t="s">
        <v>2965</v>
      </c>
      <c r="D2912">
        <v>475</v>
      </c>
      <c r="E2912">
        <v>399</v>
      </c>
      <c r="F2912" t="s">
        <v>2712</v>
      </c>
      <c r="G2912" t="s">
        <v>2961</v>
      </c>
    </row>
    <row r="2913" spans="1:7" x14ac:dyDescent="0.3">
      <c r="A2913">
        <v>2911</v>
      </c>
      <c r="B2913" t="s">
        <v>3285</v>
      </c>
      <c r="C2913" t="s">
        <v>2959</v>
      </c>
      <c r="D2913">
        <v>375</v>
      </c>
      <c r="E2913">
        <v>338</v>
      </c>
      <c r="F2913" t="s">
        <v>2712</v>
      </c>
      <c r="G2913" t="s">
        <v>2961</v>
      </c>
    </row>
    <row r="2914" spans="1:7" x14ac:dyDescent="0.3">
      <c r="A2914">
        <v>2912</v>
      </c>
      <c r="B2914" t="s">
        <v>3286</v>
      </c>
      <c r="C2914" t="s">
        <v>3006</v>
      </c>
      <c r="D2914">
        <v>100</v>
      </c>
      <c r="E2914">
        <v>89</v>
      </c>
      <c r="F2914" t="s">
        <v>3004</v>
      </c>
      <c r="G2914" t="s">
        <v>2961</v>
      </c>
    </row>
    <row r="2915" spans="1:7" x14ac:dyDescent="0.3">
      <c r="A2915">
        <v>2913</v>
      </c>
      <c r="B2915" t="s">
        <v>3287</v>
      </c>
      <c r="C2915" t="s">
        <v>2965</v>
      </c>
      <c r="D2915">
        <v>399</v>
      </c>
      <c r="E2915">
        <v>299</v>
      </c>
      <c r="F2915" t="s">
        <v>2712</v>
      </c>
      <c r="G2915" t="s">
        <v>2961</v>
      </c>
    </row>
    <row r="2916" spans="1:7" x14ac:dyDescent="0.3">
      <c r="A2916">
        <v>2914</v>
      </c>
      <c r="B2916" t="s">
        <v>3288</v>
      </c>
      <c r="C2916" t="s">
        <v>2959</v>
      </c>
      <c r="D2916">
        <v>240</v>
      </c>
      <c r="E2916">
        <v>216</v>
      </c>
      <c r="F2916" t="s">
        <v>2712</v>
      </c>
      <c r="G2916" t="s">
        <v>2961</v>
      </c>
    </row>
    <row r="2917" spans="1:7" x14ac:dyDescent="0.3">
      <c r="A2917">
        <v>2915</v>
      </c>
      <c r="B2917" t="s">
        <v>3289</v>
      </c>
      <c r="C2917" t="s">
        <v>2965</v>
      </c>
      <c r="D2917">
        <v>425</v>
      </c>
      <c r="E2917">
        <v>299</v>
      </c>
      <c r="F2917" t="s">
        <v>2712</v>
      </c>
      <c r="G2917" t="s">
        <v>2961</v>
      </c>
    </row>
    <row r="2918" spans="1:7" x14ac:dyDescent="0.3">
      <c r="A2918">
        <v>2916</v>
      </c>
      <c r="B2918" t="s">
        <v>3290</v>
      </c>
      <c r="C2918" t="s">
        <v>2959</v>
      </c>
      <c r="D2918">
        <v>210</v>
      </c>
      <c r="E2918">
        <v>189</v>
      </c>
      <c r="F2918" t="s">
        <v>2712</v>
      </c>
      <c r="G2918" t="s">
        <v>2961</v>
      </c>
    </row>
    <row r="2919" spans="1:7" x14ac:dyDescent="0.3">
      <c r="A2919">
        <v>2917</v>
      </c>
      <c r="B2919" t="s">
        <v>3291</v>
      </c>
      <c r="C2919" t="s">
        <v>2959</v>
      </c>
      <c r="D2919">
        <v>449</v>
      </c>
      <c r="E2919">
        <v>404</v>
      </c>
      <c r="F2919" t="s">
        <v>2712</v>
      </c>
      <c r="G2919" t="s">
        <v>2961</v>
      </c>
    </row>
    <row r="2920" spans="1:7" x14ac:dyDescent="0.3">
      <c r="A2920">
        <v>2918</v>
      </c>
      <c r="B2920" t="s">
        <v>3292</v>
      </c>
      <c r="C2920" t="s">
        <v>2965</v>
      </c>
      <c r="D2920">
        <v>1400</v>
      </c>
      <c r="E2920">
        <v>1200</v>
      </c>
      <c r="F2920" t="s">
        <v>2712</v>
      </c>
      <c r="G2920" t="s">
        <v>2961</v>
      </c>
    </row>
    <row r="2921" spans="1:7" x14ac:dyDescent="0.3">
      <c r="A2921">
        <v>2919</v>
      </c>
      <c r="B2921" t="s">
        <v>3293</v>
      </c>
      <c r="C2921" t="s">
        <v>3006</v>
      </c>
      <c r="D2921">
        <v>1550</v>
      </c>
      <c r="E2921">
        <v>1395</v>
      </c>
      <c r="F2921" t="s">
        <v>2712</v>
      </c>
      <c r="G2921" t="s">
        <v>2961</v>
      </c>
    </row>
    <row r="2922" spans="1:7" x14ac:dyDescent="0.3">
      <c r="A2922">
        <v>2920</v>
      </c>
      <c r="B2922" t="s">
        <v>3294</v>
      </c>
      <c r="C2922" t="s">
        <v>17</v>
      </c>
      <c r="D2922">
        <v>3599</v>
      </c>
      <c r="E2922">
        <v>2999</v>
      </c>
      <c r="F2922" t="s">
        <v>3295</v>
      </c>
      <c r="G2922" t="s">
        <v>3296</v>
      </c>
    </row>
    <row r="2923" spans="1:7" x14ac:dyDescent="0.3">
      <c r="A2923">
        <v>2921</v>
      </c>
      <c r="B2923" t="s">
        <v>3297</v>
      </c>
      <c r="C2923" t="s">
        <v>3298</v>
      </c>
      <c r="D2923">
        <v>695</v>
      </c>
      <c r="E2923">
        <v>299</v>
      </c>
      <c r="F2923" t="s">
        <v>3004</v>
      </c>
      <c r="G2923" t="s">
        <v>2936</v>
      </c>
    </row>
    <row r="2924" spans="1:7" x14ac:dyDescent="0.3">
      <c r="A2924">
        <v>2922</v>
      </c>
      <c r="B2924" t="s">
        <v>3299</v>
      </c>
      <c r="C2924" t="s">
        <v>17</v>
      </c>
      <c r="D2924">
        <v>66</v>
      </c>
      <c r="E2924">
        <v>59</v>
      </c>
      <c r="F2924" t="s">
        <v>3300</v>
      </c>
      <c r="G2924" t="s">
        <v>2945</v>
      </c>
    </row>
    <row r="2925" spans="1:7" x14ac:dyDescent="0.3">
      <c r="A2925">
        <v>2923</v>
      </c>
      <c r="B2925" t="s">
        <v>3301</v>
      </c>
      <c r="C2925" t="s">
        <v>3302</v>
      </c>
      <c r="D2925">
        <v>1499</v>
      </c>
      <c r="E2925">
        <v>349</v>
      </c>
      <c r="F2925" t="s">
        <v>2981</v>
      </c>
      <c r="G2925" t="s">
        <v>2945</v>
      </c>
    </row>
    <row r="2926" spans="1:7" x14ac:dyDescent="0.3">
      <c r="A2926">
        <v>2924</v>
      </c>
      <c r="B2926" t="s">
        <v>3303</v>
      </c>
      <c r="C2926" t="s">
        <v>3298</v>
      </c>
      <c r="D2926">
        <v>545</v>
      </c>
      <c r="E2926">
        <v>199</v>
      </c>
      <c r="F2926" t="s">
        <v>3271</v>
      </c>
      <c r="G2926" t="s">
        <v>2936</v>
      </c>
    </row>
    <row r="2927" spans="1:7" x14ac:dyDescent="0.3">
      <c r="A2927">
        <v>2925</v>
      </c>
      <c r="B2927" t="s">
        <v>3304</v>
      </c>
      <c r="C2927" t="s">
        <v>17</v>
      </c>
      <c r="D2927">
        <v>399</v>
      </c>
      <c r="E2927">
        <v>199</v>
      </c>
      <c r="F2927" t="s">
        <v>2712</v>
      </c>
      <c r="G2927" t="s">
        <v>2945</v>
      </c>
    </row>
    <row r="2928" spans="1:7" x14ac:dyDescent="0.3">
      <c r="A2928">
        <v>2926</v>
      </c>
      <c r="B2928" t="s">
        <v>3305</v>
      </c>
      <c r="C2928" t="s">
        <v>17</v>
      </c>
      <c r="D2928">
        <v>300</v>
      </c>
      <c r="E2928">
        <v>199</v>
      </c>
      <c r="F2928" t="s">
        <v>2712</v>
      </c>
      <c r="G2928" t="s">
        <v>2945</v>
      </c>
    </row>
    <row r="2929" spans="1:7" x14ac:dyDescent="0.3">
      <c r="A2929">
        <v>2927</v>
      </c>
      <c r="B2929" t="s">
        <v>3306</v>
      </c>
      <c r="C2929" t="s">
        <v>3307</v>
      </c>
      <c r="D2929">
        <v>150</v>
      </c>
      <c r="E2929">
        <v>89</v>
      </c>
      <c r="F2929" t="s">
        <v>3004</v>
      </c>
      <c r="G2929" t="s">
        <v>2936</v>
      </c>
    </row>
    <row r="2930" spans="1:7" x14ac:dyDescent="0.3">
      <c r="A2930">
        <v>2928</v>
      </c>
      <c r="B2930" t="s">
        <v>3308</v>
      </c>
      <c r="C2930" t="s">
        <v>17</v>
      </c>
      <c r="D2930">
        <v>540</v>
      </c>
      <c r="E2930">
        <v>479</v>
      </c>
      <c r="F2930" t="s">
        <v>3004</v>
      </c>
      <c r="G2930" t="s">
        <v>2945</v>
      </c>
    </row>
    <row r="2931" spans="1:7" x14ac:dyDescent="0.3">
      <c r="A2931">
        <v>2929</v>
      </c>
      <c r="B2931" t="s">
        <v>3309</v>
      </c>
      <c r="C2931" t="s">
        <v>17</v>
      </c>
      <c r="D2931">
        <v>79</v>
      </c>
      <c r="E2931">
        <v>49</v>
      </c>
      <c r="F2931" t="s">
        <v>2712</v>
      </c>
      <c r="G2931" t="s">
        <v>2945</v>
      </c>
    </row>
    <row r="2932" spans="1:7" x14ac:dyDescent="0.3">
      <c r="A2932">
        <v>2930</v>
      </c>
      <c r="B2932" t="s">
        <v>3310</v>
      </c>
      <c r="C2932" t="s">
        <v>3311</v>
      </c>
      <c r="D2932">
        <v>700</v>
      </c>
      <c r="E2932">
        <v>299</v>
      </c>
      <c r="F2932" t="s">
        <v>3004</v>
      </c>
      <c r="G2932" t="s">
        <v>2936</v>
      </c>
    </row>
    <row r="2933" spans="1:7" x14ac:dyDescent="0.3">
      <c r="A2933">
        <v>2931</v>
      </c>
      <c r="B2933" t="s">
        <v>3312</v>
      </c>
      <c r="C2933" t="s">
        <v>3307</v>
      </c>
      <c r="D2933">
        <v>265</v>
      </c>
      <c r="E2933">
        <v>115</v>
      </c>
      <c r="F2933" t="s">
        <v>3004</v>
      </c>
      <c r="G2933" t="s">
        <v>2936</v>
      </c>
    </row>
    <row r="2934" spans="1:7" x14ac:dyDescent="0.3">
      <c r="A2934">
        <v>2932</v>
      </c>
      <c r="B2934" t="s">
        <v>3313</v>
      </c>
      <c r="C2934" t="s">
        <v>17</v>
      </c>
      <c r="D2934">
        <v>570</v>
      </c>
      <c r="E2934">
        <v>499</v>
      </c>
      <c r="F2934" t="s">
        <v>2712</v>
      </c>
      <c r="G2934" t="s">
        <v>2945</v>
      </c>
    </row>
    <row r="2935" spans="1:7" x14ac:dyDescent="0.3">
      <c r="A2935">
        <v>2933</v>
      </c>
      <c r="B2935" t="s">
        <v>3314</v>
      </c>
      <c r="C2935" t="s">
        <v>3307</v>
      </c>
      <c r="D2935">
        <v>225</v>
      </c>
      <c r="E2935">
        <v>109</v>
      </c>
      <c r="F2935" t="s">
        <v>3004</v>
      </c>
      <c r="G2935" t="s">
        <v>2936</v>
      </c>
    </row>
    <row r="2936" spans="1:7" x14ac:dyDescent="0.3">
      <c r="A2936">
        <v>2934</v>
      </c>
      <c r="B2936" t="s">
        <v>3315</v>
      </c>
      <c r="C2936" t="s">
        <v>3316</v>
      </c>
      <c r="D2936">
        <v>149</v>
      </c>
      <c r="E2936">
        <v>79</v>
      </c>
      <c r="F2936" t="s">
        <v>3004</v>
      </c>
      <c r="G2936" t="s">
        <v>2945</v>
      </c>
    </row>
    <row r="2937" spans="1:7" x14ac:dyDescent="0.3">
      <c r="A2937">
        <v>2935</v>
      </c>
      <c r="B2937" t="s">
        <v>3317</v>
      </c>
      <c r="C2937" t="s">
        <v>3311</v>
      </c>
      <c r="D2937">
        <v>5300</v>
      </c>
      <c r="E2937">
        <v>2699</v>
      </c>
      <c r="F2937" t="s">
        <v>3318</v>
      </c>
      <c r="G2937" t="s">
        <v>3311</v>
      </c>
    </row>
    <row r="2938" spans="1:7" x14ac:dyDescent="0.3">
      <c r="A2938">
        <v>2936</v>
      </c>
      <c r="B2938" t="s">
        <v>3319</v>
      </c>
      <c r="C2938" t="s">
        <v>3307</v>
      </c>
      <c r="D2938">
        <v>225</v>
      </c>
      <c r="E2938">
        <v>115</v>
      </c>
      <c r="F2938" t="s">
        <v>3271</v>
      </c>
      <c r="G2938" t="s">
        <v>2936</v>
      </c>
    </row>
    <row r="2939" spans="1:7" x14ac:dyDescent="0.3">
      <c r="A2939">
        <v>2937</v>
      </c>
      <c r="B2939" t="s">
        <v>3320</v>
      </c>
      <c r="C2939" t="s">
        <v>3316</v>
      </c>
      <c r="D2939">
        <v>323</v>
      </c>
      <c r="E2939">
        <v>149</v>
      </c>
      <c r="F2939" t="s">
        <v>3004</v>
      </c>
      <c r="G2939" t="s">
        <v>2945</v>
      </c>
    </row>
    <row r="2940" spans="1:7" x14ac:dyDescent="0.3">
      <c r="A2940">
        <v>2938</v>
      </c>
      <c r="B2940" t="s">
        <v>3321</v>
      </c>
      <c r="C2940" t="s">
        <v>3298</v>
      </c>
      <c r="D2940">
        <v>895</v>
      </c>
      <c r="E2940">
        <v>475</v>
      </c>
      <c r="F2940" t="s">
        <v>2712</v>
      </c>
      <c r="G2940" t="s">
        <v>2936</v>
      </c>
    </row>
    <row r="2941" spans="1:7" x14ac:dyDescent="0.3">
      <c r="A2941">
        <v>2939</v>
      </c>
      <c r="B2941" t="s">
        <v>3322</v>
      </c>
      <c r="C2941" t="s">
        <v>17</v>
      </c>
      <c r="D2941">
        <v>110</v>
      </c>
      <c r="E2941">
        <v>99</v>
      </c>
      <c r="F2941" t="s">
        <v>3323</v>
      </c>
      <c r="G2941" t="s">
        <v>2936</v>
      </c>
    </row>
    <row r="2942" spans="1:7" x14ac:dyDescent="0.3">
      <c r="A2942">
        <v>2940</v>
      </c>
      <c r="B2942" t="s">
        <v>3324</v>
      </c>
      <c r="C2942" t="s">
        <v>17</v>
      </c>
      <c r="D2942">
        <v>129</v>
      </c>
      <c r="E2942">
        <v>99</v>
      </c>
      <c r="F2942" t="s">
        <v>2712</v>
      </c>
      <c r="G2942" t="s">
        <v>2945</v>
      </c>
    </row>
    <row r="2943" spans="1:7" x14ac:dyDescent="0.3">
      <c r="A2943">
        <v>2941</v>
      </c>
      <c r="B2943" t="s">
        <v>3325</v>
      </c>
      <c r="C2943" t="s">
        <v>17</v>
      </c>
      <c r="D2943">
        <v>399</v>
      </c>
      <c r="E2943">
        <v>199</v>
      </c>
      <c r="F2943" t="s">
        <v>2712</v>
      </c>
      <c r="G2943" t="s">
        <v>2945</v>
      </c>
    </row>
    <row r="2944" spans="1:7" x14ac:dyDescent="0.3">
      <c r="A2944">
        <v>2942</v>
      </c>
      <c r="B2944" t="s">
        <v>3326</v>
      </c>
      <c r="C2944" t="s">
        <v>17</v>
      </c>
      <c r="D2944">
        <v>150</v>
      </c>
      <c r="E2944">
        <v>69</v>
      </c>
      <c r="F2944" t="s">
        <v>3252</v>
      </c>
      <c r="G2944" t="s">
        <v>2945</v>
      </c>
    </row>
    <row r="2945" spans="1:7" x14ac:dyDescent="0.3">
      <c r="A2945">
        <v>2943</v>
      </c>
      <c r="B2945" t="s">
        <v>3327</v>
      </c>
      <c r="C2945" t="s">
        <v>3328</v>
      </c>
      <c r="D2945">
        <v>135</v>
      </c>
      <c r="E2945">
        <v>99</v>
      </c>
      <c r="F2945" t="s">
        <v>3323</v>
      </c>
      <c r="G2945" t="s">
        <v>2936</v>
      </c>
    </row>
    <row r="2946" spans="1:7" x14ac:dyDescent="0.3">
      <c r="A2946">
        <v>2944</v>
      </c>
      <c r="B2946" t="s">
        <v>3329</v>
      </c>
      <c r="C2946" t="s">
        <v>17</v>
      </c>
      <c r="D2946">
        <v>130</v>
      </c>
      <c r="E2946">
        <v>79</v>
      </c>
      <c r="F2946" t="s">
        <v>3004</v>
      </c>
      <c r="G2946" t="s">
        <v>2945</v>
      </c>
    </row>
    <row r="2947" spans="1:7" x14ac:dyDescent="0.3">
      <c r="A2947">
        <v>2945</v>
      </c>
      <c r="B2947" t="s">
        <v>3330</v>
      </c>
      <c r="C2947" t="s">
        <v>17</v>
      </c>
      <c r="D2947">
        <v>250</v>
      </c>
      <c r="E2947">
        <v>199</v>
      </c>
      <c r="F2947" t="s">
        <v>2712</v>
      </c>
      <c r="G2947" t="s">
        <v>2945</v>
      </c>
    </row>
    <row r="2948" spans="1:7" x14ac:dyDescent="0.3">
      <c r="A2948">
        <v>2946</v>
      </c>
      <c r="B2948" t="s">
        <v>3331</v>
      </c>
      <c r="C2948" t="s">
        <v>17</v>
      </c>
      <c r="D2948">
        <v>99</v>
      </c>
      <c r="E2948">
        <v>69</v>
      </c>
      <c r="F2948" t="s">
        <v>2712</v>
      </c>
      <c r="G2948" t="s">
        <v>2945</v>
      </c>
    </row>
    <row r="2949" spans="1:7" x14ac:dyDescent="0.3">
      <c r="A2949">
        <v>2947</v>
      </c>
      <c r="B2949" t="s">
        <v>3332</v>
      </c>
      <c r="C2949" t="s">
        <v>17</v>
      </c>
      <c r="D2949">
        <v>149</v>
      </c>
      <c r="E2949">
        <v>79</v>
      </c>
      <c r="F2949" t="s">
        <v>3192</v>
      </c>
      <c r="G2949" t="s">
        <v>2945</v>
      </c>
    </row>
    <row r="2950" spans="1:7" x14ac:dyDescent="0.3">
      <c r="A2950">
        <v>2948</v>
      </c>
      <c r="B2950" t="s">
        <v>3333</v>
      </c>
      <c r="C2950" t="s">
        <v>17</v>
      </c>
      <c r="D2950">
        <v>220</v>
      </c>
      <c r="E2950">
        <v>169</v>
      </c>
      <c r="F2950" t="s">
        <v>2712</v>
      </c>
      <c r="G2950" t="s">
        <v>2945</v>
      </c>
    </row>
    <row r="2951" spans="1:7" x14ac:dyDescent="0.3">
      <c r="A2951">
        <v>2949</v>
      </c>
      <c r="B2951" t="s">
        <v>3334</v>
      </c>
      <c r="C2951" t="s">
        <v>3307</v>
      </c>
      <c r="D2951">
        <v>425</v>
      </c>
      <c r="E2951">
        <v>225</v>
      </c>
      <c r="F2951" t="s">
        <v>2712</v>
      </c>
      <c r="G2951" t="s">
        <v>2936</v>
      </c>
    </row>
    <row r="2952" spans="1:7" x14ac:dyDescent="0.3">
      <c r="A2952">
        <v>2950</v>
      </c>
      <c r="B2952" t="s">
        <v>3335</v>
      </c>
      <c r="C2952" t="s">
        <v>17</v>
      </c>
      <c r="D2952">
        <v>400</v>
      </c>
      <c r="E2952">
        <v>249</v>
      </c>
      <c r="F2952" t="s">
        <v>2712</v>
      </c>
      <c r="G2952" t="s">
        <v>2945</v>
      </c>
    </row>
    <row r="2953" spans="1:7" x14ac:dyDescent="0.3">
      <c r="A2953">
        <v>2951</v>
      </c>
      <c r="B2953" t="s">
        <v>3336</v>
      </c>
      <c r="C2953" t="s">
        <v>3307</v>
      </c>
      <c r="D2953">
        <v>649</v>
      </c>
      <c r="E2953">
        <v>379</v>
      </c>
      <c r="F2953" t="s">
        <v>2712</v>
      </c>
      <c r="G2953" t="s">
        <v>2936</v>
      </c>
    </row>
    <row r="2954" spans="1:7" x14ac:dyDescent="0.3">
      <c r="A2954">
        <v>2952</v>
      </c>
      <c r="B2954" t="s">
        <v>3337</v>
      </c>
      <c r="C2954" t="s">
        <v>17</v>
      </c>
      <c r="D2954">
        <v>369</v>
      </c>
      <c r="E2954">
        <v>199</v>
      </c>
      <c r="F2954" t="s">
        <v>3252</v>
      </c>
      <c r="G2954" t="s">
        <v>2945</v>
      </c>
    </row>
    <row r="2955" spans="1:7" x14ac:dyDescent="0.3">
      <c r="A2955">
        <v>2953</v>
      </c>
      <c r="B2955" t="s">
        <v>3338</v>
      </c>
      <c r="C2955" t="s">
        <v>17</v>
      </c>
      <c r="D2955">
        <v>100</v>
      </c>
      <c r="E2955">
        <v>89</v>
      </c>
      <c r="F2955" t="s">
        <v>3004</v>
      </c>
      <c r="G2955" t="s">
        <v>2936</v>
      </c>
    </row>
    <row r="2956" spans="1:7" x14ac:dyDescent="0.3">
      <c r="A2956">
        <v>2954</v>
      </c>
      <c r="B2956" t="s">
        <v>3339</v>
      </c>
      <c r="C2956" t="s">
        <v>17</v>
      </c>
      <c r="D2956">
        <v>80</v>
      </c>
      <c r="E2956">
        <v>69</v>
      </c>
      <c r="F2956" t="s">
        <v>3340</v>
      </c>
      <c r="G2956" t="s">
        <v>2945</v>
      </c>
    </row>
    <row r="2957" spans="1:7" x14ac:dyDescent="0.3">
      <c r="A2957">
        <v>2955</v>
      </c>
      <c r="B2957" t="s">
        <v>3341</v>
      </c>
      <c r="C2957" t="s">
        <v>3307</v>
      </c>
      <c r="D2957">
        <v>625</v>
      </c>
      <c r="E2957">
        <v>399</v>
      </c>
      <c r="F2957" t="s">
        <v>2712</v>
      </c>
      <c r="G2957" t="s">
        <v>2936</v>
      </c>
    </row>
    <row r="2958" spans="1:7" x14ac:dyDescent="0.3">
      <c r="A2958">
        <v>2956</v>
      </c>
      <c r="B2958" t="s">
        <v>3342</v>
      </c>
      <c r="C2958" t="s">
        <v>3316</v>
      </c>
      <c r="D2958">
        <v>267</v>
      </c>
      <c r="E2958">
        <v>149</v>
      </c>
      <c r="F2958" t="s">
        <v>3343</v>
      </c>
      <c r="G2958" t="s">
        <v>2945</v>
      </c>
    </row>
    <row r="2959" spans="1:7" x14ac:dyDescent="0.3">
      <c r="A2959">
        <v>2957</v>
      </c>
      <c r="B2959" t="s">
        <v>3344</v>
      </c>
      <c r="C2959" t="s">
        <v>3345</v>
      </c>
      <c r="D2959">
        <v>49</v>
      </c>
      <c r="E2959">
        <v>39</v>
      </c>
      <c r="F2959" t="s">
        <v>2712</v>
      </c>
      <c r="G2959" t="s">
        <v>2945</v>
      </c>
    </row>
    <row r="2960" spans="1:7" x14ac:dyDescent="0.3">
      <c r="A2960">
        <v>2958</v>
      </c>
      <c r="B2960" t="s">
        <v>3346</v>
      </c>
      <c r="C2960" t="s">
        <v>3307</v>
      </c>
      <c r="D2960">
        <v>155</v>
      </c>
      <c r="E2960">
        <v>89</v>
      </c>
      <c r="F2960" t="s">
        <v>2680</v>
      </c>
      <c r="G2960" t="s">
        <v>2936</v>
      </c>
    </row>
    <row r="2961" spans="1:7" x14ac:dyDescent="0.3">
      <c r="A2961">
        <v>2959</v>
      </c>
      <c r="B2961" t="s">
        <v>3347</v>
      </c>
      <c r="C2961" t="s">
        <v>3307</v>
      </c>
      <c r="D2961">
        <v>425</v>
      </c>
      <c r="E2961">
        <v>329</v>
      </c>
      <c r="F2961" t="s">
        <v>2712</v>
      </c>
      <c r="G2961" t="s">
        <v>2936</v>
      </c>
    </row>
    <row r="2962" spans="1:7" x14ac:dyDescent="0.3">
      <c r="A2962">
        <v>2960</v>
      </c>
      <c r="B2962" t="s">
        <v>3348</v>
      </c>
      <c r="C2962" t="s">
        <v>3349</v>
      </c>
      <c r="D2962">
        <v>500</v>
      </c>
      <c r="E2962">
        <v>275</v>
      </c>
      <c r="F2962" t="s">
        <v>3350</v>
      </c>
      <c r="G2962" t="s">
        <v>2945</v>
      </c>
    </row>
    <row r="2963" spans="1:7" x14ac:dyDescent="0.3">
      <c r="A2963">
        <v>2961</v>
      </c>
      <c r="B2963" t="s">
        <v>3351</v>
      </c>
      <c r="C2963" t="s">
        <v>17</v>
      </c>
      <c r="D2963">
        <v>150</v>
      </c>
      <c r="E2963">
        <v>109</v>
      </c>
      <c r="F2963" t="s">
        <v>2712</v>
      </c>
      <c r="G2963" t="s">
        <v>2945</v>
      </c>
    </row>
    <row r="2964" spans="1:7" x14ac:dyDescent="0.3">
      <c r="A2964">
        <v>2962</v>
      </c>
      <c r="B2964" t="s">
        <v>3352</v>
      </c>
      <c r="C2964" t="s">
        <v>3217</v>
      </c>
      <c r="D2964">
        <v>100</v>
      </c>
      <c r="E2964">
        <v>79</v>
      </c>
      <c r="F2964" t="s">
        <v>246</v>
      </c>
      <c r="G2964" t="s">
        <v>2936</v>
      </c>
    </row>
    <row r="2965" spans="1:7" x14ac:dyDescent="0.3">
      <c r="A2965">
        <v>2963</v>
      </c>
      <c r="B2965" t="s">
        <v>3353</v>
      </c>
      <c r="C2965" t="s">
        <v>17</v>
      </c>
      <c r="D2965">
        <v>119</v>
      </c>
      <c r="E2965">
        <v>79</v>
      </c>
      <c r="F2965" t="s">
        <v>2712</v>
      </c>
      <c r="G2965" t="s">
        <v>2945</v>
      </c>
    </row>
    <row r="2966" spans="1:7" x14ac:dyDescent="0.3">
      <c r="A2966">
        <v>2964</v>
      </c>
      <c r="B2966" t="s">
        <v>3354</v>
      </c>
      <c r="C2966" t="s">
        <v>17</v>
      </c>
      <c r="D2966">
        <v>199</v>
      </c>
      <c r="E2966">
        <v>149</v>
      </c>
      <c r="F2966" t="s">
        <v>3271</v>
      </c>
      <c r="G2966" t="s">
        <v>2945</v>
      </c>
    </row>
    <row r="2967" spans="1:7" x14ac:dyDescent="0.3">
      <c r="A2967">
        <v>2965</v>
      </c>
      <c r="B2967" t="s">
        <v>3355</v>
      </c>
      <c r="C2967" t="s">
        <v>17</v>
      </c>
      <c r="D2967">
        <v>179</v>
      </c>
      <c r="E2967">
        <v>129</v>
      </c>
      <c r="F2967" t="s">
        <v>2712</v>
      </c>
      <c r="G2967" t="s">
        <v>2945</v>
      </c>
    </row>
    <row r="2968" spans="1:7" x14ac:dyDescent="0.3">
      <c r="A2968">
        <v>2966</v>
      </c>
      <c r="B2968" t="s">
        <v>3356</v>
      </c>
      <c r="C2968" t="s">
        <v>3307</v>
      </c>
      <c r="D2968">
        <v>310</v>
      </c>
      <c r="E2968">
        <v>249</v>
      </c>
      <c r="F2968" t="s">
        <v>2712</v>
      </c>
      <c r="G2968" t="s">
        <v>2936</v>
      </c>
    </row>
    <row r="2969" spans="1:7" x14ac:dyDescent="0.3">
      <c r="A2969">
        <v>2967</v>
      </c>
      <c r="B2969" t="s">
        <v>3357</v>
      </c>
      <c r="C2969" t="s">
        <v>17</v>
      </c>
      <c r="D2969">
        <v>165</v>
      </c>
      <c r="E2969">
        <v>149</v>
      </c>
      <c r="F2969" t="s">
        <v>3271</v>
      </c>
      <c r="G2969" t="s">
        <v>2936</v>
      </c>
    </row>
    <row r="2970" spans="1:7" x14ac:dyDescent="0.3">
      <c r="A2970">
        <v>2968</v>
      </c>
      <c r="B2970" t="s">
        <v>3358</v>
      </c>
      <c r="C2970" t="s">
        <v>17</v>
      </c>
      <c r="D2970">
        <v>99</v>
      </c>
      <c r="E2970">
        <v>59</v>
      </c>
      <c r="F2970" t="s">
        <v>2712</v>
      </c>
      <c r="G2970" t="s">
        <v>2945</v>
      </c>
    </row>
    <row r="2971" spans="1:7" x14ac:dyDescent="0.3">
      <c r="A2971">
        <v>2969</v>
      </c>
      <c r="B2971" t="s">
        <v>3359</v>
      </c>
      <c r="C2971" t="s">
        <v>3360</v>
      </c>
      <c r="D2971">
        <v>175</v>
      </c>
      <c r="E2971">
        <v>125</v>
      </c>
      <c r="F2971" t="s">
        <v>3004</v>
      </c>
      <c r="G2971" t="s">
        <v>2936</v>
      </c>
    </row>
    <row r="2972" spans="1:7" x14ac:dyDescent="0.3">
      <c r="A2972">
        <v>2970</v>
      </c>
      <c r="B2972" t="s">
        <v>3361</v>
      </c>
      <c r="C2972" t="s">
        <v>17</v>
      </c>
      <c r="D2972">
        <v>149</v>
      </c>
      <c r="E2972">
        <v>79</v>
      </c>
      <c r="F2972" t="s">
        <v>3192</v>
      </c>
      <c r="G2972" t="s">
        <v>2945</v>
      </c>
    </row>
    <row r="2973" spans="1:7" x14ac:dyDescent="0.3">
      <c r="A2973">
        <v>2971</v>
      </c>
      <c r="B2973" t="s">
        <v>3362</v>
      </c>
      <c r="C2973" t="s">
        <v>17</v>
      </c>
      <c r="D2973">
        <v>440</v>
      </c>
      <c r="E2973">
        <v>279</v>
      </c>
      <c r="F2973" t="s">
        <v>2712</v>
      </c>
      <c r="G2973" t="s">
        <v>2945</v>
      </c>
    </row>
    <row r="2974" spans="1:7" x14ac:dyDescent="0.3">
      <c r="A2974">
        <v>2972</v>
      </c>
      <c r="B2974" t="s">
        <v>3363</v>
      </c>
      <c r="C2974" t="s">
        <v>356</v>
      </c>
      <c r="D2974">
        <v>220</v>
      </c>
      <c r="E2974">
        <v>149</v>
      </c>
      <c r="F2974" t="s">
        <v>3271</v>
      </c>
      <c r="G2974" t="s">
        <v>2945</v>
      </c>
    </row>
    <row r="2975" spans="1:7" x14ac:dyDescent="0.3">
      <c r="A2975">
        <v>2973</v>
      </c>
      <c r="B2975" t="s">
        <v>3364</v>
      </c>
      <c r="C2975" t="s">
        <v>17</v>
      </c>
      <c r="D2975">
        <v>99</v>
      </c>
      <c r="E2975">
        <v>79</v>
      </c>
      <c r="F2975" t="s">
        <v>2712</v>
      </c>
      <c r="G2975" t="s">
        <v>2945</v>
      </c>
    </row>
    <row r="2976" spans="1:7" x14ac:dyDescent="0.3">
      <c r="A2976">
        <v>2974</v>
      </c>
      <c r="B2976" t="s">
        <v>3365</v>
      </c>
      <c r="C2976" t="s">
        <v>3366</v>
      </c>
      <c r="D2976">
        <v>1650</v>
      </c>
      <c r="E2976">
        <v>1299</v>
      </c>
      <c r="F2976" t="s">
        <v>3367</v>
      </c>
      <c r="G2976" t="s">
        <v>2945</v>
      </c>
    </row>
    <row r="2977" spans="1:7" x14ac:dyDescent="0.3">
      <c r="A2977">
        <v>2975</v>
      </c>
      <c r="B2977" t="s">
        <v>3368</v>
      </c>
      <c r="C2977" t="s">
        <v>3360</v>
      </c>
      <c r="D2977">
        <v>135</v>
      </c>
      <c r="E2977">
        <v>99</v>
      </c>
      <c r="F2977" t="s">
        <v>2712</v>
      </c>
      <c r="G2977" t="s">
        <v>2936</v>
      </c>
    </row>
    <row r="2978" spans="1:7" x14ac:dyDescent="0.3">
      <c r="A2978">
        <v>2976</v>
      </c>
      <c r="B2978" t="s">
        <v>3369</v>
      </c>
      <c r="C2978" t="s">
        <v>17</v>
      </c>
      <c r="D2978">
        <v>59</v>
      </c>
      <c r="E2978">
        <v>35</v>
      </c>
      <c r="F2978" t="s">
        <v>2712</v>
      </c>
      <c r="G2978" t="s">
        <v>2945</v>
      </c>
    </row>
    <row r="2979" spans="1:7" x14ac:dyDescent="0.3">
      <c r="A2979">
        <v>2977</v>
      </c>
      <c r="B2979" t="s">
        <v>3370</v>
      </c>
      <c r="C2979" t="s">
        <v>3307</v>
      </c>
      <c r="D2979">
        <v>415</v>
      </c>
      <c r="E2979">
        <v>299</v>
      </c>
      <c r="F2979" t="s">
        <v>2712</v>
      </c>
      <c r="G2979" t="s">
        <v>2936</v>
      </c>
    </row>
    <row r="2980" spans="1:7" x14ac:dyDescent="0.3">
      <c r="A2980">
        <v>2978</v>
      </c>
      <c r="B2980" t="s">
        <v>3371</v>
      </c>
      <c r="C2980" t="s">
        <v>3307</v>
      </c>
      <c r="D2980">
        <v>55</v>
      </c>
      <c r="E2980">
        <v>39</v>
      </c>
      <c r="F2980" t="s">
        <v>3004</v>
      </c>
      <c r="G2980" t="s">
        <v>2936</v>
      </c>
    </row>
    <row r="2981" spans="1:7" x14ac:dyDescent="0.3">
      <c r="A2981">
        <v>2979</v>
      </c>
      <c r="B2981" t="s">
        <v>3372</v>
      </c>
      <c r="C2981" t="s">
        <v>3307</v>
      </c>
      <c r="D2981">
        <v>255</v>
      </c>
      <c r="E2981">
        <v>219</v>
      </c>
      <c r="F2981" t="s">
        <v>2712</v>
      </c>
      <c r="G2981" t="s">
        <v>2936</v>
      </c>
    </row>
    <row r="2982" spans="1:7" x14ac:dyDescent="0.3">
      <c r="A2982">
        <v>2980</v>
      </c>
      <c r="B2982" t="s">
        <v>3373</v>
      </c>
      <c r="C2982" t="s">
        <v>17</v>
      </c>
      <c r="D2982">
        <v>110</v>
      </c>
      <c r="E2982">
        <v>79</v>
      </c>
      <c r="F2982" t="s">
        <v>2739</v>
      </c>
      <c r="G2982" t="s">
        <v>2945</v>
      </c>
    </row>
    <row r="2983" spans="1:7" x14ac:dyDescent="0.3">
      <c r="A2983">
        <v>2981</v>
      </c>
      <c r="B2983" t="s">
        <v>3374</v>
      </c>
      <c r="C2983" t="s">
        <v>17</v>
      </c>
      <c r="D2983">
        <v>89</v>
      </c>
      <c r="E2983">
        <v>69</v>
      </c>
      <c r="F2983" t="s">
        <v>2712</v>
      </c>
      <c r="G2983" t="s">
        <v>2945</v>
      </c>
    </row>
    <row r="2984" spans="1:7" x14ac:dyDescent="0.3">
      <c r="A2984">
        <v>2982</v>
      </c>
      <c r="B2984" t="s">
        <v>3375</v>
      </c>
      <c r="C2984" t="s">
        <v>3307</v>
      </c>
      <c r="D2984">
        <v>99</v>
      </c>
      <c r="E2984">
        <v>69</v>
      </c>
      <c r="F2984" t="s">
        <v>3004</v>
      </c>
      <c r="G2984" t="s">
        <v>2936</v>
      </c>
    </row>
    <row r="2985" spans="1:7" x14ac:dyDescent="0.3">
      <c r="A2985">
        <v>2983</v>
      </c>
      <c r="B2985" t="s">
        <v>3376</v>
      </c>
      <c r="C2985" t="s">
        <v>3311</v>
      </c>
      <c r="D2985">
        <v>1800</v>
      </c>
      <c r="E2985">
        <v>999</v>
      </c>
      <c r="F2985" t="s">
        <v>3377</v>
      </c>
      <c r="G2985" t="s">
        <v>2936</v>
      </c>
    </row>
    <row r="2986" spans="1:7" x14ac:dyDescent="0.3">
      <c r="A2986">
        <v>2984</v>
      </c>
      <c r="B2986" t="s">
        <v>3378</v>
      </c>
      <c r="C2986" t="s">
        <v>17</v>
      </c>
      <c r="D2986">
        <v>875</v>
      </c>
      <c r="E2986">
        <v>825</v>
      </c>
      <c r="F2986" t="s">
        <v>2712</v>
      </c>
      <c r="G2986" t="s">
        <v>3379</v>
      </c>
    </row>
    <row r="2987" spans="1:7" x14ac:dyDescent="0.3">
      <c r="A2987">
        <v>2985</v>
      </c>
      <c r="B2987" t="s">
        <v>3380</v>
      </c>
      <c r="C2987" t="s">
        <v>17</v>
      </c>
      <c r="D2987">
        <v>279</v>
      </c>
      <c r="E2987">
        <v>219</v>
      </c>
      <c r="F2987" t="s">
        <v>3004</v>
      </c>
      <c r="G2987" t="s">
        <v>2945</v>
      </c>
    </row>
    <row r="2988" spans="1:7" x14ac:dyDescent="0.3">
      <c r="A2988">
        <v>2986</v>
      </c>
      <c r="B2988" t="s">
        <v>3381</v>
      </c>
      <c r="C2988" t="s">
        <v>17</v>
      </c>
      <c r="D2988">
        <v>220</v>
      </c>
      <c r="E2988">
        <v>129</v>
      </c>
      <c r="F2988" t="s">
        <v>2712</v>
      </c>
      <c r="G2988" t="s">
        <v>2945</v>
      </c>
    </row>
    <row r="2989" spans="1:7" x14ac:dyDescent="0.3">
      <c r="A2989">
        <v>2987</v>
      </c>
      <c r="B2989" t="s">
        <v>3382</v>
      </c>
      <c r="C2989" t="s">
        <v>2965</v>
      </c>
      <c r="D2989">
        <v>229</v>
      </c>
      <c r="E2989">
        <v>175</v>
      </c>
      <c r="F2989" t="s">
        <v>2712</v>
      </c>
      <c r="G2989" t="s">
        <v>2945</v>
      </c>
    </row>
    <row r="2990" spans="1:7" x14ac:dyDescent="0.3">
      <c r="A2990">
        <v>2988</v>
      </c>
      <c r="B2990" t="s">
        <v>3383</v>
      </c>
      <c r="C2990" t="s">
        <v>3221</v>
      </c>
      <c r="D2990">
        <v>1185</v>
      </c>
      <c r="E2990">
        <v>579</v>
      </c>
      <c r="F2990" t="s">
        <v>2712</v>
      </c>
      <c r="G2990" t="s">
        <v>2945</v>
      </c>
    </row>
    <row r="2991" spans="1:7" x14ac:dyDescent="0.3">
      <c r="A2991">
        <v>2989</v>
      </c>
      <c r="B2991" t="s">
        <v>3384</v>
      </c>
      <c r="C2991" t="s">
        <v>3385</v>
      </c>
      <c r="D2991">
        <v>299</v>
      </c>
      <c r="E2991">
        <v>129</v>
      </c>
      <c r="F2991" t="s">
        <v>2712</v>
      </c>
      <c r="G2991" t="s">
        <v>2945</v>
      </c>
    </row>
    <row r="2992" spans="1:7" x14ac:dyDescent="0.3">
      <c r="A2992">
        <v>2990</v>
      </c>
      <c r="B2992" t="s">
        <v>3386</v>
      </c>
      <c r="C2992" t="s">
        <v>3385</v>
      </c>
      <c r="D2992">
        <v>299</v>
      </c>
      <c r="E2992">
        <v>99</v>
      </c>
      <c r="F2992" t="s">
        <v>727</v>
      </c>
      <c r="G2992" t="s">
        <v>2945</v>
      </c>
    </row>
    <row r="2993" spans="1:7" x14ac:dyDescent="0.3">
      <c r="A2993">
        <v>2991</v>
      </c>
      <c r="B2993" t="s">
        <v>3387</v>
      </c>
      <c r="C2993" t="s">
        <v>3221</v>
      </c>
      <c r="D2993">
        <v>448</v>
      </c>
      <c r="E2993">
        <v>199</v>
      </c>
      <c r="F2993" t="s">
        <v>2712</v>
      </c>
      <c r="G2993" t="s">
        <v>2945</v>
      </c>
    </row>
    <row r="2994" spans="1:7" x14ac:dyDescent="0.3">
      <c r="A2994">
        <v>2992</v>
      </c>
      <c r="B2994" t="s">
        <v>3388</v>
      </c>
      <c r="C2994" t="s">
        <v>3217</v>
      </c>
      <c r="D2994">
        <v>586</v>
      </c>
      <c r="E2994">
        <v>315</v>
      </c>
      <c r="F2994" t="s">
        <v>2712</v>
      </c>
      <c r="G2994" t="s">
        <v>2945</v>
      </c>
    </row>
    <row r="2995" spans="1:7" x14ac:dyDescent="0.3">
      <c r="A2995">
        <v>2993</v>
      </c>
      <c r="B2995" t="s">
        <v>3389</v>
      </c>
      <c r="C2995" t="s">
        <v>3217</v>
      </c>
      <c r="D2995">
        <v>289</v>
      </c>
      <c r="E2995">
        <v>115</v>
      </c>
      <c r="F2995" t="s">
        <v>2712</v>
      </c>
      <c r="G2995" t="s">
        <v>2945</v>
      </c>
    </row>
    <row r="2996" spans="1:7" x14ac:dyDescent="0.3">
      <c r="A2996">
        <v>2994</v>
      </c>
      <c r="B2996" t="s">
        <v>3390</v>
      </c>
      <c r="C2996" t="s">
        <v>3217</v>
      </c>
      <c r="D2996">
        <v>289</v>
      </c>
      <c r="E2996">
        <v>115</v>
      </c>
      <c r="F2996" t="s">
        <v>2712</v>
      </c>
      <c r="G2996" t="s">
        <v>2945</v>
      </c>
    </row>
    <row r="2997" spans="1:7" x14ac:dyDescent="0.3">
      <c r="A2997">
        <v>2995</v>
      </c>
      <c r="B2997" t="s">
        <v>3391</v>
      </c>
      <c r="C2997" t="s">
        <v>3217</v>
      </c>
      <c r="D2997">
        <v>86</v>
      </c>
      <c r="E2997">
        <v>49</v>
      </c>
      <c r="F2997" t="s">
        <v>2712</v>
      </c>
      <c r="G2997" t="s">
        <v>2945</v>
      </c>
    </row>
    <row r="2998" spans="1:7" x14ac:dyDescent="0.3">
      <c r="A2998">
        <v>2996</v>
      </c>
      <c r="B2998" t="s">
        <v>3392</v>
      </c>
      <c r="C2998" t="s">
        <v>3393</v>
      </c>
      <c r="D2998">
        <v>175</v>
      </c>
      <c r="E2998">
        <v>149</v>
      </c>
      <c r="F2998" t="s">
        <v>3323</v>
      </c>
      <c r="G2998" t="s">
        <v>2945</v>
      </c>
    </row>
    <row r="2999" spans="1:7" x14ac:dyDescent="0.3">
      <c r="A2999">
        <v>2997</v>
      </c>
      <c r="B2999" t="s">
        <v>3394</v>
      </c>
      <c r="C2999" t="s">
        <v>3393</v>
      </c>
      <c r="D2999">
        <v>99</v>
      </c>
      <c r="E2999">
        <v>79</v>
      </c>
      <c r="F2999" t="s">
        <v>3271</v>
      </c>
      <c r="G2999" t="s">
        <v>2945</v>
      </c>
    </row>
    <row r="3000" spans="1:7" x14ac:dyDescent="0.3">
      <c r="A3000">
        <v>2998</v>
      </c>
      <c r="B3000" t="s">
        <v>3395</v>
      </c>
      <c r="C3000" t="s">
        <v>3393</v>
      </c>
      <c r="D3000">
        <v>249</v>
      </c>
      <c r="E3000">
        <v>209</v>
      </c>
      <c r="F3000" t="s">
        <v>3396</v>
      </c>
      <c r="G3000" t="s">
        <v>2945</v>
      </c>
    </row>
    <row r="3001" spans="1:7" x14ac:dyDescent="0.3">
      <c r="A3001">
        <v>2999</v>
      </c>
      <c r="B3001" t="s">
        <v>3397</v>
      </c>
      <c r="C3001" t="s">
        <v>3393</v>
      </c>
      <c r="D3001">
        <v>149</v>
      </c>
      <c r="E3001">
        <v>124</v>
      </c>
      <c r="F3001" t="s">
        <v>3271</v>
      </c>
      <c r="G3001" t="s">
        <v>2945</v>
      </c>
    </row>
    <row r="3002" spans="1:7" x14ac:dyDescent="0.3">
      <c r="A3002">
        <v>3000</v>
      </c>
      <c r="B3002" t="s">
        <v>3398</v>
      </c>
      <c r="C3002" t="s">
        <v>3316</v>
      </c>
      <c r="D3002">
        <v>720</v>
      </c>
      <c r="E3002">
        <v>349</v>
      </c>
      <c r="F3002" t="s">
        <v>2712</v>
      </c>
      <c r="G3002" t="s">
        <v>3399</v>
      </c>
    </row>
    <row r="3003" spans="1:7" x14ac:dyDescent="0.3">
      <c r="A3003">
        <v>3001</v>
      </c>
      <c r="B3003" t="s">
        <v>3400</v>
      </c>
      <c r="C3003" t="s">
        <v>3316</v>
      </c>
      <c r="D3003">
        <v>720</v>
      </c>
      <c r="E3003">
        <v>349</v>
      </c>
      <c r="F3003" t="s">
        <v>3004</v>
      </c>
      <c r="G3003" t="s">
        <v>3399</v>
      </c>
    </row>
    <row r="3004" spans="1:7" x14ac:dyDescent="0.3">
      <c r="A3004">
        <v>3002</v>
      </c>
      <c r="B3004" t="s">
        <v>3401</v>
      </c>
      <c r="C3004" t="s">
        <v>3316</v>
      </c>
      <c r="D3004">
        <v>1216</v>
      </c>
      <c r="E3004">
        <v>599</v>
      </c>
      <c r="F3004" t="s">
        <v>3004</v>
      </c>
      <c r="G3004" t="s">
        <v>3399</v>
      </c>
    </row>
    <row r="3005" spans="1:7" x14ac:dyDescent="0.3">
      <c r="A3005">
        <v>3003</v>
      </c>
      <c r="B3005" t="s">
        <v>3402</v>
      </c>
      <c r="C3005" t="s">
        <v>3316</v>
      </c>
      <c r="D3005">
        <v>563</v>
      </c>
      <c r="E3005">
        <v>249</v>
      </c>
      <c r="F3005" t="s">
        <v>3004</v>
      </c>
      <c r="G3005" t="s">
        <v>3399</v>
      </c>
    </row>
    <row r="3006" spans="1:7" x14ac:dyDescent="0.3">
      <c r="A3006">
        <v>3004</v>
      </c>
      <c r="B3006" t="s">
        <v>3403</v>
      </c>
      <c r="C3006" t="s">
        <v>17</v>
      </c>
      <c r="D3006">
        <v>35</v>
      </c>
      <c r="E3006">
        <v>32</v>
      </c>
      <c r="F3006" t="s">
        <v>740</v>
      </c>
      <c r="G3006" t="s">
        <v>3399</v>
      </c>
    </row>
    <row r="3007" spans="1:7" x14ac:dyDescent="0.3">
      <c r="A3007">
        <v>3005</v>
      </c>
      <c r="B3007" t="s">
        <v>3404</v>
      </c>
      <c r="C3007" t="s">
        <v>3316</v>
      </c>
      <c r="D3007">
        <v>1216</v>
      </c>
      <c r="E3007">
        <v>599</v>
      </c>
      <c r="F3007" t="s">
        <v>3004</v>
      </c>
      <c r="G3007" t="s">
        <v>3399</v>
      </c>
    </row>
    <row r="3008" spans="1:7" x14ac:dyDescent="0.3">
      <c r="A3008">
        <v>3006</v>
      </c>
      <c r="B3008" t="s">
        <v>3405</v>
      </c>
      <c r="C3008" t="s">
        <v>3316</v>
      </c>
      <c r="D3008">
        <v>609</v>
      </c>
      <c r="E3008">
        <v>349</v>
      </c>
      <c r="F3008" t="s">
        <v>3004</v>
      </c>
      <c r="G3008" t="s">
        <v>3399</v>
      </c>
    </row>
    <row r="3009" spans="1:7" x14ac:dyDescent="0.3">
      <c r="A3009">
        <v>3007</v>
      </c>
      <c r="B3009" t="s">
        <v>3406</v>
      </c>
      <c r="C3009" t="s">
        <v>3316</v>
      </c>
      <c r="D3009">
        <v>74</v>
      </c>
      <c r="E3009">
        <v>49</v>
      </c>
      <c r="F3009" t="s">
        <v>3004</v>
      </c>
      <c r="G3009" t="s">
        <v>3399</v>
      </c>
    </row>
    <row r="3010" spans="1:7" x14ac:dyDescent="0.3">
      <c r="A3010">
        <v>3008</v>
      </c>
      <c r="B3010" t="s">
        <v>3407</v>
      </c>
      <c r="C3010" t="s">
        <v>3316</v>
      </c>
      <c r="D3010">
        <v>494</v>
      </c>
      <c r="E3010">
        <v>249</v>
      </c>
      <c r="F3010" t="s">
        <v>3004</v>
      </c>
      <c r="G3010" t="s">
        <v>3399</v>
      </c>
    </row>
    <row r="3011" spans="1:7" x14ac:dyDescent="0.3">
      <c r="A3011">
        <v>3009</v>
      </c>
      <c r="B3011" t="s">
        <v>3408</v>
      </c>
      <c r="C3011" t="s">
        <v>3316</v>
      </c>
      <c r="D3011">
        <v>74</v>
      </c>
      <c r="E3011">
        <v>49</v>
      </c>
      <c r="F3011" t="s">
        <v>3004</v>
      </c>
      <c r="G3011" t="s">
        <v>3399</v>
      </c>
    </row>
    <row r="3012" spans="1:7" x14ac:dyDescent="0.3">
      <c r="A3012">
        <v>3010</v>
      </c>
      <c r="B3012" t="s">
        <v>3409</v>
      </c>
      <c r="C3012" t="s">
        <v>3316</v>
      </c>
      <c r="D3012">
        <v>609</v>
      </c>
      <c r="E3012">
        <v>349</v>
      </c>
      <c r="F3012" t="s">
        <v>3004</v>
      </c>
      <c r="G3012" t="s">
        <v>3399</v>
      </c>
    </row>
    <row r="3013" spans="1:7" x14ac:dyDescent="0.3">
      <c r="A3013">
        <v>3011</v>
      </c>
      <c r="B3013" t="s">
        <v>3410</v>
      </c>
      <c r="C3013" t="s">
        <v>3316</v>
      </c>
      <c r="D3013">
        <v>235</v>
      </c>
      <c r="E3013">
        <v>129</v>
      </c>
      <c r="F3013" t="s">
        <v>3004</v>
      </c>
      <c r="G3013" t="s">
        <v>3399</v>
      </c>
    </row>
    <row r="3014" spans="1:7" x14ac:dyDescent="0.3">
      <c r="A3014">
        <v>3012</v>
      </c>
      <c r="B3014" t="s">
        <v>3411</v>
      </c>
      <c r="C3014" t="s">
        <v>3316</v>
      </c>
      <c r="D3014">
        <v>235</v>
      </c>
      <c r="E3014">
        <v>129</v>
      </c>
      <c r="F3014" t="s">
        <v>3004</v>
      </c>
      <c r="G3014" t="s">
        <v>3399</v>
      </c>
    </row>
    <row r="3015" spans="1:7" x14ac:dyDescent="0.3">
      <c r="A3015">
        <v>3013</v>
      </c>
      <c r="B3015" t="s">
        <v>3412</v>
      </c>
      <c r="C3015" t="s">
        <v>3316</v>
      </c>
      <c r="D3015">
        <v>494</v>
      </c>
      <c r="E3015">
        <v>249</v>
      </c>
      <c r="F3015" t="s">
        <v>3004</v>
      </c>
      <c r="G3015" t="s">
        <v>3399</v>
      </c>
    </row>
    <row r="3016" spans="1:7" x14ac:dyDescent="0.3">
      <c r="A3016">
        <v>3014</v>
      </c>
      <c r="B3016" t="s">
        <v>3413</v>
      </c>
      <c r="C3016" t="s">
        <v>3316</v>
      </c>
      <c r="D3016">
        <v>563</v>
      </c>
      <c r="E3016">
        <v>249</v>
      </c>
      <c r="F3016" t="s">
        <v>3004</v>
      </c>
      <c r="G3016" t="s">
        <v>3399</v>
      </c>
    </row>
    <row r="3017" spans="1:7" x14ac:dyDescent="0.3">
      <c r="A3017">
        <v>3015</v>
      </c>
      <c r="B3017" t="s">
        <v>3414</v>
      </c>
      <c r="C3017" t="s">
        <v>17</v>
      </c>
      <c r="D3017">
        <v>77</v>
      </c>
      <c r="E3017">
        <v>69</v>
      </c>
      <c r="F3017" t="s">
        <v>1697</v>
      </c>
      <c r="G3017" t="s">
        <v>3399</v>
      </c>
    </row>
    <row r="3018" spans="1:7" x14ac:dyDescent="0.3">
      <c r="A3018">
        <v>3016</v>
      </c>
      <c r="B3018" t="s">
        <v>3415</v>
      </c>
      <c r="C3018" t="s">
        <v>3416</v>
      </c>
      <c r="D3018">
        <v>800</v>
      </c>
      <c r="E3018">
        <v>699</v>
      </c>
      <c r="F3018" t="s">
        <v>3417</v>
      </c>
      <c r="G3018" t="s">
        <v>3399</v>
      </c>
    </row>
    <row r="3019" spans="1:7" x14ac:dyDescent="0.3">
      <c r="A3019">
        <v>3017</v>
      </c>
      <c r="B3019" t="s">
        <v>3418</v>
      </c>
      <c r="C3019" t="s">
        <v>3217</v>
      </c>
      <c r="D3019">
        <v>368</v>
      </c>
      <c r="E3019">
        <v>215</v>
      </c>
      <c r="F3019" t="s">
        <v>2680</v>
      </c>
      <c r="G3019" t="s">
        <v>3399</v>
      </c>
    </row>
    <row r="3020" spans="1:7" x14ac:dyDescent="0.3">
      <c r="A3020">
        <v>3018</v>
      </c>
      <c r="B3020" t="s">
        <v>3419</v>
      </c>
      <c r="C3020" t="s">
        <v>3420</v>
      </c>
      <c r="D3020">
        <v>1799</v>
      </c>
      <c r="E3020">
        <v>849</v>
      </c>
      <c r="F3020" t="s">
        <v>3421</v>
      </c>
      <c r="G3020" t="s">
        <v>3399</v>
      </c>
    </row>
    <row r="3021" spans="1:7" x14ac:dyDescent="0.3">
      <c r="A3021">
        <v>3019</v>
      </c>
      <c r="B3021" t="s">
        <v>3422</v>
      </c>
      <c r="C3021" t="s">
        <v>3420</v>
      </c>
      <c r="D3021">
        <v>1799</v>
      </c>
      <c r="E3021">
        <v>849</v>
      </c>
      <c r="F3021" t="s">
        <v>3423</v>
      </c>
      <c r="G3021" t="s">
        <v>3399</v>
      </c>
    </row>
    <row r="3022" spans="1:7" x14ac:dyDescent="0.3">
      <c r="A3022">
        <v>3020</v>
      </c>
      <c r="B3022" t="s">
        <v>3424</v>
      </c>
      <c r="C3022" t="s">
        <v>3420</v>
      </c>
      <c r="D3022">
        <v>1799</v>
      </c>
      <c r="E3022">
        <v>849</v>
      </c>
      <c r="F3022" t="s">
        <v>3425</v>
      </c>
      <c r="G3022" t="s">
        <v>3399</v>
      </c>
    </row>
    <row r="3023" spans="1:7" x14ac:dyDescent="0.3">
      <c r="A3023">
        <v>3021</v>
      </c>
      <c r="B3023" t="s">
        <v>3426</v>
      </c>
      <c r="C3023" t="s">
        <v>3420</v>
      </c>
      <c r="D3023">
        <v>1799</v>
      </c>
      <c r="E3023">
        <v>849</v>
      </c>
      <c r="F3023" t="s">
        <v>3427</v>
      </c>
      <c r="G3023" t="s">
        <v>3399</v>
      </c>
    </row>
    <row r="3024" spans="1:7" x14ac:dyDescent="0.3">
      <c r="A3024">
        <v>3022</v>
      </c>
      <c r="B3024" t="s">
        <v>3428</v>
      </c>
      <c r="C3024" t="s">
        <v>3420</v>
      </c>
      <c r="D3024">
        <v>1799</v>
      </c>
      <c r="E3024">
        <v>849</v>
      </c>
      <c r="F3024" t="s">
        <v>3429</v>
      </c>
      <c r="G3024" t="s">
        <v>3399</v>
      </c>
    </row>
    <row r="3025" spans="1:7" x14ac:dyDescent="0.3">
      <c r="A3025">
        <v>3023</v>
      </c>
      <c r="B3025" t="s">
        <v>3430</v>
      </c>
      <c r="C3025" t="s">
        <v>3420</v>
      </c>
      <c r="D3025">
        <v>1799</v>
      </c>
      <c r="E3025">
        <v>849</v>
      </c>
      <c r="F3025" t="s">
        <v>3431</v>
      </c>
      <c r="G3025" t="s">
        <v>3399</v>
      </c>
    </row>
    <row r="3026" spans="1:7" x14ac:dyDescent="0.3">
      <c r="A3026">
        <v>3024</v>
      </c>
      <c r="B3026" t="s">
        <v>3432</v>
      </c>
      <c r="C3026" t="s">
        <v>3420</v>
      </c>
      <c r="D3026">
        <v>1799</v>
      </c>
      <c r="E3026">
        <v>849</v>
      </c>
      <c r="F3026" t="s">
        <v>3433</v>
      </c>
      <c r="G3026" t="s">
        <v>3399</v>
      </c>
    </row>
    <row r="3027" spans="1:7" x14ac:dyDescent="0.3">
      <c r="A3027">
        <v>3025</v>
      </c>
      <c r="B3027" t="s">
        <v>3434</v>
      </c>
      <c r="C3027" t="s">
        <v>3420</v>
      </c>
      <c r="D3027">
        <v>1799</v>
      </c>
      <c r="E3027">
        <v>849</v>
      </c>
      <c r="F3027" t="s">
        <v>3435</v>
      </c>
      <c r="G3027" t="s">
        <v>3399</v>
      </c>
    </row>
    <row r="3028" spans="1:7" x14ac:dyDescent="0.3">
      <c r="A3028">
        <v>3026</v>
      </c>
      <c r="B3028" t="s">
        <v>3436</v>
      </c>
      <c r="C3028" t="s">
        <v>3420</v>
      </c>
      <c r="D3028">
        <v>1799</v>
      </c>
      <c r="E3028">
        <v>849</v>
      </c>
      <c r="F3028" t="s">
        <v>3437</v>
      </c>
      <c r="G3028" t="s">
        <v>3399</v>
      </c>
    </row>
    <row r="3029" spans="1:7" x14ac:dyDescent="0.3">
      <c r="A3029">
        <v>3027</v>
      </c>
      <c r="B3029" t="s">
        <v>3438</v>
      </c>
      <c r="C3029" t="s">
        <v>3420</v>
      </c>
      <c r="D3029">
        <v>1799</v>
      </c>
      <c r="E3029">
        <v>849</v>
      </c>
      <c r="F3029" t="s">
        <v>3439</v>
      </c>
      <c r="G3029" t="s">
        <v>3399</v>
      </c>
    </row>
    <row r="3030" spans="1:7" x14ac:dyDescent="0.3">
      <c r="A3030">
        <v>3028</v>
      </c>
      <c r="B3030" t="s">
        <v>3440</v>
      </c>
      <c r="C3030" t="s">
        <v>3420</v>
      </c>
      <c r="D3030">
        <v>1799</v>
      </c>
      <c r="E3030">
        <v>849</v>
      </c>
      <c r="F3030" t="s">
        <v>3441</v>
      </c>
      <c r="G3030" t="s">
        <v>3399</v>
      </c>
    </row>
    <row r="3031" spans="1:7" x14ac:dyDescent="0.3">
      <c r="A3031">
        <v>3029</v>
      </c>
      <c r="B3031" t="s">
        <v>3442</v>
      </c>
      <c r="C3031" t="s">
        <v>3420</v>
      </c>
      <c r="D3031">
        <v>1799</v>
      </c>
      <c r="E3031">
        <v>849</v>
      </c>
      <c r="F3031" t="s">
        <v>3443</v>
      </c>
      <c r="G3031" t="s">
        <v>3399</v>
      </c>
    </row>
    <row r="3032" spans="1:7" x14ac:dyDescent="0.3">
      <c r="A3032">
        <v>3030</v>
      </c>
      <c r="B3032" t="s">
        <v>3444</v>
      </c>
      <c r="C3032" t="s">
        <v>3445</v>
      </c>
      <c r="D3032">
        <v>2099</v>
      </c>
      <c r="E3032">
        <v>699</v>
      </c>
      <c r="F3032" t="s">
        <v>2712</v>
      </c>
      <c r="G3032" t="s">
        <v>3399</v>
      </c>
    </row>
    <row r="3033" spans="1:7" x14ac:dyDescent="0.3">
      <c r="A3033">
        <v>3031</v>
      </c>
      <c r="B3033" t="s">
        <v>3446</v>
      </c>
      <c r="C3033" t="s">
        <v>3445</v>
      </c>
      <c r="D3033">
        <v>2099</v>
      </c>
      <c r="E3033">
        <v>699</v>
      </c>
      <c r="F3033" t="s">
        <v>2712</v>
      </c>
      <c r="G3033" t="s">
        <v>3399</v>
      </c>
    </row>
    <row r="3034" spans="1:7" x14ac:dyDescent="0.3">
      <c r="A3034">
        <v>3032</v>
      </c>
      <c r="B3034" t="s">
        <v>3447</v>
      </c>
      <c r="C3034" t="s">
        <v>3445</v>
      </c>
      <c r="D3034">
        <v>2099</v>
      </c>
      <c r="E3034">
        <v>699</v>
      </c>
      <c r="F3034" t="s">
        <v>2712</v>
      </c>
      <c r="G3034" t="s">
        <v>3399</v>
      </c>
    </row>
    <row r="3035" spans="1:7" x14ac:dyDescent="0.3">
      <c r="A3035">
        <v>3033</v>
      </c>
      <c r="B3035" t="s">
        <v>3448</v>
      </c>
      <c r="C3035" t="s">
        <v>3445</v>
      </c>
      <c r="D3035">
        <v>2099</v>
      </c>
      <c r="E3035">
        <v>699</v>
      </c>
      <c r="F3035" t="s">
        <v>2712</v>
      </c>
      <c r="G3035" t="s">
        <v>3399</v>
      </c>
    </row>
    <row r="3036" spans="1:7" x14ac:dyDescent="0.3">
      <c r="A3036">
        <v>3034</v>
      </c>
      <c r="B3036" t="s">
        <v>3449</v>
      </c>
      <c r="C3036" t="s">
        <v>3445</v>
      </c>
      <c r="D3036">
        <v>2099</v>
      </c>
      <c r="E3036">
        <v>699</v>
      </c>
      <c r="F3036" t="s">
        <v>2712</v>
      </c>
      <c r="G3036" t="s">
        <v>3399</v>
      </c>
    </row>
    <row r="3037" spans="1:7" x14ac:dyDescent="0.3">
      <c r="A3037">
        <v>3035</v>
      </c>
      <c r="B3037" t="s">
        <v>3450</v>
      </c>
      <c r="C3037" t="s">
        <v>3445</v>
      </c>
      <c r="D3037">
        <v>2099</v>
      </c>
      <c r="E3037">
        <v>699</v>
      </c>
      <c r="F3037" t="s">
        <v>2712</v>
      </c>
      <c r="G3037" t="s">
        <v>3399</v>
      </c>
    </row>
    <row r="3038" spans="1:7" x14ac:dyDescent="0.3">
      <c r="A3038">
        <v>3036</v>
      </c>
      <c r="B3038" t="s">
        <v>3451</v>
      </c>
      <c r="C3038" t="s">
        <v>3445</v>
      </c>
      <c r="D3038">
        <v>2099</v>
      </c>
      <c r="E3038">
        <v>699</v>
      </c>
      <c r="F3038" t="s">
        <v>2712</v>
      </c>
      <c r="G3038" t="s">
        <v>3399</v>
      </c>
    </row>
    <row r="3039" spans="1:7" x14ac:dyDescent="0.3">
      <c r="A3039">
        <v>3037</v>
      </c>
      <c r="B3039" t="s">
        <v>3452</v>
      </c>
      <c r="C3039" t="s">
        <v>3445</v>
      </c>
      <c r="D3039">
        <v>2099</v>
      </c>
      <c r="E3039">
        <v>699</v>
      </c>
      <c r="F3039" t="s">
        <v>2712</v>
      </c>
      <c r="G3039" t="s">
        <v>3399</v>
      </c>
    </row>
    <row r="3040" spans="1:7" x14ac:dyDescent="0.3">
      <c r="A3040">
        <v>3038</v>
      </c>
      <c r="B3040" t="s">
        <v>3453</v>
      </c>
      <c r="C3040" t="s">
        <v>3261</v>
      </c>
      <c r="D3040">
        <v>279</v>
      </c>
      <c r="E3040">
        <v>219</v>
      </c>
      <c r="F3040" t="s">
        <v>3107</v>
      </c>
      <c r="G3040" t="s">
        <v>3399</v>
      </c>
    </row>
    <row r="3041" spans="1:7" x14ac:dyDescent="0.3">
      <c r="A3041">
        <v>3039</v>
      </c>
      <c r="B3041" t="s">
        <v>3453</v>
      </c>
      <c r="C3041" t="s">
        <v>3261</v>
      </c>
      <c r="D3041">
        <v>245</v>
      </c>
      <c r="E3041">
        <v>199</v>
      </c>
      <c r="F3041" t="s">
        <v>539</v>
      </c>
      <c r="G3041" t="s">
        <v>3399</v>
      </c>
    </row>
    <row r="3042" spans="1:7" x14ac:dyDescent="0.3">
      <c r="A3042">
        <v>3040</v>
      </c>
      <c r="B3042" t="s">
        <v>3453</v>
      </c>
      <c r="C3042" t="s">
        <v>3261</v>
      </c>
      <c r="D3042">
        <v>245</v>
      </c>
      <c r="E3042">
        <v>199</v>
      </c>
      <c r="F3042" t="s">
        <v>3167</v>
      </c>
      <c r="G3042" t="s">
        <v>3399</v>
      </c>
    </row>
    <row r="3043" spans="1:7" x14ac:dyDescent="0.3">
      <c r="A3043">
        <v>3041</v>
      </c>
      <c r="B3043" t="s">
        <v>3454</v>
      </c>
      <c r="C3043" t="s">
        <v>3086</v>
      </c>
      <c r="D3043">
        <v>290</v>
      </c>
      <c r="E3043">
        <v>249</v>
      </c>
      <c r="F3043" t="s">
        <v>2712</v>
      </c>
      <c r="G3043" t="s">
        <v>3399</v>
      </c>
    </row>
    <row r="3044" spans="1:7" x14ac:dyDescent="0.3">
      <c r="A3044">
        <v>3042</v>
      </c>
      <c r="B3044" t="s">
        <v>3455</v>
      </c>
      <c r="C3044" t="s">
        <v>3086</v>
      </c>
      <c r="D3044">
        <v>275</v>
      </c>
      <c r="E3044">
        <v>225</v>
      </c>
      <c r="F3044" t="s">
        <v>2712</v>
      </c>
      <c r="G3044" t="s">
        <v>3399</v>
      </c>
    </row>
    <row r="3045" spans="1:7" x14ac:dyDescent="0.3">
      <c r="A3045">
        <v>3043</v>
      </c>
      <c r="B3045" t="s">
        <v>3456</v>
      </c>
      <c r="C3045" t="s">
        <v>3086</v>
      </c>
      <c r="D3045">
        <v>290</v>
      </c>
      <c r="E3045">
        <v>249</v>
      </c>
      <c r="F3045" t="s">
        <v>2712</v>
      </c>
      <c r="G3045" t="s">
        <v>3399</v>
      </c>
    </row>
    <row r="3046" spans="1:7" x14ac:dyDescent="0.3">
      <c r="A3046">
        <v>3044</v>
      </c>
      <c r="B3046" t="s">
        <v>3457</v>
      </c>
      <c r="C3046" t="s">
        <v>3086</v>
      </c>
      <c r="D3046">
        <v>225</v>
      </c>
      <c r="E3046">
        <v>175</v>
      </c>
      <c r="F3046" t="s">
        <v>2712</v>
      </c>
      <c r="G3046" t="s">
        <v>3399</v>
      </c>
    </row>
    <row r="3047" spans="1:7" x14ac:dyDescent="0.3">
      <c r="A3047">
        <v>3045</v>
      </c>
      <c r="B3047" t="s">
        <v>3458</v>
      </c>
      <c r="C3047" t="s">
        <v>3086</v>
      </c>
      <c r="D3047">
        <v>290</v>
      </c>
      <c r="E3047">
        <v>249</v>
      </c>
      <c r="F3047" t="s">
        <v>2712</v>
      </c>
      <c r="G3047" t="s">
        <v>3399</v>
      </c>
    </row>
    <row r="3048" spans="1:7" x14ac:dyDescent="0.3">
      <c r="A3048">
        <v>3046</v>
      </c>
      <c r="B3048" t="s">
        <v>3459</v>
      </c>
      <c r="C3048" t="s">
        <v>3086</v>
      </c>
      <c r="D3048">
        <v>175</v>
      </c>
      <c r="E3048">
        <v>149</v>
      </c>
      <c r="F3048" t="s">
        <v>2712</v>
      </c>
      <c r="G3048" t="s">
        <v>3399</v>
      </c>
    </row>
    <row r="3049" spans="1:7" x14ac:dyDescent="0.3">
      <c r="A3049">
        <v>3047</v>
      </c>
      <c r="B3049" t="s">
        <v>3460</v>
      </c>
      <c r="C3049" t="s">
        <v>3086</v>
      </c>
      <c r="D3049">
        <v>230</v>
      </c>
      <c r="E3049">
        <v>199</v>
      </c>
      <c r="F3049" t="s">
        <v>2712</v>
      </c>
      <c r="G3049" t="s">
        <v>3399</v>
      </c>
    </row>
    <row r="3050" spans="1:7" x14ac:dyDescent="0.3">
      <c r="A3050">
        <v>3048</v>
      </c>
      <c r="B3050" t="s">
        <v>3461</v>
      </c>
      <c r="C3050" t="s">
        <v>3086</v>
      </c>
      <c r="D3050">
        <v>230</v>
      </c>
      <c r="E3050">
        <v>199</v>
      </c>
      <c r="F3050" t="s">
        <v>2712</v>
      </c>
      <c r="G3050" t="s">
        <v>3399</v>
      </c>
    </row>
    <row r="3051" spans="1:7" x14ac:dyDescent="0.3">
      <c r="A3051">
        <v>3049</v>
      </c>
      <c r="B3051" t="s">
        <v>3462</v>
      </c>
      <c r="C3051" t="s">
        <v>3086</v>
      </c>
      <c r="D3051">
        <v>175</v>
      </c>
      <c r="E3051">
        <v>149</v>
      </c>
      <c r="F3051" t="s">
        <v>2712</v>
      </c>
      <c r="G3051" t="s">
        <v>3399</v>
      </c>
    </row>
    <row r="3052" spans="1:7" x14ac:dyDescent="0.3">
      <c r="A3052">
        <v>3050</v>
      </c>
      <c r="B3052" t="s">
        <v>3463</v>
      </c>
      <c r="C3052" t="s">
        <v>3086</v>
      </c>
      <c r="D3052">
        <v>230</v>
      </c>
      <c r="E3052">
        <v>199</v>
      </c>
      <c r="F3052" t="s">
        <v>2712</v>
      </c>
      <c r="G3052" t="s">
        <v>3399</v>
      </c>
    </row>
    <row r="3053" spans="1:7" x14ac:dyDescent="0.3">
      <c r="A3053">
        <v>3051</v>
      </c>
      <c r="B3053" t="s">
        <v>3464</v>
      </c>
      <c r="C3053" t="s">
        <v>3086</v>
      </c>
      <c r="D3053">
        <v>225</v>
      </c>
      <c r="E3053">
        <v>175</v>
      </c>
      <c r="F3053" t="s">
        <v>2712</v>
      </c>
      <c r="G3053" t="s">
        <v>3399</v>
      </c>
    </row>
    <row r="3054" spans="1:7" x14ac:dyDescent="0.3">
      <c r="A3054">
        <v>3052</v>
      </c>
      <c r="B3054" t="s">
        <v>3465</v>
      </c>
      <c r="C3054" t="s">
        <v>3086</v>
      </c>
      <c r="D3054">
        <v>275</v>
      </c>
      <c r="E3054">
        <v>225</v>
      </c>
      <c r="F3054" t="s">
        <v>2712</v>
      </c>
      <c r="G3054" t="s">
        <v>3399</v>
      </c>
    </row>
    <row r="3055" spans="1:7" x14ac:dyDescent="0.3">
      <c r="A3055">
        <v>3053</v>
      </c>
      <c r="B3055" t="s">
        <v>3466</v>
      </c>
      <c r="C3055" t="s">
        <v>3086</v>
      </c>
      <c r="D3055">
        <v>225</v>
      </c>
      <c r="E3055">
        <v>175</v>
      </c>
      <c r="F3055" t="s">
        <v>2712</v>
      </c>
      <c r="G3055" t="s">
        <v>3399</v>
      </c>
    </row>
    <row r="3056" spans="1:7" x14ac:dyDescent="0.3">
      <c r="A3056">
        <v>3054</v>
      </c>
      <c r="B3056" t="s">
        <v>3467</v>
      </c>
      <c r="C3056" t="s">
        <v>3086</v>
      </c>
      <c r="D3056">
        <v>230</v>
      </c>
      <c r="E3056">
        <v>199</v>
      </c>
      <c r="F3056" t="s">
        <v>2712</v>
      </c>
      <c r="G3056" t="s">
        <v>3399</v>
      </c>
    </row>
    <row r="3057" spans="1:7" x14ac:dyDescent="0.3">
      <c r="A3057">
        <v>3055</v>
      </c>
      <c r="B3057" t="s">
        <v>3468</v>
      </c>
      <c r="C3057" t="s">
        <v>3086</v>
      </c>
      <c r="D3057">
        <v>275</v>
      </c>
      <c r="E3057">
        <v>225</v>
      </c>
      <c r="F3057" t="s">
        <v>2712</v>
      </c>
      <c r="G3057" t="s">
        <v>3399</v>
      </c>
    </row>
    <row r="3058" spans="1:7" x14ac:dyDescent="0.3">
      <c r="A3058">
        <v>3056</v>
      </c>
      <c r="B3058" t="s">
        <v>3469</v>
      </c>
      <c r="C3058" t="s">
        <v>3086</v>
      </c>
      <c r="D3058">
        <v>225</v>
      </c>
      <c r="E3058">
        <v>87</v>
      </c>
      <c r="F3058" t="s">
        <v>2712</v>
      </c>
      <c r="G3058" t="s">
        <v>3399</v>
      </c>
    </row>
    <row r="3059" spans="1:7" x14ac:dyDescent="0.3">
      <c r="A3059">
        <v>3057</v>
      </c>
      <c r="B3059" t="s">
        <v>3470</v>
      </c>
      <c r="C3059" t="s">
        <v>3086</v>
      </c>
      <c r="D3059">
        <v>275</v>
      </c>
      <c r="E3059">
        <v>225</v>
      </c>
      <c r="F3059" t="s">
        <v>2712</v>
      </c>
      <c r="G3059" t="s">
        <v>3399</v>
      </c>
    </row>
    <row r="3060" spans="1:7" x14ac:dyDescent="0.3">
      <c r="A3060">
        <v>3058</v>
      </c>
      <c r="B3060" t="s">
        <v>3471</v>
      </c>
      <c r="C3060" t="s">
        <v>3086</v>
      </c>
      <c r="D3060">
        <v>275</v>
      </c>
      <c r="E3060">
        <v>112</v>
      </c>
      <c r="F3060" t="s">
        <v>2712</v>
      </c>
      <c r="G3060" t="s">
        <v>3399</v>
      </c>
    </row>
    <row r="3061" spans="1:7" x14ac:dyDescent="0.3">
      <c r="A3061">
        <v>3059</v>
      </c>
      <c r="B3061" t="s">
        <v>3472</v>
      </c>
      <c r="C3061" t="s">
        <v>3086</v>
      </c>
      <c r="D3061">
        <v>275</v>
      </c>
      <c r="E3061">
        <v>112</v>
      </c>
      <c r="F3061" t="s">
        <v>2712</v>
      </c>
      <c r="G3061" t="s">
        <v>3399</v>
      </c>
    </row>
    <row r="3062" spans="1:7" x14ac:dyDescent="0.3">
      <c r="A3062">
        <v>3060</v>
      </c>
      <c r="B3062" t="s">
        <v>3473</v>
      </c>
      <c r="C3062" t="s">
        <v>3474</v>
      </c>
      <c r="D3062">
        <v>249</v>
      </c>
      <c r="E3062">
        <v>179</v>
      </c>
      <c r="F3062" t="s">
        <v>3230</v>
      </c>
      <c r="G3062" t="s">
        <v>3399</v>
      </c>
    </row>
    <row r="3063" spans="1:7" x14ac:dyDescent="0.3">
      <c r="A3063">
        <v>3061</v>
      </c>
      <c r="B3063" t="s">
        <v>3475</v>
      </c>
      <c r="C3063" t="s">
        <v>17</v>
      </c>
      <c r="D3063">
        <v>130</v>
      </c>
      <c r="E3063">
        <v>109</v>
      </c>
      <c r="F3063" t="s">
        <v>3476</v>
      </c>
      <c r="G3063" t="s">
        <v>3399</v>
      </c>
    </row>
    <row r="3064" spans="1:7" x14ac:dyDescent="0.3">
      <c r="A3064">
        <v>3062</v>
      </c>
      <c r="B3064" t="s">
        <v>3477</v>
      </c>
      <c r="C3064" t="s">
        <v>17</v>
      </c>
      <c r="D3064">
        <v>300</v>
      </c>
      <c r="E3064">
        <v>249</v>
      </c>
      <c r="F3064" t="s">
        <v>3092</v>
      </c>
      <c r="G3064" t="s">
        <v>3478</v>
      </c>
    </row>
    <row r="3065" spans="1:7" x14ac:dyDescent="0.3">
      <c r="A3065">
        <v>3063</v>
      </c>
      <c r="B3065" t="s">
        <v>3479</v>
      </c>
      <c r="C3065" t="s">
        <v>17</v>
      </c>
      <c r="D3065">
        <v>149</v>
      </c>
      <c r="E3065">
        <v>119</v>
      </c>
      <c r="F3065" t="s">
        <v>2412</v>
      </c>
      <c r="G3065" t="s">
        <v>3478</v>
      </c>
    </row>
    <row r="3066" spans="1:7" x14ac:dyDescent="0.3">
      <c r="A3066">
        <v>3064</v>
      </c>
      <c r="B3066" t="s">
        <v>3480</v>
      </c>
      <c r="C3066" t="s">
        <v>3481</v>
      </c>
      <c r="D3066">
        <v>169</v>
      </c>
      <c r="E3066">
        <v>129</v>
      </c>
      <c r="F3066" t="s">
        <v>2412</v>
      </c>
      <c r="G3066" t="s">
        <v>3399</v>
      </c>
    </row>
    <row r="3067" spans="1:7" x14ac:dyDescent="0.3">
      <c r="A3067">
        <v>3065</v>
      </c>
      <c r="B3067" t="s">
        <v>3482</v>
      </c>
      <c r="C3067" t="s">
        <v>3483</v>
      </c>
      <c r="D3067">
        <v>210</v>
      </c>
      <c r="E3067">
        <v>169</v>
      </c>
      <c r="F3067" t="s">
        <v>1094</v>
      </c>
      <c r="G3067" t="s">
        <v>3399</v>
      </c>
    </row>
    <row r="3068" spans="1:7" x14ac:dyDescent="0.3">
      <c r="A3068">
        <v>3066</v>
      </c>
      <c r="B3068" t="s">
        <v>3484</v>
      </c>
      <c r="C3068" t="s">
        <v>3483</v>
      </c>
      <c r="D3068">
        <v>265</v>
      </c>
      <c r="E3068">
        <v>225</v>
      </c>
      <c r="F3068" t="s">
        <v>3192</v>
      </c>
      <c r="G3068" t="s">
        <v>3399</v>
      </c>
    </row>
    <row r="3069" spans="1:7" x14ac:dyDescent="0.3">
      <c r="A3069">
        <v>3067</v>
      </c>
      <c r="B3069" t="s">
        <v>3485</v>
      </c>
      <c r="C3069" t="s">
        <v>3486</v>
      </c>
      <c r="D3069">
        <v>250</v>
      </c>
      <c r="E3069">
        <v>189</v>
      </c>
      <c r="F3069" t="s">
        <v>2966</v>
      </c>
      <c r="G3069" t="s">
        <v>3399</v>
      </c>
    </row>
    <row r="3070" spans="1:7" x14ac:dyDescent="0.3">
      <c r="A3070">
        <v>3068</v>
      </c>
      <c r="B3070" t="s">
        <v>3487</v>
      </c>
      <c r="C3070" t="s">
        <v>3486</v>
      </c>
      <c r="D3070">
        <v>120</v>
      </c>
      <c r="E3070">
        <v>99</v>
      </c>
      <c r="F3070" t="s">
        <v>539</v>
      </c>
      <c r="G3070" t="s">
        <v>3399</v>
      </c>
    </row>
    <row r="3071" spans="1:7" x14ac:dyDescent="0.3">
      <c r="A3071">
        <v>3069</v>
      </c>
      <c r="B3071" t="s">
        <v>3487</v>
      </c>
      <c r="C3071" t="s">
        <v>3486</v>
      </c>
      <c r="D3071">
        <v>120</v>
      </c>
      <c r="E3071">
        <v>99</v>
      </c>
      <c r="F3071" t="s">
        <v>3107</v>
      </c>
      <c r="G3071" t="s">
        <v>3399</v>
      </c>
    </row>
    <row r="3072" spans="1:7" x14ac:dyDescent="0.3">
      <c r="A3072">
        <v>3070</v>
      </c>
      <c r="B3072" t="s">
        <v>3488</v>
      </c>
      <c r="C3072" t="s">
        <v>3486</v>
      </c>
      <c r="D3072">
        <v>250</v>
      </c>
      <c r="E3072">
        <v>99</v>
      </c>
      <c r="F3072" t="s">
        <v>3004</v>
      </c>
      <c r="G3072" t="s">
        <v>3399</v>
      </c>
    </row>
    <row r="3073" spans="1:7" x14ac:dyDescent="0.3">
      <c r="A3073">
        <v>3071</v>
      </c>
      <c r="B3073" t="s">
        <v>3489</v>
      </c>
      <c r="C3073" t="s">
        <v>3486</v>
      </c>
      <c r="D3073">
        <v>125</v>
      </c>
      <c r="E3073">
        <v>99</v>
      </c>
      <c r="F3073" t="s">
        <v>3004</v>
      </c>
      <c r="G3073" t="s">
        <v>3399</v>
      </c>
    </row>
    <row r="3074" spans="1:7" x14ac:dyDescent="0.3">
      <c r="A3074">
        <v>3072</v>
      </c>
      <c r="B3074" t="s">
        <v>3490</v>
      </c>
      <c r="C3074" t="s">
        <v>3486</v>
      </c>
      <c r="D3074">
        <v>125</v>
      </c>
      <c r="E3074">
        <v>99</v>
      </c>
      <c r="F3074" t="s">
        <v>3004</v>
      </c>
      <c r="G3074" t="s">
        <v>3399</v>
      </c>
    </row>
    <row r="3075" spans="1:7" x14ac:dyDescent="0.3">
      <c r="A3075">
        <v>3073</v>
      </c>
      <c r="B3075" t="s">
        <v>3491</v>
      </c>
      <c r="C3075" t="s">
        <v>3486</v>
      </c>
      <c r="D3075">
        <v>210</v>
      </c>
      <c r="E3075">
        <v>149</v>
      </c>
      <c r="F3075" t="s">
        <v>3492</v>
      </c>
      <c r="G3075" t="s">
        <v>3399</v>
      </c>
    </row>
    <row r="3076" spans="1:7" x14ac:dyDescent="0.3">
      <c r="A3076">
        <v>3074</v>
      </c>
      <c r="B3076" t="s">
        <v>3493</v>
      </c>
      <c r="C3076" t="s">
        <v>17</v>
      </c>
      <c r="D3076">
        <v>675</v>
      </c>
      <c r="E3076">
        <v>349</v>
      </c>
      <c r="F3076" t="s">
        <v>3494</v>
      </c>
      <c r="G3076" t="s">
        <v>3399</v>
      </c>
    </row>
    <row r="3077" spans="1:7" x14ac:dyDescent="0.3">
      <c r="A3077">
        <v>3075</v>
      </c>
      <c r="B3077" t="s">
        <v>3493</v>
      </c>
      <c r="C3077" t="s">
        <v>17</v>
      </c>
      <c r="D3077">
        <v>825</v>
      </c>
      <c r="E3077">
        <v>499</v>
      </c>
      <c r="F3077" t="s">
        <v>3495</v>
      </c>
      <c r="G3077" t="s">
        <v>3399</v>
      </c>
    </row>
    <row r="3078" spans="1:7" x14ac:dyDescent="0.3">
      <c r="A3078">
        <v>3076</v>
      </c>
      <c r="B3078" t="s">
        <v>3496</v>
      </c>
      <c r="C3078" t="s">
        <v>3486</v>
      </c>
      <c r="D3078">
        <v>200</v>
      </c>
      <c r="E3078">
        <v>149</v>
      </c>
      <c r="F3078" t="s">
        <v>3497</v>
      </c>
      <c r="G3078" t="s">
        <v>3399</v>
      </c>
    </row>
    <row r="3079" spans="1:7" x14ac:dyDescent="0.3">
      <c r="A3079">
        <v>3077</v>
      </c>
      <c r="B3079" t="s">
        <v>3498</v>
      </c>
      <c r="C3079" t="s">
        <v>3486</v>
      </c>
      <c r="D3079">
        <v>245</v>
      </c>
      <c r="E3079">
        <v>199</v>
      </c>
      <c r="F3079" t="s">
        <v>3499</v>
      </c>
      <c r="G3079" t="s">
        <v>3399</v>
      </c>
    </row>
    <row r="3080" spans="1:7" x14ac:dyDescent="0.3">
      <c r="A3080">
        <v>3078</v>
      </c>
      <c r="B3080" t="s">
        <v>3500</v>
      </c>
      <c r="C3080" t="s">
        <v>3486</v>
      </c>
      <c r="D3080">
        <v>150</v>
      </c>
      <c r="E3080">
        <v>99</v>
      </c>
      <c r="F3080" t="s">
        <v>3004</v>
      </c>
      <c r="G3080" t="s">
        <v>3399</v>
      </c>
    </row>
    <row r="3081" spans="1:7" x14ac:dyDescent="0.3">
      <c r="A3081">
        <v>3079</v>
      </c>
      <c r="B3081" t="s">
        <v>3501</v>
      </c>
      <c r="C3081" t="s">
        <v>3486</v>
      </c>
      <c r="D3081">
        <v>275</v>
      </c>
      <c r="E3081">
        <v>199</v>
      </c>
      <c r="F3081" t="s">
        <v>3004</v>
      </c>
      <c r="G3081" t="s">
        <v>3399</v>
      </c>
    </row>
    <row r="3082" spans="1:7" x14ac:dyDescent="0.3">
      <c r="A3082">
        <v>3080</v>
      </c>
      <c r="B3082" t="s">
        <v>3502</v>
      </c>
      <c r="C3082" t="s">
        <v>3486</v>
      </c>
      <c r="D3082">
        <v>275</v>
      </c>
      <c r="E3082">
        <v>199</v>
      </c>
      <c r="F3082" t="s">
        <v>3004</v>
      </c>
      <c r="G3082" t="s">
        <v>3399</v>
      </c>
    </row>
    <row r="3083" spans="1:7" x14ac:dyDescent="0.3">
      <c r="A3083">
        <v>3081</v>
      </c>
      <c r="B3083" t="s">
        <v>3503</v>
      </c>
      <c r="C3083" t="s">
        <v>3486</v>
      </c>
      <c r="D3083">
        <v>275</v>
      </c>
      <c r="E3083">
        <v>199</v>
      </c>
      <c r="F3083" t="s">
        <v>3004</v>
      </c>
      <c r="G3083" t="s">
        <v>3399</v>
      </c>
    </row>
    <row r="3084" spans="1:7" x14ac:dyDescent="0.3">
      <c r="A3084">
        <v>3082</v>
      </c>
      <c r="B3084" t="s">
        <v>3504</v>
      </c>
      <c r="C3084" t="s">
        <v>3486</v>
      </c>
      <c r="D3084">
        <v>150</v>
      </c>
      <c r="E3084">
        <v>99</v>
      </c>
      <c r="F3084" t="s">
        <v>3004</v>
      </c>
      <c r="G3084" t="s">
        <v>3399</v>
      </c>
    </row>
    <row r="3085" spans="1:7" x14ac:dyDescent="0.3">
      <c r="A3085">
        <v>3083</v>
      </c>
      <c r="B3085" t="s">
        <v>3505</v>
      </c>
      <c r="C3085" t="s">
        <v>3506</v>
      </c>
      <c r="D3085">
        <v>155</v>
      </c>
      <c r="E3085">
        <v>129</v>
      </c>
      <c r="F3085" t="s">
        <v>3004</v>
      </c>
      <c r="G3085" t="s">
        <v>3399</v>
      </c>
    </row>
    <row r="3086" spans="1:7" x14ac:dyDescent="0.3">
      <c r="A3086">
        <v>3084</v>
      </c>
      <c r="B3086" t="s">
        <v>3507</v>
      </c>
      <c r="C3086" t="s">
        <v>3508</v>
      </c>
      <c r="D3086">
        <v>475</v>
      </c>
      <c r="E3086">
        <v>379</v>
      </c>
      <c r="F3086" t="s">
        <v>2739</v>
      </c>
      <c r="G3086" t="s">
        <v>3399</v>
      </c>
    </row>
    <row r="3087" spans="1:7" x14ac:dyDescent="0.3">
      <c r="A3087">
        <v>3085</v>
      </c>
      <c r="B3087" t="s">
        <v>3509</v>
      </c>
      <c r="C3087" t="s">
        <v>3508</v>
      </c>
      <c r="D3087">
        <v>195</v>
      </c>
      <c r="E3087">
        <v>139</v>
      </c>
      <c r="F3087" t="s">
        <v>2712</v>
      </c>
      <c r="G3087" t="s">
        <v>3399</v>
      </c>
    </row>
    <row r="3088" spans="1:7" x14ac:dyDescent="0.3">
      <c r="A3088">
        <v>3086</v>
      </c>
      <c r="B3088" t="s">
        <v>3510</v>
      </c>
      <c r="C3088" t="s">
        <v>17</v>
      </c>
      <c r="D3088">
        <v>333</v>
      </c>
      <c r="E3088">
        <v>299</v>
      </c>
      <c r="F3088" t="s">
        <v>3004</v>
      </c>
      <c r="G3088" t="s">
        <v>3399</v>
      </c>
    </row>
    <row r="3089" spans="1:7" x14ac:dyDescent="0.3">
      <c r="A3089">
        <v>3087</v>
      </c>
      <c r="B3089" t="s">
        <v>3511</v>
      </c>
      <c r="C3089" t="s">
        <v>17</v>
      </c>
      <c r="D3089">
        <v>777</v>
      </c>
      <c r="E3089">
        <v>699</v>
      </c>
      <c r="F3089" t="s">
        <v>2712</v>
      </c>
      <c r="G3089" t="s">
        <v>3399</v>
      </c>
    </row>
    <row r="3090" spans="1:7" x14ac:dyDescent="0.3">
      <c r="A3090">
        <v>3088</v>
      </c>
      <c r="B3090" t="s">
        <v>3512</v>
      </c>
      <c r="C3090" t="s">
        <v>17</v>
      </c>
      <c r="D3090">
        <v>195</v>
      </c>
      <c r="E3090">
        <v>159</v>
      </c>
      <c r="F3090" t="s">
        <v>2712</v>
      </c>
      <c r="G3090" t="s">
        <v>3399</v>
      </c>
    </row>
    <row r="3091" spans="1:7" x14ac:dyDescent="0.3">
      <c r="A3091">
        <v>3089</v>
      </c>
      <c r="B3091" t="s">
        <v>3513</v>
      </c>
      <c r="C3091" t="s">
        <v>3091</v>
      </c>
      <c r="D3091">
        <v>125</v>
      </c>
      <c r="E3091">
        <v>99</v>
      </c>
      <c r="F3091" t="s">
        <v>3004</v>
      </c>
      <c r="G3091" t="s">
        <v>3399</v>
      </c>
    </row>
    <row r="3092" spans="1:7" x14ac:dyDescent="0.3">
      <c r="A3092">
        <v>3090</v>
      </c>
      <c r="B3092" t="s">
        <v>3514</v>
      </c>
      <c r="C3092" t="s">
        <v>3091</v>
      </c>
      <c r="D3092">
        <v>125</v>
      </c>
      <c r="E3092">
        <v>99</v>
      </c>
      <c r="F3092" t="s">
        <v>3004</v>
      </c>
      <c r="G3092" t="s">
        <v>3399</v>
      </c>
    </row>
    <row r="3093" spans="1:7" x14ac:dyDescent="0.3">
      <c r="A3093">
        <v>3091</v>
      </c>
      <c r="B3093" t="s">
        <v>3515</v>
      </c>
      <c r="C3093" t="s">
        <v>3091</v>
      </c>
      <c r="D3093">
        <v>125</v>
      </c>
      <c r="E3093">
        <v>99</v>
      </c>
      <c r="F3093" t="s">
        <v>3004</v>
      </c>
      <c r="G3093" t="s">
        <v>3399</v>
      </c>
    </row>
    <row r="3094" spans="1:7" x14ac:dyDescent="0.3">
      <c r="A3094">
        <v>3092</v>
      </c>
      <c r="B3094" t="s">
        <v>3516</v>
      </c>
      <c r="C3094" t="s">
        <v>3091</v>
      </c>
      <c r="D3094">
        <v>125</v>
      </c>
      <c r="E3094">
        <v>99</v>
      </c>
      <c r="F3094" t="s">
        <v>3004</v>
      </c>
      <c r="G3094" t="s">
        <v>3399</v>
      </c>
    </row>
    <row r="3095" spans="1:7" x14ac:dyDescent="0.3">
      <c r="A3095">
        <v>3093</v>
      </c>
      <c r="B3095" t="s">
        <v>3517</v>
      </c>
      <c r="C3095" t="s">
        <v>3091</v>
      </c>
      <c r="D3095">
        <v>125</v>
      </c>
      <c r="E3095">
        <v>99</v>
      </c>
      <c r="F3095" t="s">
        <v>3004</v>
      </c>
      <c r="G3095" t="s">
        <v>3399</v>
      </c>
    </row>
    <row r="3096" spans="1:7" x14ac:dyDescent="0.3">
      <c r="A3096">
        <v>3094</v>
      </c>
      <c r="B3096" t="s">
        <v>3518</v>
      </c>
      <c r="C3096" t="s">
        <v>17</v>
      </c>
      <c r="D3096">
        <v>195</v>
      </c>
      <c r="E3096">
        <v>159</v>
      </c>
      <c r="F3096" t="s">
        <v>2712</v>
      </c>
      <c r="G3096" t="s">
        <v>3399</v>
      </c>
    </row>
    <row r="3097" spans="1:7" x14ac:dyDescent="0.3">
      <c r="A3097">
        <v>3095</v>
      </c>
      <c r="B3097" t="s">
        <v>3519</v>
      </c>
      <c r="C3097" t="s">
        <v>3091</v>
      </c>
      <c r="D3097">
        <v>150</v>
      </c>
      <c r="E3097">
        <v>99</v>
      </c>
      <c r="F3097" t="s">
        <v>3004</v>
      </c>
      <c r="G3097" t="s">
        <v>3399</v>
      </c>
    </row>
    <row r="3098" spans="1:7" x14ac:dyDescent="0.3">
      <c r="A3098">
        <v>3096</v>
      </c>
      <c r="B3098" t="s">
        <v>3520</v>
      </c>
      <c r="C3098" t="s">
        <v>3091</v>
      </c>
      <c r="D3098">
        <v>150</v>
      </c>
      <c r="E3098">
        <v>99</v>
      </c>
      <c r="F3098" t="s">
        <v>3004</v>
      </c>
      <c r="G3098" t="s">
        <v>3399</v>
      </c>
    </row>
    <row r="3099" spans="1:7" x14ac:dyDescent="0.3">
      <c r="A3099">
        <v>3097</v>
      </c>
      <c r="B3099" t="s">
        <v>3521</v>
      </c>
      <c r="C3099" t="s">
        <v>3091</v>
      </c>
      <c r="D3099">
        <v>150</v>
      </c>
      <c r="E3099">
        <v>99</v>
      </c>
      <c r="F3099" t="s">
        <v>3004</v>
      </c>
      <c r="G3099" t="s">
        <v>3399</v>
      </c>
    </row>
    <row r="3100" spans="1:7" x14ac:dyDescent="0.3">
      <c r="A3100">
        <v>3098</v>
      </c>
      <c r="B3100" t="s">
        <v>3522</v>
      </c>
      <c r="C3100" t="s">
        <v>3091</v>
      </c>
      <c r="D3100">
        <v>125</v>
      </c>
      <c r="E3100">
        <v>49</v>
      </c>
      <c r="F3100" t="s">
        <v>3004</v>
      </c>
      <c r="G3100" t="s">
        <v>3399</v>
      </c>
    </row>
    <row r="3101" spans="1:7" x14ac:dyDescent="0.3">
      <c r="A3101">
        <v>3099</v>
      </c>
      <c r="B3101" t="s">
        <v>3523</v>
      </c>
      <c r="C3101" t="s">
        <v>3091</v>
      </c>
      <c r="D3101">
        <v>150</v>
      </c>
      <c r="E3101">
        <v>49</v>
      </c>
      <c r="F3101" t="s">
        <v>3004</v>
      </c>
      <c r="G3101" t="s">
        <v>3399</v>
      </c>
    </row>
    <row r="3102" spans="1:7" x14ac:dyDescent="0.3">
      <c r="A3102">
        <v>3100</v>
      </c>
      <c r="B3102" t="s">
        <v>3524</v>
      </c>
      <c r="C3102" t="s">
        <v>3091</v>
      </c>
      <c r="D3102">
        <v>150</v>
      </c>
      <c r="E3102">
        <v>49</v>
      </c>
      <c r="F3102" t="s">
        <v>3004</v>
      </c>
      <c r="G3102" t="s">
        <v>3399</v>
      </c>
    </row>
    <row r="3103" spans="1:7" x14ac:dyDescent="0.3">
      <c r="A3103">
        <v>3101</v>
      </c>
      <c r="B3103" t="s">
        <v>3525</v>
      </c>
      <c r="C3103" t="s">
        <v>3113</v>
      </c>
      <c r="D3103">
        <v>99</v>
      </c>
      <c r="E3103">
        <v>89</v>
      </c>
      <c r="F3103" t="s">
        <v>2712</v>
      </c>
      <c r="G3103" t="s">
        <v>3399</v>
      </c>
    </row>
    <row r="3104" spans="1:7" x14ac:dyDescent="0.3">
      <c r="A3104">
        <v>3102</v>
      </c>
      <c r="B3104" t="s">
        <v>3526</v>
      </c>
      <c r="C3104" t="s">
        <v>3113</v>
      </c>
      <c r="D3104">
        <v>99</v>
      </c>
      <c r="E3104">
        <v>89</v>
      </c>
      <c r="F3104" t="s">
        <v>2712</v>
      </c>
      <c r="G3104" t="s">
        <v>3399</v>
      </c>
    </row>
    <row r="3105" spans="1:7" x14ac:dyDescent="0.3">
      <c r="A3105">
        <v>3103</v>
      </c>
      <c r="B3105" t="s">
        <v>3527</v>
      </c>
      <c r="C3105" t="s">
        <v>3113</v>
      </c>
      <c r="D3105">
        <v>99</v>
      </c>
      <c r="E3105">
        <v>89</v>
      </c>
      <c r="F3105" t="s">
        <v>2712</v>
      </c>
      <c r="G3105" t="s">
        <v>3399</v>
      </c>
    </row>
    <row r="3106" spans="1:7" x14ac:dyDescent="0.3">
      <c r="A3106">
        <v>3104</v>
      </c>
      <c r="B3106" t="s">
        <v>3528</v>
      </c>
      <c r="C3106" t="s">
        <v>3113</v>
      </c>
      <c r="D3106">
        <v>99</v>
      </c>
      <c r="E3106">
        <v>89</v>
      </c>
      <c r="F3106" t="s">
        <v>2712</v>
      </c>
      <c r="G3106" t="s">
        <v>3399</v>
      </c>
    </row>
    <row r="3107" spans="1:7" x14ac:dyDescent="0.3">
      <c r="A3107">
        <v>3105</v>
      </c>
      <c r="B3107" t="s">
        <v>3529</v>
      </c>
      <c r="C3107" t="s">
        <v>3113</v>
      </c>
      <c r="D3107">
        <v>99</v>
      </c>
      <c r="E3107">
        <v>89</v>
      </c>
      <c r="F3107" t="s">
        <v>2712</v>
      </c>
      <c r="G3107" t="s">
        <v>3399</v>
      </c>
    </row>
    <row r="3108" spans="1:7" x14ac:dyDescent="0.3">
      <c r="A3108">
        <v>3106</v>
      </c>
      <c r="B3108" t="s">
        <v>3530</v>
      </c>
      <c r="C3108" t="s">
        <v>3113</v>
      </c>
      <c r="D3108">
        <v>99</v>
      </c>
      <c r="E3108">
        <v>89</v>
      </c>
      <c r="F3108" t="s">
        <v>2712</v>
      </c>
      <c r="G3108" t="s">
        <v>3399</v>
      </c>
    </row>
    <row r="3109" spans="1:7" x14ac:dyDescent="0.3">
      <c r="A3109">
        <v>3107</v>
      </c>
      <c r="B3109" t="s">
        <v>3531</v>
      </c>
      <c r="C3109" t="s">
        <v>3113</v>
      </c>
      <c r="D3109">
        <v>99</v>
      </c>
      <c r="E3109">
        <v>89</v>
      </c>
      <c r="F3109" t="s">
        <v>2712</v>
      </c>
      <c r="G3109" t="s">
        <v>3399</v>
      </c>
    </row>
    <row r="3110" spans="1:7" x14ac:dyDescent="0.3">
      <c r="A3110">
        <v>3108</v>
      </c>
      <c r="B3110" t="s">
        <v>3532</v>
      </c>
      <c r="C3110" t="s">
        <v>17</v>
      </c>
      <c r="D3110">
        <v>400</v>
      </c>
      <c r="E3110">
        <v>299</v>
      </c>
      <c r="F3110" t="s">
        <v>2968</v>
      </c>
      <c r="G3110" t="s">
        <v>3399</v>
      </c>
    </row>
    <row r="3111" spans="1:7" x14ac:dyDescent="0.3">
      <c r="A3111">
        <v>3109</v>
      </c>
      <c r="B3111" t="s">
        <v>3533</v>
      </c>
      <c r="C3111" t="s">
        <v>17</v>
      </c>
      <c r="D3111">
        <v>400</v>
      </c>
      <c r="E3111">
        <v>299</v>
      </c>
      <c r="F3111" t="s">
        <v>2968</v>
      </c>
      <c r="G3111" t="s">
        <v>3399</v>
      </c>
    </row>
    <row r="3112" spans="1:7" x14ac:dyDescent="0.3">
      <c r="A3112">
        <v>3110</v>
      </c>
      <c r="B3112" t="s">
        <v>3534</v>
      </c>
      <c r="C3112" t="s">
        <v>17</v>
      </c>
      <c r="D3112">
        <v>400</v>
      </c>
      <c r="E3112">
        <v>299</v>
      </c>
      <c r="F3112" t="s">
        <v>2968</v>
      </c>
      <c r="G3112" t="s">
        <v>3399</v>
      </c>
    </row>
    <row r="3113" spans="1:7" x14ac:dyDescent="0.3">
      <c r="A3113">
        <v>3111</v>
      </c>
      <c r="B3113" t="s">
        <v>3535</v>
      </c>
      <c r="C3113" t="s">
        <v>17</v>
      </c>
      <c r="D3113">
        <v>400</v>
      </c>
      <c r="E3113">
        <v>299</v>
      </c>
      <c r="F3113" t="s">
        <v>2968</v>
      </c>
      <c r="G3113" t="s">
        <v>3399</v>
      </c>
    </row>
    <row r="3114" spans="1:7" x14ac:dyDescent="0.3">
      <c r="A3114">
        <v>3112</v>
      </c>
      <c r="B3114" t="s">
        <v>3536</v>
      </c>
      <c r="C3114" t="s">
        <v>17</v>
      </c>
      <c r="D3114">
        <v>400</v>
      </c>
      <c r="E3114">
        <v>299</v>
      </c>
      <c r="F3114" t="s">
        <v>2968</v>
      </c>
      <c r="G3114" t="s">
        <v>3399</v>
      </c>
    </row>
    <row r="3115" spans="1:7" x14ac:dyDescent="0.3">
      <c r="A3115">
        <v>3113</v>
      </c>
      <c r="B3115" t="s">
        <v>3537</v>
      </c>
      <c r="C3115" t="s">
        <v>17</v>
      </c>
      <c r="D3115">
        <v>400</v>
      </c>
      <c r="E3115">
        <v>299</v>
      </c>
      <c r="F3115" t="s">
        <v>2968</v>
      </c>
      <c r="G3115" t="s">
        <v>3399</v>
      </c>
    </row>
    <row r="3116" spans="1:7" x14ac:dyDescent="0.3">
      <c r="A3116">
        <v>3114</v>
      </c>
      <c r="B3116" t="s">
        <v>3538</v>
      </c>
      <c r="C3116" t="s">
        <v>3539</v>
      </c>
      <c r="D3116">
        <v>400</v>
      </c>
      <c r="E3116">
        <v>349</v>
      </c>
      <c r="F3116" t="s">
        <v>3540</v>
      </c>
      <c r="G3116" t="s">
        <v>3399</v>
      </c>
    </row>
    <row r="3117" spans="1:7" x14ac:dyDescent="0.3">
      <c r="A3117">
        <v>3115</v>
      </c>
      <c r="B3117" t="s">
        <v>3538</v>
      </c>
      <c r="C3117" t="s">
        <v>3539</v>
      </c>
      <c r="D3117">
        <v>400</v>
      </c>
      <c r="E3117">
        <v>299</v>
      </c>
      <c r="F3117" t="s">
        <v>3167</v>
      </c>
      <c r="G3117" t="s">
        <v>3399</v>
      </c>
    </row>
    <row r="3118" spans="1:7" x14ac:dyDescent="0.3">
      <c r="A3118">
        <v>3116</v>
      </c>
      <c r="B3118" t="s">
        <v>3541</v>
      </c>
      <c r="C3118" t="s">
        <v>3539</v>
      </c>
      <c r="D3118">
        <v>285</v>
      </c>
      <c r="E3118">
        <v>219</v>
      </c>
      <c r="F3118" t="s">
        <v>3107</v>
      </c>
      <c r="G3118" t="s">
        <v>3399</v>
      </c>
    </row>
    <row r="3119" spans="1:7" x14ac:dyDescent="0.3">
      <c r="A3119">
        <v>3117</v>
      </c>
      <c r="B3119" t="s">
        <v>3541</v>
      </c>
      <c r="C3119" t="s">
        <v>3539</v>
      </c>
      <c r="D3119">
        <v>285</v>
      </c>
      <c r="E3119">
        <v>219</v>
      </c>
      <c r="F3119" t="s">
        <v>3542</v>
      </c>
      <c r="G3119" t="s">
        <v>3399</v>
      </c>
    </row>
    <row r="3120" spans="1:7" x14ac:dyDescent="0.3">
      <c r="A3120">
        <v>3118</v>
      </c>
      <c r="B3120" t="s">
        <v>3541</v>
      </c>
      <c r="C3120" t="s">
        <v>3539</v>
      </c>
      <c r="D3120">
        <v>285</v>
      </c>
      <c r="E3120">
        <v>219</v>
      </c>
      <c r="F3120" t="s">
        <v>3543</v>
      </c>
      <c r="G3120" t="s">
        <v>3399</v>
      </c>
    </row>
    <row r="3121" spans="1:7" x14ac:dyDescent="0.3">
      <c r="A3121">
        <v>3119</v>
      </c>
      <c r="B3121" t="s">
        <v>3544</v>
      </c>
      <c r="C3121" t="s">
        <v>3539</v>
      </c>
      <c r="D3121">
        <v>200</v>
      </c>
      <c r="E3121">
        <v>149</v>
      </c>
      <c r="F3121" t="s">
        <v>3542</v>
      </c>
      <c r="G3121" t="s">
        <v>3399</v>
      </c>
    </row>
    <row r="3122" spans="1:7" x14ac:dyDescent="0.3">
      <c r="A3122">
        <v>3120</v>
      </c>
      <c r="B3122" t="s">
        <v>3544</v>
      </c>
      <c r="C3122" t="s">
        <v>3539</v>
      </c>
      <c r="D3122">
        <v>200</v>
      </c>
      <c r="E3122">
        <v>149</v>
      </c>
      <c r="F3122" t="s">
        <v>3545</v>
      </c>
      <c r="G3122" t="s">
        <v>3399</v>
      </c>
    </row>
    <row r="3123" spans="1:7" x14ac:dyDescent="0.3">
      <c r="A3123">
        <v>3121</v>
      </c>
      <c r="B3123" t="s">
        <v>3544</v>
      </c>
      <c r="C3123" t="s">
        <v>3539</v>
      </c>
      <c r="D3123">
        <v>200</v>
      </c>
      <c r="E3123">
        <v>119</v>
      </c>
      <c r="F3123" t="s">
        <v>3543</v>
      </c>
      <c r="G3123" t="s">
        <v>3399</v>
      </c>
    </row>
    <row r="3124" spans="1:7" x14ac:dyDescent="0.3">
      <c r="A3124">
        <v>3122</v>
      </c>
      <c r="B3124" t="s">
        <v>3544</v>
      </c>
      <c r="C3124" t="s">
        <v>3539</v>
      </c>
      <c r="D3124">
        <v>200</v>
      </c>
      <c r="E3124">
        <v>119</v>
      </c>
      <c r="F3124" t="s">
        <v>3107</v>
      </c>
      <c r="G3124" t="s">
        <v>3399</v>
      </c>
    </row>
    <row r="3125" spans="1:7" x14ac:dyDescent="0.3">
      <c r="A3125">
        <v>3123</v>
      </c>
      <c r="B3125" t="s">
        <v>3546</v>
      </c>
      <c r="C3125" t="s">
        <v>3547</v>
      </c>
      <c r="D3125">
        <v>465</v>
      </c>
      <c r="E3125">
        <v>399</v>
      </c>
      <c r="F3125" t="s">
        <v>3548</v>
      </c>
      <c r="G3125" t="s">
        <v>3399</v>
      </c>
    </row>
    <row r="3126" spans="1:7" x14ac:dyDescent="0.3">
      <c r="A3126">
        <v>3124</v>
      </c>
      <c r="B3126" t="s">
        <v>3549</v>
      </c>
      <c r="C3126" t="s">
        <v>3420</v>
      </c>
      <c r="D3126">
        <v>599</v>
      </c>
      <c r="E3126">
        <v>149</v>
      </c>
      <c r="F3126" t="s">
        <v>3550</v>
      </c>
      <c r="G3126" t="s">
        <v>2936</v>
      </c>
    </row>
    <row r="3127" spans="1:7" x14ac:dyDescent="0.3">
      <c r="A3127">
        <v>3125</v>
      </c>
      <c r="B3127" t="s">
        <v>3551</v>
      </c>
      <c r="C3127" t="s">
        <v>3547</v>
      </c>
      <c r="D3127">
        <v>115</v>
      </c>
      <c r="E3127">
        <v>99</v>
      </c>
      <c r="F3127" t="s">
        <v>3552</v>
      </c>
      <c r="G3127" t="s">
        <v>3399</v>
      </c>
    </row>
    <row r="3128" spans="1:7" x14ac:dyDescent="0.3">
      <c r="A3128">
        <v>3126</v>
      </c>
      <c r="B3128" t="s">
        <v>3553</v>
      </c>
      <c r="C3128" t="s">
        <v>3547</v>
      </c>
      <c r="D3128">
        <v>115</v>
      </c>
      <c r="E3128">
        <v>99</v>
      </c>
      <c r="F3128" t="s">
        <v>3552</v>
      </c>
      <c r="G3128" t="s">
        <v>3399</v>
      </c>
    </row>
    <row r="3129" spans="1:7" x14ac:dyDescent="0.3">
      <c r="A3129">
        <v>3127</v>
      </c>
      <c r="B3129" t="s">
        <v>3554</v>
      </c>
      <c r="C3129" t="s">
        <v>3547</v>
      </c>
      <c r="D3129">
        <v>465</v>
      </c>
      <c r="E3129">
        <v>399</v>
      </c>
      <c r="F3129" t="s">
        <v>3548</v>
      </c>
      <c r="G3129" t="s">
        <v>3399</v>
      </c>
    </row>
    <row r="3130" spans="1:7" x14ac:dyDescent="0.3">
      <c r="A3130">
        <v>3128</v>
      </c>
      <c r="B3130" t="s">
        <v>3555</v>
      </c>
      <c r="C3130" t="s">
        <v>3547</v>
      </c>
      <c r="D3130">
        <v>465</v>
      </c>
      <c r="E3130">
        <v>399</v>
      </c>
      <c r="F3130" t="s">
        <v>3548</v>
      </c>
      <c r="G3130" t="s">
        <v>3399</v>
      </c>
    </row>
    <row r="3131" spans="1:7" x14ac:dyDescent="0.3">
      <c r="A3131">
        <v>3129</v>
      </c>
      <c r="B3131" t="s">
        <v>3556</v>
      </c>
      <c r="C3131" t="s">
        <v>3547</v>
      </c>
      <c r="D3131">
        <v>465</v>
      </c>
      <c r="E3131">
        <v>399</v>
      </c>
      <c r="F3131" t="s">
        <v>3548</v>
      </c>
      <c r="G3131" t="s">
        <v>3399</v>
      </c>
    </row>
    <row r="3132" spans="1:7" x14ac:dyDescent="0.3">
      <c r="A3132">
        <v>3130</v>
      </c>
      <c r="B3132" t="s">
        <v>3557</v>
      </c>
      <c r="C3132" t="s">
        <v>3547</v>
      </c>
      <c r="D3132">
        <v>115</v>
      </c>
      <c r="E3132">
        <v>99</v>
      </c>
      <c r="F3132" t="s">
        <v>3552</v>
      </c>
      <c r="G3132" t="s">
        <v>3399</v>
      </c>
    </row>
    <row r="3133" spans="1:7" x14ac:dyDescent="0.3">
      <c r="A3133">
        <v>3131</v>
      </c>
      <c r="B3133" t="s">
        <v>3558</v>
      </c>
      <c r="C3133" t="s">
        <v>3547</v>
      </c>
      <c r="D3133">
        <v>115</v>
      </c>
      <c r="E3133">
        <v>99</v>
      </c>
      <c r="F3133" t="s">
        <v>3552</v>
      </c>
      <c r="G3133" t="s">
        <v>3399</v>
      </c>
    </row>
    <row r="3134" spans="1:7" x14ac:dyDescent="0.3">
      <c r="A3134">
        <v>3132</v>
      </c>
      <c r="B3134" t="s">
        <v>3559</v>
      </c>
      <c r="C3134" t="s">
        <v>3547</v>
      </c>
      <c r="D3134">
        <v>115</v>
      </c>
      <c r="E3134">
        <v>99</v>
      </c>
      <c r="F3134" t="s">
        <v>3552</v>
      </c>
      <c r="G3134" t="s">
        <v>3399</v>
      </c>
    </row>
    <row r="3135" spans="1:7" x14ac:dyDescent="0.3">
      <c r="A3135">
        <v>3133</v>
      </c>
      <c r="B3135" t="s">
        <v>3560</v>
      </c>
      <c r="C3135" t="s">
        <v>3547</v>
      </c>
      <c r="D3135">
        <v>465</v>
      </c>
      <c r="E3135">
        <v>399</v>
      </c>
      <c r="F3135" t="s">
        <v>3548</v>
      </c>
      <c r="G3135" t="s">
        <v>3399</v>
      </c>
    </row>
    <row r="3136" spans="1:7" x14ac:dyDescent="0.3">
      <c r="A3136">
        <v>3134</v>
      </c>
      <c r="B3136" t="s">
        <v>3561</v>
      </c>
      <c r="C3136" t="s">
        <v>3420</v>
      </c>
      <c r="D3136">
        <v>399</v>
      </c>
      <c r="E3136">
        <v>149</v>
      </c>
      <c r="F3136" t="s">
        <v>3562</v>
      </c>
      <c r="G3136" t="s">
        <v>3399</v>
      </c>
    </row>
    <row r="3137" spans="1:7" x14ac:dyDescent="0.3">
      <c r="A3137">
        <v>3135</v>
      </c>
      <c r="B3137" t="s">
        <v>3561</v>
      </c>
      <c r="C3137" t="s">
        <v>3420</v>
      </c>
      <c r="D3137">
        <v>399</v>
      </c>
      <c r="E3137">
        <v>149</v>
      </c>
      <c r="F3137" t="s">
        <v>3562</v>
      </c>
      <c r="G3137" t="s">
        <v>3399</v>
      </c>
    </row>
    <row r="3138" spans="1:7" x14ac:dyDescent="0.3">
      <c r="A3138">
        <v>3136</v>
      </c>
      <c r="B3138" t="s">
        <v>3561</v>
      </c>
      <c r="C3138" t="s">
        <v>3420</v>
      </c>
      <c r="D3138">
        <v>399</v>
      </c>
      <c r="E3138">
        <v>149</v>
      </c>
      <c r="F3138" t="s">
        <v>3562</v>
      </c>
      <c r="G3138" t="s">
        <v>3399</v>
      </c>
    </row>
    <row r="3139" spans="1:7" x14ac:dyDescent="0.3">
      <c r="A3139">
        <v>3137</v>
      </c>
      <c r="B3139" t="s">
        <v>3561</v>
      </c>
      <c r="C3139" t="s">
        <v>3420</v>
      </c>
      <c r="D3139">
        <v>399</v>
      </c>
      <c r="E3139">
        <v>149</v>
      </c>
      <c r="F3139" t="s">
        <v>3562</v>
      </c>
      <c r="G3139" t="s">
        <v>3399</v>
      </c>
    </row>
    <row r="3140" spans="1:7" x14ac:dyDescent="0.3">
      <c r="A3140">
        <v>3138</v>
      </c>
      <c r="B3140" t="s">
        <v>3561</v>
      </c>
      <c r="C3140" t="s">
        <v>3420</v>
      </c>
      <c r="D3140">
        <v>399</v>
      </c>
      <c r="E3140">
        <v>149</v>
      </c>
      <c r="F3140" t="s">
        <v>3562</v>
      </c>
      <c r="G3140" t="s">
        <v>3399</v>
      </c>
    </row>
    <row r="3141" spans="1:7" x14ac:dyDescent="0.3">
      <c r="A3141">
        <v>3139</v>
      </c>
      <c r="B3141" t="s">
        <v>3563</v>
      </c>
      <c r="C3141" t="s">
        <v>17</v>
      </c>
      <c r="D3141">
        <v>75</v>
      </c>
      <c r="E3141">
        <v>59</v>
      </c>
      <c r="F3141" t="s">
        <v>3564</v>
      </c>
      <c r="G3141" t="s">
        <v>3565</v>
      </c>
    </row>
    <row r="3142" spans="1:7" x14ac:dyDescent="0.3">
      <c r="A3142">
        <v>3140</v>
      </c>
      <c r="B3142" t="s">
        <v>3563</v>
      </c>
      <c r="C3142" t="s">
        <v>17</v>
      </c>
      <c r="D3142">
        <v>115</v>
      </c>
      <c r="E3142">
        <v>90</v>
      </c>
      <c r="F3142" t="s">
        <v>3564</v>
      </c>
      <c r="G3142" t="s">
        <v>3565</v>
      </c>
    </row>
    <row r="3143" spans="1:7" x14ac:dyDescent="0.3">
      <c r="A3143">
        <v>3141</v>
      </c>
      <c r="B3143" t="s">
        <v>3563</v>
      </c>
      <c r="C3143" t="s">
        <v>17</v>
      </c>
      <c r="D3143">
        <v>99</v>
      </c>
      <c r="E3143">
        <v>79</v>
      </c>
      <c r="F3143" t="s">
        <v>3564</v>
      </c>
      <c r="G3143" t="s">
        <v>3565</v>
      </c>
    </row>
    <row r="3144" spans="1:7" x14ac:dyDescent="0.3">
      <c r="A3144">
        <v>3142</v>
      </c>
      <c r="B3144" t="s">
        <v>3566</v>
      </c>
      <c r="C3144" t="s">
        <v>17</v>
      </c>
      <c r="D3144">
        <v>139</v>
      </c>
      <c r="E3144">
        <v>109</v>
      </c>
      <c r="F3144" t="s">
        <v>3564</v>
      </c>
      <c r="G3144" t="s">
        <v>3565</v>
      </c>
    </row>
    <row r="3145" spans="1:7" x14ac:dyDescent="0.3">
      <c r="A3145">
        <v>3143</v>
      </c>
      <c r="B3145" t="s">
        <v>3566</v>
      </c>
      <c r="C3145" t="s">
        <v>17</v>
      </c>
      <c r="D3145">
        <v>90</v>
      </c>
      <c r="E3145">
        <v>69</v>
      </c>
      <c r="F3145" t="s">
        <v>3564</v>
      </c>
      <c r="G3145" t="s">
        <v>3565</v>
      </c>
    </row>
    <row r="3146" spans="1:7" x14ac:dyDescent="0.3">
      <c r="A3146">
        <v>3144</v>
      </c>
      <c r="B3146" t="s">
        <v>3566</v>
      </c>
      <c r="C3146" t="s">
        <v>17</v>
      </c>
      <c r="D3146">
        <v>115</v>
      </c>
      <c r="E3146">
        <v>89</v>
      </c>
      <c r="F3146" t="s">
        <v>3564</v>
      </c>
      <c r="G3146" t="s">
        <v>3565</v>
      </c>
    </row>
    <row r="3147" spans="1:7" x14ac:dyDescent="0.3">
      <c r="A3147">
        <v>3145</v>
      </c>
      <c r="B3147" t="s">
        <v>3567</v>
      </c>
      <c r="C3147" t="s">
        <v>17</v>
      </c>
      <c r="D3147">
        <v>69</v>
      </c>
      <c r="E3147">
        <v>59</v>
      </c>
      <c r="F3147" t="s">
        <v>3568</v>
      </c>
      <c r="G3147" t="s">
        <v>3565</v>
      </c>
    </row>
    <row r="3148" spans="1:7" x14ac:dyDescent="0.3">
      <c r="A3148">
        <v>3146</v>
      </c>
      <c r="B3148" t="s">
        <v>3569</v>
      </c>
      <c r="C3148" t="s">
        <v>17</v>
      </c>
      <c r="D3148">
        <v>75</v>
      </c>
      <c r="E3148">
        <v>59</v>
      </c>
      <c r="F3148" t="s">
        <v>3186</v>
      </c>
      <c r="G3148" t="s">
        <v>3565</v>
      </c>
    </row>
    <row r="3149" spans="1:7" x14ac:dyDescent="0.3">
      <c r="A3149">
        <v>3147</v>
      </c>
      <c r="B3149" t="s">
        <v>3569</v>
      </c>
      <c r="C3149" t="s">
        <v>17</v>
      </c>
      <c r="D3149">
        <v>145</v>
      </c>
      <c r="E3149">
        <v>109</v>
      </c>
      <c r="F3149" t="s">
        <v>3186</v>
      </c>
      <c r="G3149" t="s">
        <v>3565</v>
      </c>
    </row>
    <row r="3150" spans="1:7" x14ac:dyDescent="0.3">
      <c r="A3150">
        <v>3148</v>
      </c>
      <c r="B3150" t="s">
        <v>3569</v>
      </c>
      <c r="C3150" t="s">
        <v>17</v>
      </c>
      <c r="D3150">
        <v>145</v>
      </c>
      <c r="E3150">
        <v>109</v>
      </c>
      <c r="F3150" t="s">
        <v>3186</v>
      </c>
      <c r="G3150" t="s">
        <v>3565</v>
      </c>
    </row>
    <row r="3151" spans="1:7" x14ac:dyDescent="0.3">
      <c r="A3151">
        <v>3149</v>
      </c>
      <c r="B3151" t="s">
        <v>3569</v>
      </c>
      <c r="C3151" t="s">
        <v>17</v>
      </c>
      <c r="D3151">
        <v>140</v>
      </c>
      <c r="E3151">
        <v>109</v>
      </c>
      <c r="F3151" t="s">
        <v>3230</v>
      </c>
      <c r="G3151" t="s">
        <v>3565</v>
      </c>
    </row>
    <row r="3152" spans="1:7" x14ac:dyDescent="0.3">
      <c r="A3152">
        <v>3150</v>
      </c>
      <c r="B3152" t="s">
        <v>3570</v>
      </c>
      <c r="C3152" t="s">
        <v>17</v>
      </c>
      <c r="D3152">
        <v>65</v>
      </c>
      <c r="E3152">
        <v>49</v>
      </c>
      <c r="F3152" t="s">
        <v>3571</v>
      </c>
      <c r="G3152" t="s">
        <v>3565</v>
      </c>
    </row>
    <row r="3153" spans="1:7" x14ac:dyDescent="0.3">
      <c r="A3153">
        <v>3151</v>
      </c>
      <c r="B3153" t="s">
        <v>3570</v>
      </c>
      <c r="C3153" t="s">
        <v>17</v>
      </c>
      <c r="D3153">
        <v>89</v>
      </c>
      <c r="E3153">
        <v>75</v>
      </c>
      <c r="F3153" t="s">
        <v>1194</v>
      </c>
      <c r="G3153" t="s">
        <v>3565</v>
      </c>
    </row>
    <row r="3154" spans="1:7" x14ac:dyDescent="0.3">
      <c r="A3154">
        <v>3152</v>
      </c>
      <c r="B3154" t="s">
        <v>3572</v>
      </c>
      <c r="C3154" t="s">
        <v>17</v>
      </c>
      <c r="D3154">
        <v>55</v>
      </c>
      <c r="E3154">
        <v>45</v>
      </c>
      <c r="F3154" t="s">
        <v>3564</v>
      </c>
      <c r="G3154" t="s">
        <v>3565</v>
      </c>
    </row>
    <row r="3155" spans="1:7" x14ac:dyDescent="0.3">
      <c r="A3155">
        <v>3153</v>
      </c>
      <c r="B3155" t="s">
        <v>3573</v>
      </c>
      <c r="C3155" t="s">
        <v>17</v>
      </c>
      <c r="D3155">
        <v>45</v>
      </c>
      <c r="E3155">
        <v>35</v>
      </c>
      <c r="F3155" t="s">
        <v>3564</v>
      </c>
      <c r="G3155" t="s">
        <v>3565</v>
      </c>
    </row>
    <row r="3156" spans="1:7" x14ac:dyDescent="0.3">
      <c r="A3156">
        <v>3154</v>
      </c>
      <c r="B3156" t="s">
        <v>3574</v>
      </c>
      <c r="C3156" t="s">
        <v>17</v>
      </c>
      <c r="D3156">
        <v>75</v>
      </c>
      <c r="E3156">
        <v>59</v>
      </c>
      <c r="F3156" t="s">
        <v>3575</v>
      </c>
      <c r="G3156" t="s">
        <v>3565</v>
      </c>
    </row>
    <row r="3157" spans="1:7" x14ac:dyDescent="0.3">
      <c r="A3157">
        <v>3155</v>
      </c>
      <c r="B3157" t="s">
        <v>3576</v>
      </c>
      <c r="C3157" t="s">
        <v>17</v>
      </c>
      <c r="D3157">
        <v>69</v>
      </c>
      <c r="E3157">
        <v>59</v>
      </c>
      <c r="F3157" t="s">
        <v>3568</v>
      </c>
      <c r="G3157" t="s">
        <v>3565</v>
      </c>
    </row>
    <row r="3158" spans="1:7" x14ac:dyDescent="0.3">
      <c r="A3158">
        <v>3156</v>
      </c>
      <c r="B3158" t="s">
        <v>3577</v>
      </c>
      <c r="C3158" t="s">
        <v>17</v>
      </c>
      <c r="D3158">
        <v>140</v>
      </c>
      <c r="E3158">
        <v>109</v>
      </c>
      <c r="F3158" t="s">
        <v>3186</v>
      </c>
      <c r="G3158" t="s">
        <v>3565</v>
      </c>
    </row>
    <row r="3159" spans="1:7" x14ac:dyDescent="0.3">
      <c r="A3159">
        <v>3157</v>
      </c>
      <c r="B3159" t="s">
        <v>3578</v>
      </c>
      <c r="C3159" t="s">
        <v>3579</v>
      </c>
      <c r="D3159">
        <v>4851</v>
      </c>
      <c r="E3159">
        <v>1999</v>
      </c>
      <c r="F3159" t="s">
        <v>3580</v>
      </c>
      <c r="G3159" t="s">
        <v>3579</v>
      </c>
    </row>
    <row r="3160" spans="1:7" x14ac:dyDescent="0.3">
      <c r="A3160">
        <v>3158</v>
      </c>
      <c r="B3160" t="s">
        <v>3578</v>
      </c>
      <c r="C3160" t="s">
        <v>3579</v>
      </c>
      <c r="D3160">
        <v>3646</v>
      </c>
      <c r="E3160">
        <v>1599</v>
      </c>
      <c r="F3160" t="s">
        <v>3581</v>
      </c>
      <c r="G3160" t="s">
        <v>3579</v>
      </c>
    </row>
    <row r="3161" spans="1:7" x14ac:dyDescent="0.3">
      <c r="A3161">
        <v>3159</v>
      </c>
      <c r="B3161" t="s">
        <v>3582</v>
      </c>
      <c r="C3161" t="s">
        <v>3298</v>
      </c>
      <c r="D3161">
        <v>3445</v>
      </c>
      <c r="E3161">
        <v>1859</v>
      </c>
      <c r="F3161" t="s">
        <v>3581</v>
      </c>
      <c r="G3161" t="s">
        <v>3583</v>
      </c>
    </row>
    <row r="3162" spans="1:7" x14ac:dyDescent="0.3">
      <c r="A3162">
        <v>3160</v>
      </c>
      <c r="B3162" t="s">
        <v>3584</v>
      </c>
      <c r="C3162" t="s">
        <v>3298</v>
      </c>
      <c r="D3162">
        <v>2195</v>
      </c>
      <c r="E3162">
        <v>1249</v>
      </c>
      <c r="F3162" t="s">
        <v>3581</v>
      </c>
      <c r="G3162" t="s">
        <v>3583</v>
      </c>
    </row>
    <row r="3163" spans="1:7" x14ac:dyDescent="0.3">
      <c r="A3163">
        <v>3161</v>
      </c>
      <c r="B3163" t="s">
        <v>3584</v>
      </c>
      <c r="C3163" t="s">
        <v>3298</v>
      </c>
      <c r="D3163">
        <v>2995</v>
      </c>
      <c r="E3163">
        <v>1499</v>
      </c>
      <c r="F3163" t="s">
        <v>3585</v>
      </c>
      <c r="G3163" t="s">
        <v>3583</v>
      </c>
    </row>
    <row r="3164" spans="1:7" x14ac:dyDescent="0.3">
      <c r="A3164">
        <v>3162</v>
      </c>
      <c r="B3164" t="s">
        <v>3586</v>
      </c>
      <c r="C3164" t="s">
        <v>3328</v>
      </c>
      <c r="D3164">
        <v>2830</v>
      </c>
      <c r="E3164">
        <v>2136</v>
      </c>
      <c r="F3164" t="s">
        <v>3581</v>
      </c>
      <c r="G3164" t="s">
        <v>3583</v>
      </c>
    </row>
    <row r="3165" spans="1:7" x14ac:dyDescent="0.3">
      <c r="A3165">
        <v>3163</v>
      </c>
      <c r="B3165" t="s">
        <v>3587</v>
      </c>
      <c r="C3165" t="s">
        <v>3588</v>
      </c>
      <c r="D3165">
        <v>1800</v>
      </c>
      <c r="E3165">
        <v>1449</v>
      </c>
      <c r="F3165" t="s">
        <v>3589</v>
      </c>
      <c r="G3165" t="s">
        <v>3583</v>
      </c>
    </row>
    <row r="3166" spans="1:7" x14ac:dyDescent="0.3">
      <c r="A3166">
        <v>3164</v>
      </c>
      <c r="B3166" t="s">
        <v>3587</v>
      </c>
      <c r="C3166" t="s">
        <v>3588</v>
      </c>
      <c r="D3166">
        <v>1150</v>
      </c>
      <c r="E3166">
        <v>899</v>
      </c>
      <c r="F3166" t="s">
        <v>3590</v>
      </c>
      <c r="G3166" t="s">
        <v>3583</v>
      </c>
    </row>
    <row r="3167" spans="1:7" x14ac:dyDescent="0.3">
      <c r="A3167">
        <v>3165</v>
      </c>
      <c r="B3167" t="s">
        <v>3591</v>
      </c>
      <c r="C3167" t="s">
        <v>3328</v>
      </c>
      <c r="D3167">
        <v>3500</v>
      </c>
      <c r="E3167">
        <v>2800</v>
      </c>
      <c r="F3167" t="s">
        <v>3585</v>
      </c>
      <c r="G3167" t="s">
        <v>3583</v>
      </c>
    </row>
    <row r="3168" spans="1:7" x14ac:dyDescent="0.3">
      <c r="A3168">
        <v>3166</v>
      </c>
      <c r="B3168" t="s">
        <v>3592</v>
      </c>
      <c r="C3168" t="s">
        <v>3328</v>
      </c>
      <c r="D3168">
        <v>2640</v>
      </c>
      <c r="E3168">
        <v>2112</v>
      </c>
      <c r="F3168" t="s">
        <v>3581</v>
      </c>
      <c r="G3168" t="s">
        <v>3583</v>
      </c>
    </row>
    <row r="3169" spans="1:7" x14ac:dyDescent="0.3">
      <c r="A3169">
        <v>3167</v>
      </c>
      <c r="B3169" t="s">
        <v>3593</v>
      </c>
      <c r="C3169" t="s">
        <v>3328</v>
      </c>
      <c r="D3169">
        <v>2100</v>
      </c>
      <c r="E3169">
        <v>1672</v>
      </c>
      <c r="F3169" t="s">
        <v>3585</v>
      </c>
      <c r="G3169" t="s">
        <v>3583</v>
      </c>
    </row>
    <row r="3170" spans="1:7" x14ac:dyDescent="0.3">
      <c r="A3170">
        <v>3168</v>
      </c>
      <c r="B3170" t="s">
        <v>3593</v>
      </c>
      <c r="C3170" t="s">
        <v>3328</v>
      </c>
      <c r="D3170">
        <v>1640</v>
      </c>
      <c r="E3170">
        <v>1230</v>
      </c>
      <c r="F3170" t="s">
        <v>3581</v>
      </c>
      <c r="G3170" t="s">
        <v>3583</v>
      </c>
    </row>
    <row r="3171" spans="1:7" x14ac:dyDescent="0.3">
      <c r="A3171">
        <v>3169</v>
      </c>
      <c r="B3171" t="s">
        <v>3594</v>
      </c>
      <c r="C3171" t="s">
        <v>3298</v>
      </c>
      <c r="D3171">
        <v>2495</v>
      </c>
      <c r="E3171">
        <v>1199</v>
      </c>
      <c r="F3171" t="s">
        <v>3595</v>
      </c>
      <c r="G3171" t="s">
        <v>3583</v>
      </c>
    </row>
    <row r="3172" spans="1:7" x14ac:dyDescent="0.3">
      <c r="A3172">
        <v>3170</v>
      </c>
      <c r="B3172" t="s">
        <v>3596</v>
      </c>
      <c r="C3172" t="s">
        <v>3328</v>
      </c>
      <c r="D3172">
        <v>1380</v>
      </c>
      <c r="E3172">
        <v>1035</v>
      </c>
      <c r="F3172" t="s">
        <v>3597</v>
      </c>
      <c r="G3172" t="s">
        <v>3583</v>
      </c>
    </row>
    <row r="3173" spans="1:7" x14ac:dyDescent="0.3">
      <c r="A3173">
        <v>3171</v>
      </c>
      <c r="B3173" t="s">
        <v>3598</v>
      </c>
      <c r="C3173" t="s">
        <v>3599</v>
      </c>
      <c r="D3173">
        <v>1950</v>
      </c>
      <c r="E3173">
        <v>1755</v>
      </c>
      <c r="F3173" t="s">
        <v>3597</v>
      </c>
      <c r="G3173" t="s">
        <v>3583</v>
      </c>
    </row>
    <row r="3174" spans="1:7" x14ac:dyDescent="0.3">
      <c r="A3174">
        <v>3172</v>
      </c>
      <c r="B3174" t="s">
        <v>3600</v>
      </c>
      <c r="C3174" t="s">
        <v>3599</v>
      </c>
      <c r="D3174">
        <v>1175</v>
      </c>
      <c r="E3174">
        <v>1057</v>
      </c>
      <c r="F3174" t="s">
        <v>3350</v>
      </c>
      <c r="G3174" t="s">
        <v>3583</v>
      </c>
    </row>
    <row r="3175" spans="1:7" x14ac:dyDescent="0.3">
      <c r="A3175">
        <v>3173</v>
      </c>
      <c r="B3175" t="s">
        <v>3600</v>
      </c>
      <c r="C3175" t="s">
        <v>3599</v>
      </c>
      <c r="D3175">
        <v>1275</v>
      </c>
      <c r="E3175">
        <v>1147</v>
      </c>
      <c r="F3175" t="s">
        <v>3597</v>
      </c>
      <c r="G3175" t="s">
        <v>3583</v>
      </c>
    </row>
    <row r="3176" spans="1:7" x14ac:dyDescent="0.3">
      <c r="A3176">
        <v>3174</v>
      </c>
      <c r="B3176" t="s">
        <v>3600</v>
      </c>
      <c r="C3176" t="s">
        <v>3599</v>
      </c>
      <c r="D3176">
        <v>1575</v>
      </c>
      <c r="E3176">
        <v>1417</v>
      </c>
      <c r="F3176" t="s">
        <v>3581</v>
      </c>
      <c r="G3176" t="s">
        <v>3583</v>
      </c>
    </row>
    <row r="3177" spans="1:7" x14ac:dyDescent="0.3">
      <c r="A3177">
        <v>3175</v>
      </c>
      <c r="B3177" t="s">
        <v>3600</v>
      </c>
      <c r="C3177" t="s">
        <v>3599</v>
      </c>
      <c r="D3177">
        <v>1615</v>
      </c>
      <c r="E3177">
        <v>1453</v>
      </c>
      <c r="F3177" t="s">
        <v>3601</v>
      </c>
      <c r="G3177" t="s">
        <v>3583</v>
      </c>
    </row>
    <row r="3178" spans="1:7" x14ac:dyDescent="0.3">
      <c r="A3178">
        <v>3176</v>
      </c>
      <c r="B3178" t="s">
        <v>3600</v>
      </c>
      <c r="C3178" t="s">
        <v>3599</v>
      </c>
      <c r="D3178">
        <v>1950</v>
      </c>
      <c r="E3178">
        <v>1755</v>
      </c>
      <c r="F3178" t="s">
        <v>3585</v>
      </c>
      <c r="G3178" t="s">
        <v>3583</v>
      </c>
    </row>
    <row r="3179" spans="1:7" x14ac:dyDescent="0.3">
      <c r="A3179">
        <v>3177</v>
      </c>
      <c r="B3179" t="s">
        <v>3602</v>
      </c>
      <c r="C3179" t="s">
        <v>3328</v>
      </c>
      <c r="D3179">
        <v>2800</v>
      </c>
      <c r="E3179">
        <v>2400</v>
      </c>
      <c r="F3179" t="s">
        <v>3585</v>
      </c>
      <c r="G3179" t="s">
        <v>3583</v>
      </c>
    </row>
    <row r="3180" spans="1:7" x14ac:dyDescent="0.3">
      <c r="A3180">
        <v>3178</v>
      </c>
      <c r="B3180" t="s">
        <v>3603</v>
      </c>
      <c r="C3180" t="s">
        <v>3599</v>
      </c>
      <c r="D3180">
        <v>2225</v>
      </c>
      <c r="E3180">
        <v>2002</v>
      </c>
      <c r="F3180" t="s">
        <v>3581</v>
      </c>
      <c r="G3180" t="s">
        <v>3583</v>
      </c>
    </row>
    <row r="3181" spans="1:7" x14ac:dyDescent="0.3">
      <c r="A3181">
        <v>3179</v>
      </c>
      <c r="B3181" t="s">
        <v>3604</v>
      </c>
      <c r="C3181" t="s">
        <v>3328</v>
      </c>
      <c r="D3181">
        <v>2130</v>
      </c>
      <c r="E3181">
        <v>1704</v>
      </c>
      <c r="F3181" t="s">
        <v>3585</v>
      </c>
      <c r="G3181" t="s">
        <v>3583</v>
      </c>
    </row>
    <row r="3182" spans="1:7" x14ac:dyDescent="0.3">
      <c r="A3182">
        <v>3180</v>
      </c>
      <c r="B3182" t="s">
        <v>3605</v>
      </c>
      <c r="C3182" t="s">
        <v>3298</v>
      </c>
      <c r="D3182">
        <v>995</v>
      </c>
      <c r="E3182">
        <v>449</v>
      </c>
      <c r="F3182" t="s">
        <v>2712</v>
      </c>
      <c r="G3182" t="s">
        <v>2936</v>
      </c>
    </row>
    <row r="3183" spans="1:7" x14ac:dyDescent="0.3">
      <c r="A3183">
        <v>3181</v>
      </c>
      <c r="B3183" t="s">
        <v>3606</v>
      </c>
      <c r="C3183" t="s">
        <v>3607</v>
      </c>
      <c r="D3183">
        <v>900</v>
      </c>
      <c r="E3183">
        <v>499</v>
      </c>
      <c r="F3183" t="s">
        <v>3004</v>
      </c>
      <c r="G3183" t="s">
        <v>3608</v>
      </c>
    </row>
    <row r="3184" spans="1:7" x14ac:dyDescent="0.3">
      <c r="A3184">
        <v>3182</v>
      </c>
      <c r="B3184" t="s">
        <v>3609</v>
      </c>
      <c r="C3184" t="s">
        <v>3307</v>
      </c>
      <c r="D3184">
        <v>785</v>
      </c>
      <c r="E3184">
        <v>499</v>
      </c>
      <c r="F3184" t="s">
        <v>2712</v>
      </c>
      <c r="G3184" t="s">
        <v>3583</v>
      </c>
    </row>
    <row r="3185" spans="1:7" x14ac:dyDescent="0.3">
      <c r="A3185">
        <v>3183</v>
      </c>
      <c r="B3185" t="s">
        <v>3610</v>
      </c>
      <c r="C3185" t="s">
        <v>17</v>
      </c>
      <c r="D3185">
        <v>449</v>
      </c>
      <c r="E3185">
        <v>229</v>
      </c>
      <c r="F3185" t="s">
        <v>3323</v>
      </c>
      <c r="G3185" t="s">
        <v>3583</v>
      </c>
    </row>
    <row r="3186" spans="1:7" x14ac:dyDescent="0.3">
      <c r="A3186">
        <v>3184</v>
      </c>
      <c r="B3186" t="s">
        <v>3611</v>
      </c>
      <c r="C3186" t="s">
        <v>3328</v>
      </c>
      <c r="D3186">
        <v>1390</v>
      </c>
      <c r="E3186">
        <v>1112</v>
      </c>
      <c r="F3186" t="s">
        <v>3004</v>
      </c>
      <c r="G3186" t="s">
        <v>3583</v>
      </c>
    </row>
    <row r="3187" spans="1:7" x14ac:dyDescent="0.3">
      <c r="A3187">
        <v>3185</v>
      </c>
      <c r="B3187" t="s">
        <v>3612</v>
      </c>
      <c r="C3187" t="s">
        <v>3307</v>
      </c>
      <c r="D3187">
        <v>815</v>
      </c>
      <c r="E3187">
        <v>469</v>
      </c>
      <c r="F3187" t="s">
        <v>2712</v>
      </c>
      <c r="G3187" t="s">
        <v>3583</v>
      </c>
    </row>
    <row r="3188" spans="1:7" x14ac:dyDescent="0.3">
      <c r="A3188">
        <v>3186</v>
      </c>
      <c r="B3188" t="s">
        <v>3613</v>
      </c>
      <c r="C3188" t="s">
        <v>17</v>
      </c>
      <c r="D3188">
        <v>850</v>
      </c>
      <c r="E3188">
        <v>279</v>
      </c>
      <c r="F3188" t="s">
        <v>3562</v>
      </c>
      <c r="G3188" t="s">
        <v>3583</v>
      </c>
    </row>
    <row r="3189" spans="1:7" x14ac:dyDescent="0.3">
      <c r="A3189">
        <v>3187</v>
      </c>
      <c r="B3189" t="s">
        <v>3614</v>
      </c>
      <c r="C3189" t="s">
        <v>17</v>
      </c>
      <c r="D3189">
        <v>4000</v>
      </c>
      <c r="E3189">
        <v>1499</v>
      </c>
      <c r="F3189" t="s">
        <v>2680</v>
      </c>
      <c r="G3189" t="s">
        <v>3583</v>
      </c>
    </row>
    <row r="3190" spans="1:7" x14ac:dyDescent="0.3">
      <c r="A3190">
        <v>3188</v>
      </c>
      <c r="B3190" t="s">
        <v>3615</v>
      </c>
      <c r="C3190" t="s">
        <v>3616</v>
      </c>
      <c r="D3190">
        <v>575</v>
      </c>
      <c r="E3190">
        <v>449</v>
      </c>
      <c r="F3190" t="s">
        <v>2739</v>
      </c>
      <c r="G3190" t="s">
        <v>3617</v>
      </c>
    </row>
    <row r="3191" spans="1:7" x14ac:dyDescent="0.3">
      <c r="A3191">
        <v>3189</v>
      </c>
      <c r="B3191" t="s">
        <v>3618</v>
      </c>
      <c r="C3191" t="s">
        <v>3328</v>
      </c>
      <c r="D3191">
        <v>1210</v>
      </c>
      <c r="E3191">
        <v>968</v>
      </c>
      <c r="F3191" t="s">
        <v>2712</v>
      </c>
      <c r="G3191" t="s">
        <v>3583</v>
      </c>
    </row>
    <row r="3192" spans="1:7" x14ac:dyDescent="0.3">
      <c r="A3192">
        <v>3190</v>
      </c>
      <c r="B3192" t="s">
        <v>3619</v>
      </c>
      <c r="C3192" t="s">
        <v>17</v>
      </c>
      <c r="D3192">
        <v>1810</v>
      </c>
      <c r="E3192">
        <v>1099</v>
      </c>
      <c r="F3192" t="s">
        <v>2712</v>
      </c>
      <c r="G3192" t="s">
        <v>3583</v>
      </c>
    </row>
    <row r="3193" spans="1:7" x14ac:dyDescent="0.3">
      <c r="A3193">
        <v>3191</v>
      </c>
      <c r="B3193" t="s">
        <v>3620</v>
      </c>
      <c r="C3193" t="s">
        <v>3311</v>
      </c>
      <c r="D3193">
        <v>1500</v>
      </c>
      <c r="E3193">
        <v>799</v>
      </c>
      <c r="F3193" t="s">
        <v>2712</v>
      </c>
      <c r="G3193" t="s">
        <v>3583</v>
      </c>
    </row>
    <row r="3194" spans="1:7" x14ac:dyDescent="0.3">
      <c r="A3194">
        <v>3192</v>
      </c>
      <c r="B3194" t="s">
        <v>3621</v>
      </c>
      <c r="C3194" t="s">
        <v>3328</v>
      </c>
      <c r="D3194">
        <v>1180</v>
      </c>
      <c r="E3194">
        <v>944</v>
      </c>
      <c r="F3194" t="s">
        <v>2712</v>
      </c>
      <c r="G3194" t="s">
        <v>3583</v>
      </c>
    </row>
    <row r="3195" spans="1:7" x14ac:dyDescent="0.3">
      <c r="A3195">
        <v>3193</v>
      </c>
      <c r="B3195" t="s">
        <v>3622</v>
      </c>
      <c r="C3195" t="s">
        <v>3311</v>
      </c>
      <c r="D3195">
        <v>2000</v>
      </c>
      <c r="E3195">
        <v>999</v>
      </c>
      <c r="F3195" t="s">
        <v>3004</v>
      </c>
      <c r="G3195" t="s">
        <v>3583</v>
      </c>
    </row>
    <row r="3196" spans="1:7" x14ac:dyDescent="0.3">
      <c r="A3196">
        <v>3194</v>
      </c>
      <c r="B3196" t="s">
        <v>3623</v>
      </c>
      <c r="C3196" t="s">
        <v>3311</v>
      </c>
      <c r="D3196">
        <v>1800</v>
      </c>
      <c r="E3196">
        <v>1199</v>
      </c>
      <c r="F3196" t="s">
        <v>2712</v>
      </c>
      <c r="G3196" t="s">
        <v>3583</v>
      </c>
    </row>
    <row r="3197" spans="1:7" x14ac:dyDescent="0.3">
      <c r="A3197">
        <v>3195</v>
      </c>
      <c r="B3197" t="s">
        <v>3624</v>
      </c>
      <c r="C3197" t="s">
        <v>3625</v>
      </c>
      <c r="D3197">
        <v>420</v>
      </c>
      <c r="E3197">
        <v>349</v>
      </c>
      <c r="F3197" t="s">
        <v>2712</v>
      </c>
      <c r="G3197" t="s">
        <v>3583</v>
      </c>
    </row>
    <row r="3198" spans="1:7" x14ac:dyDescent="0.3">
      <c r="A3198">
        <v>3196</v>
      </c>
      <c r="B3198" t="s">
        <v>3626</v>
      </c>
      <c r="C3198" t="s">
        <v>17</v>
      </c>
      <c r="D3198">
        <v>1900</v>
      </c>
      <c r="E3198">
        <v>799</v>
      </c>
      <c r="F3198" t="s">
        <v>3323</v>
      </c>
      <c r="G3198" t="s">
        <v>3583</v>
      </c>
    </row>
    <row r="3199" spans="1:7" x14ac:dyDescent="0.3">
      <c r="A3199">
        <v>3197</v>
      </c>
      <c r="B3199" t="s">
        <v>3627</v>
      </c>
      <c r="C3199" t="s">
        <v>3311</v>
      </c>
      <c r="D3199">
        <v>1400</v>
      </c>
      <c r="E3199">
        <v>449</v>
      </c>
      <c r="F3199" t="s">
        <v>3004</v>
      </c>
      <c r="G3199" t="s">
        <v>3583</v>
      </c>
    </row>
    <row r="3200" spans="1:7" x14ac:dyDescent="0.3">
      <c r="A3200">
        <v>3198</v>
      </c>
      <c r="B3200" t="s">
        <v>3628</v>
      </c>
      <c r="C3200" t="s">
        <v>3629</v>
      </c>
      <c r="D3200">
        <v>1215</v>
      </c>
      <c r="E3200">
        <v>749</v>
      </c>
      <c r="F3200" t="s">
        <v>3492</v>
      </c>
      <c r="G3200" t="s">
        <v>3583</v>
      </c>
    </row>
    <row r="3201" spans="1:7" x14ac:dyDescent="0.3">
      <c r="A3201">
        <v>3199</v>
      </c>
      <c r="B3201" t="s">
        <v>3630</v>
      </c>
      <c r="C3201" t="s">
        <v>3631</v>
      </c>
      <c r="D3201">
        <v>250</v>
      </c>
      <c r="E3201">
        <v>199</v>
      </c>
      <c r="F3201" t="s">
        <v>3632</v>
      </c>
      <c r="G3201" t="s">
        <v>3583</v>
      </c>
    </row>
    <row r="3202" spans="1:7" x14ac:dyDescent="0.3">
      <c r="A3202">
        <v>3200</v>
      </c>
      <c r="B3202" t="s">
        <v>3633</v>
      </c>
      <c r="C3202" t="s">
        <v>3634</v>
      </c>
      <c r="D3202">
        <v>2490</v>
      </c>
      <c r="E3202">
        <v>1990</v>
      </c>
      <c r="F3202" t="s">
        <v>2712</v>
      </c>
      <c r="G3202" t="s">
        <v>3583</v>
      </c>
    </row>
    <row r="3203" spans="1:7" x14ac:dyDescent="0.3">
      <c r="A3203">
        <v>3201</v>
      </c>
      <c r="B3203" t="s">
        <v>3635</v>
      </c>
      <c r="C3203" t="s">
        <v>3634</v>
      </c>
      <c r="D3203">
        <v>3190</v>
      </c>
      <c r="E3203">
        <v>2590</v>
      </c>
      <c r="F3203" t="s">
        <v>2712</v>
      </c>
      <c r="G3203" t="s">
        <v>3583</v>
      </c>
    </row>
    <row r="3204" spans="1:7" x14ac:dyDescent="0.3">
      <c r="A3204">
        <v>3202</v>
      </c>
      <c r="B3204" t="s">
        <v>3636</v>
      </c>
      <c r="C3204" t="s">
        <v>3637</v>
      </c>
      <c r="D3204">
        <v>1199</v>
      </c>
      <c r="E3204">
        <v>999</v>
      </c>
      <c r="F3204" t="s">
        <v>3638</v>
      </c>
      <c r="G3204" t="s">
        <v>3583</v>
      </c>
    </row>
    <row r="3205" spans="1:7" x14ac:dyDescent="0.3">
      <c r="A3205">
        <v>3203</v>
      </c>
      <c r="B3205" t="s">
        <v>3639</v>
      </c>
      <c r="C3205" t="s">
        <v>3640</v>
      </c>
      <c r="D3205">
        <v>193</v>
      </c>
      <c r="E3205">
        <v>129</v>
      </c>
      <c r="F3205" t="s">
        <v>3638</v>
      </c>
      <c r="G3205" t="s">
        <v>3583</v>
      </c>
    </row>
    <row r="3206" spans="1:7" x14ac:dyDescent="0.3">
      <c r="A3206">
        <v>3204</v>
      </c>
      <c r="B3206" t="s">
        <v>3641</v>
      </c>
      <c r="C3206" t="s">
        <v>3640</v>
      </c>
      <c r="D3206">
        <v>206</v>
      </c>
      <c r="E3206">
        <v>149</v>
      </c>
      <c r="F3206" t="s">
        <v>3638</v>
      </c>
      <c r="G3206" t="s">
        <v>3583</v>
      </c>
    </row>
    <row r="3207" spans="1:7" x14ac:dyDescent="0.3">
      <c r="A3207">
        <v>3205</v>
      </c>
      <c r="B3207" t="s">
        <v>3642</v>
      </c>
      <c r="C3207" t="s">
        <v>17</v>
      </c>
      <c r="D3207">
        <v>400</v>
      </c>
      <c r="E3207">
        <v>229</v>
      </c>
      <c r="F3207" t="s">
        <v>3340</v>
      </c>
      <c r="G3207" t="s">
        <v>3583</v>
      </c>
    </row>
    <row r="3208" spans="1:7" x14ac:dyDescent="0.3">
      <c r="A3208">
        <v>3206</v>
      </c>
      <c r="B3208" t="s">
        <v>3643</v>
      </c>
      <c r="C3208" t="s">
        <v>3360</v>
      </c>
      <c r="D3208">
        <v>460</v>
      </c>
      <c r="E3208">
        <v>249</v>
      </c>
      <c r="F3208" t="s">
        <v>3638</v>
      </c>
      <c r="G3208" t="s">
        <v>3583</v>
      </c>
    </row>
    <row r="3209" spans="1:7" x14ac:dyDescent="0.3">
      <c r="A3209">
        <v>3207</v>
      </c>
      <c r="B3209" t="s">
        <v>3644</v>
      </c>
      <c r="C3209" t="s">
        <v>3645</v>
      </c>
      <c r="D3209">
        <v>50</v>
      </c>
      <c r="E3209">
        <v>39</v>
      </c>
      <c r="F3209" t="s">
        <v>246</v>
      </c>
      <c r="G3209" t="s">
        <v>3583</v>
      </c>
    </row>
    <row r="3210" spans="1:7" x14ac:dyDescent="0.3">
      <c r="A3210">
        <v>3208</v>
      </c>
      <c r="B3210" t="s">
        <v>3646</v>
      </c>
      <c r="C3210" t="s">
        <v>3647</v>
      </c>
      <c r="D3210">
        <v>119</v>
      </c>
      <c r="E3210">
        <v>59</v>
      </c>
      <c r="F3210" t="s">
        <v>246</v>
      </c>
      <c r="G3210" t="s">
        <v>3583</v>
      </c>
    </row>
    <row r="3211" spans="1:7" x14ac:dyDescent="0.3">
      <c r="A3211">
        <v>3209</v>
      </c>
      <c r="B3211" t="s">
        <v>3648</v>
      </c>
      <c r="C3211" t="s">
        <v>3360</v>
      </c>
      <c r="D3211">
        <v>460</v>
      </c>
      <c r="E3211">
        <v>249</v>
      </c>
      <c r="F3211" t="s">
        <v>3638</v>
      </c>
      <c r="G3211" t="s">
        <v>3583</v>
      </c>
    </row>
    <row r="3212" spans="1:7" x14ac:dyDescent="0.3">
      <c r="A3212">
        <v>3210</v>
      </c>
      <c r="B3212" t="s">
        <v>3649</v>
      </c>
      <c r="C3212" t="s">
        <v>17</v>
      </c>
      <c r="D3212">
        <v>250</v>
      </c>
      <c r="E3212">
        <v>99</v>
      </c>
      <c r="F3212" t="s">
        <v>2712</v>
      </c>
      <c r="G3212" t="s">
        <v>3583</v>
      </c>
    </row>
    <row r="3213" spans="1:7" x14ac:dyDescent="0.3">
      <c r="A3213">
        <v>3211</v>
      </c>
      <c r="B3213" t="s">
        <v>3650</v>
      </c>
      <c r="C3213" t="s">
        <v>17</v>
      </c>
      <c r="D3213">
        <v>140</v>
      </c>
      <c r="E3213">
        <v>79</v>
      </c>
      <c r="F3213" t="s">
        <v>246</v>
      </c>
      <c r="G3213" t="s">
        <v>3583</v>
      </c>
    </row>
    <row r="3214" spans="1:7" x14ac:dyDescent="0.3">
      <c r="A3214">
        <v>3212</v>
      </c>
      <c r="B3214" t="s">
        <v>3651</v>
      </c>
      <c r="C3214" t="s">
        <v>3640</v>
      </c>
      <c r="D3214">
        <v>139</v>
      </c>
      <c r="E3214">
        <v>79</v>
      </c>
      <c r="F3214" t="s">
        <v>246</v>
      </c>
      <c r="G3214" t="s">
        <v>3583</v>
      </c>
    </row>
    <row r="3215" spans="1:7" x14ac:dyDescent="0.3">
      <c r="A3215">
        <v>3213</v>
      </c>
      <c r="B3215" t="s">
        <v>3652</v>
      </c>
      <c r="C3215" t="s">
        <v>3246</v>
      </c>
      <c r="D3215">
        <v>560</v>
      </c>
      <c r="E3215">
        <v>249</v>
      </c>
      <c r="F3215" t="s">
        <v>3562</v>
      </c>
      <c r="G3215" t="s">
        <v>3583</v>
      </c>
    </row>
    <row r="3216" spans="1:7" x14ac:dyDescent="0.3">
      <c r="A3216">
        <v>3214</v>
      </c>
      <c r="B3216" t="s">
        <v>3653</v>
      </c>
      <c r="C3216" t="s">
        <v>17</v>
      </c>
      <c r="D3216">
        <v>60</v>
      </c>
      <c r="E3216">
        <v>49</v>
      </c>
      <c r="F3216" t="s">
        <v>246</v>
      </c>
      <c r="G3216" t="s">
        <v>3583</v>
      </c>
    </row>
    <row r="3217" spans="1:7" x14ac:dyDescent="0.3">
      <c r="A3217">
        <v>3215</v>
      </c>
      <c r="B3217" t="s">
        <v>3654</v>
      </c>
      <c r="C3217" t="s">
        <v>3655</v>
      </c>
      <c r="D3217">
        <v>180</v>
      </c>
      <c r="E3217">
        <v>99</v>
      </c>
      <c r="F3217" t="s">
        <v>246</v>
      </c>
      <c r="G3217" t="s">
        <v>3583</v>
      </c>
    </row>
    <row r="3218" spans="1:7" x14ac:dyDescent="0.3">
      <c r="A3218">
        <v>3216</v>
      </c>
      <c r="B3218" t="s">
        <v>3656</v>
      </c>
      <c r="C3218" t="s">
        <v>3655</v>
      </c>
      <c r="D3218">
        <v>199</v>
      </c>
      <c r="E3218">
        <v>99</v>
      </c>
      <c r="F3218" t="s">
        <v>246</v>
      </c>
      <c r="G3218" t="s">
        <v>3583</v>
      </c>
    </row>
    <row r="3219" spans="1:7" x14ac:dyDescent="0.3">
      <c r="A3219">
        <v>3217</v>
      </c>
      <c r="B3219" t="s">
        <v>3657</v>
      </c>
      <c r="C3219" t="s">
        <v>17</v>
      </c>
      <c r="D3219">
        <v>60</v>
      </c>
      <c r="E3219">
        <v>49</v>
      </c>
      <c r="F3219" t="s">
        <v>246</v>
      </c>
      <c r="G3219" t="s">
        <v>3583</v>
      </c>
    </row>
    <row r="3220" spans="1:7" x14ac:dyDescent="0.3">
      <c r="A3220">
        <v>3218</v>
      </c>
      <c r="B3220" t="s">
        <v>3658</v>
      </c>
      <c r="C3220" t="s">
        <v>3640</v>
      </c>
      <c r="D3220">
        <v>129</v>
      </c>
      <c r="E3220">
        <v>99</v>
      </c>
      <c r="F3220" t="s">
        <v>246</v>
      </c>
      <c r="G3220" t="s">
        <v>3583</v>
      </c>
    </row>
    <row r="3221" spans="1:7" x14ac:dyDescent="0.3">
      <c r="A3221">
        <v>3219</v>
      </c>
      <c r="B3221" t="s">
        <v>3659</v>
      </c>
      <c r="C3221" t="s">
        <v>17</v>
      </c>
      <c r="D3221">
        <v>60</v>
      </c>
      <c r="E3221">
        <v>49</v>
      </c>
      <c r="F3221" t="s">
        <v>246</v>
      </c>
      <c r="G3221" t="s">
        <v>3583</v>
      </c>
    </row>
    <row r="3222" spans="1:7" x14ac:dyDescent="0.3">
      <c r="A3222">
        <v>3220</v>
      </c>
      <c r="B3222" t="s">
        <v>3660</v>
      </c>
      <c r="C3222" t="s">
        <v>3006</v>
      </c>
      <c r="D3222">
        <v>110</v>
      </c>
      <c r="E3222">
        <v>79</v>
      </c>
      <c r="F3222" t="s">
        <v>2712</v>
      </c>
      <c r="G3222" t="s">
        <v>3583</v>
      </c>
    </row>
    <row r="3223" spans="1:7" x14ac:dyDescent="0.3">
      <c r="A3223">
        <v>3221</v>
      </c>
      <c r="B3223" t="s">
        <v>3661</v>
      </c>
      <c r="C3223" t="s">
        <v>3006</v>
      </c>
      <c r="D3223">
        <v>110</v>
      </c>
      <c r="E3223">
        <v>79</v>
      </c>
      <c r="F3223" t="s">
        <v>2712</v>
      </c>
      <c r="G3223" t="s">
        <v>3583</v>
      </c>
    </row>
    <row r="3224" spans="1:7" x14ac:dyDescent="0.3">
      <c r="A3224">
        <v>3222</v>
      </c>
      <c r="B3224" t="s">
        <v>3662</v>
      </c>
      <c r="C3224" t="s">
        <v>3655</v>
      </c>
      <c r="D3224">
        <v>1205</v>
      </c>
      <c r="E3224">
        <v>964</v>
      </c>
      <c r="F3224" t="s">
        <v>3638</v>
      </c>
      <c r="G3224" t="s">
        <v>3583</v>
      </c>
    </row>
    <row r="3225" spans="1:7" x14ac:dyDescent="0.3">
      <c r="A3225">
        <v>3223</v>
      </c>
      <c r="B3225" t="s">
        <v>3662</v>
      </c>
      <c r="C3225" t="s">
        <v>3655</v>
      </c>
      <c r="D3225">
        <v>810</v>
      </c>
      <c r="E3225">
        <v>648</v>
      </c>
      <c r="F3225" t="s">
        <v>391</v>
      </c>
      <c r="G3225" t="s">
        <v>3583</v>
      </c>
    </row>
    <row r="3226" spans="1:7" x14ac:dyDescent="0.3">
      <c r="A3226">
        <v>3224</v>
      </c>
      <c r="B3226" t="s">
        <v>3663</v>
      </c>
      <c r="C3226" t="s">
        <v>3349</v>
      </c>
      <c r="D3226">
        <v>715</v>
      </c>
      <c r="E3226">
        <v>349</v>
      </c>
      <c r="F3226" t="s">
        <v>2412</v>
      </c>
      <c r="G3226" t="s">
        <v>3583</v>
      </c>
    </row>
    <row r="3227" spans="1:7" x14ac:dyDescent="0.3">
      <c r="A3227">
        <v>3225</v>
      </c>
      <c r="B3227" t="s">
        <v>3664</v>
      </c>
      <c r="C3227" t="s">
        <v>3665</v>
      </c>
      <c r="D3227">
        <v>697</v>
      </c>
      <c r="E3227">
        <v>249</v>
      </c>
      <c r="F3227" t="s">
        <v>3004</v>
      </c>
      <c r="G3227" t="s">
        <v>3583</v>
      </c>
    </row>
    <row r="3228" spans="1:7" x14ac:dyDescent="0.3">
      <c r="A3228">
        <v>3226</v>
      </c>
      <c r="B3228" t="s">
        <v>3666</v>
      </c>
      <c r="C3228" t="s">
        <v>17</v>
      </c>
      <c r="D3228">
        <v>469</v>
      </c>
      <c r="E3228">
        <v>299</v>
      </c>
      <c r="F3228" t="s">
        <v>3667</v>
      </c>
      <c r="G3228" t="s">
        <v>3583</v>
      </c>
    </row>
    <row r="3229" spans="1:7" x14ac:dyDescent="0.3">
      <c r="A3229">
        <v>3227</v>
      </c>
      <c r="B3229" t="s">
        <v>3668</v>
      </c>
      <c r="C3229" t="s">
        <v>3349</v>
      </c>
      <c r="D3229">
        <v>500</v>
      </c>
      <c r="E3229">
        <v>259</v>
      </c>
      <c r="F3229" t="s">
        <v>3669</v>
      </c>
      <c r="G3229" t="s">
        <v>3583</v>
      </c>
    </row>
    <row r="3230" spans="1:7" x14ac:dyDescent="0.3">
      <c r="A3230">
        <v>3228</v>
      </c>
      <c r="B3230" t="s">
        <v>3670</v>
      </c>
      <c r="C3230" t="s">
        <v>17</v>
      </c>
      <c r="D3230">
        <v>535</v>
      </c>
      <c r="E3230">
        <v>249</v>
      </c>
      <c r="F3230" t="s">
        <v>3323</v>
      </c>
      <c r="G3230" t="s">
        <v>3583</v>
      </c>
    </row>
    <row r="3231" spans="1:7" x14ac:dyDescent="0.3">
      <c r="A3231">
        <v>3229</v>
      </c>
      <c r="B3231" t="s">
        <v>3671</v>
      </c>
      <c r="C3231" t="s">
        <v>3672</v>
      </c>
      <c r="D3231">
        <v>525</v>
      </c>
      <c r="E3231">
        <v>349</v>
      </c>
      <c r="F3231" t="s">
        <v>3673</v>
      </c>
      <c r="G3231" t="s">
        <v>3583</v>
      </c>
    </row>
    <row r="3232" spans="1:7" x14ac:dyDescent="0.3">
      <c r="A3232">
        <v>3230</v>
      </c>
      <c r="B3232" t="s">
        <v>3674</v>
      </c>
      <c r="C3232" t="s">
        <v>17</v>
      </c>
      <c r="D3232">
        <v>830</v>
      </c>
      <c r="E3232">
        <v>399</v>
      </c>
      <c r="F3232" t="s">
        <v>3675</v>
      </c>
      <c r="G3232" t="s">
        <v>3583</v>
      </c>
    </row>
    <row r="3233" spans="1:7" x14ac:dyDescent="0.3">
      <c r="A3233">
        <v>3231</v>
      </c>
      <c r="B3233" t="s">
        <v>3676</v>
      </c>
      <c r="C3233" t="s">
        <v>3349</v>
      </c>
      <c r="D3233">
        <v>375</v>
      </c>
      <c r="E3233">
        <v>225</v>
      </c>
      <c r="F3233" t="s">
        <v>2412</v>
      </c>
      <c r="G3233" t="s">
        <v>3583</v>
      </c>
    </row>
    <row r="3234" spans="1:7" x14ac:dyDescent="0.3">
      <c r="A3234">
        <v>3232</v>
      </c>
      <c r="B3234" t="s">
        <v>3677</v>
      </c>
      <c r="C3234" t="s">
        <v>17</v>
      </c>
      <c r="D3234">
        <v>675</v>
      </c>
      <c r="E3234">
        <v>349</v>
      </c>
      <c r="F3234" t="s">
        <v>3678</v>
      </c>
      <c r="G3234" t="s">
        <v>3583</v>
      </c>
    </row>
    <row r="3235" spans="1:7" x14ac:dyDescent="0.3">
      <c r="A3235">
        <v>3233</v>
      </c>
      <c r="B3235" t="s">
        <v>3679</v>
      </c>
      <c r="C3235" t="s">
        <v>3349</v>
      </c>
      <c r="D3235">
        <v>485</v>
      </c>
      <c r="E3235">
        <v>269</v>
      </c>
      <c r="F3235" t="s">
        <v>3417</v>
      </c>
      <c r="G3235" t="s">
        <v>3583</v>
      </c>
    </row>
    <row r="3236" spans="1:7" x14ac:dyDescent="0.3">
      <c r="A3236">
        <v>3234</v>
      </c>
      <c r="B3236" t="s">
        <v>3680</v>
      </c>
      <c r="C3236" t="s">
        <v>17</v>
      </c>
      <c r="D3236">
        <v>649</v>
      </c>
      <c r="E3236">
        <v>229</v>
      </c>
      <c r="F3236" t="s">
        <v>3681</v>
      </c>
      <c r="G3236" t="s">
        <v>3583</v>
      </c>
    </row>
    <row r="3237" spans="1:7" x14ac:dyDescent="0.3">
      <c r="A3237">
        <v>3235</v>
      </c>
      <c r="B3237" t="s">
        <v>3682</v>
      </c>
      <c r="C3237" t="s">
        <v>3316</v>
      </c>
      <c r="D3237">
        <v>225</v>
      </c>
      <c r="E3237">
        <v>125</v>
      </c>
      <c r="F3237" t="s">
        <v>3004</v>
      </c>
      <c r="G3237" t="s">
        <v>3583</v>
      </c>
    </row>
    <row r="3238" spans="1:7" x14ac:dyDescent="0.3">
      <c r="A3238">
        <v>3236</v>
      </c>
      <c r="B3238" t="s">
        <v>3683</v>
      </c>
      <c r="C3238" t="s">
        <v>17</v>
      </c>
      <c r="D3238">
        <v>509</v>
      </c>
      <c r="E3238">
        <v>249</v>
      </c>
      <c r="F3238" t="s">
        <v>2827</v>
      </c>
      <c r="G3238" t="s">
        <v>3583</v>
      </c>
    </row>
    <row r="3239" spans="1:7" x14ac:dyDescent="0.3">
      <c r="A3239">
        <v>3237</v>
      </c>
      <c r="B3239" t="s">
        <v>3683</v>
      </c>
      <c r="C3239" t="s">
        <v>17</v>
      </c>
      <c r="D3239">
        <v>746</v>
      </c>
      <c r="E3239">
        <v>399</v>
      </c>
      <c r="F3239" t="s">
        <v>3681</v>
      </c>
      <c r="G3239" t="s">
        <v>3583</v>
      </c>
    </row>
    <row r="3240" spans="1:7" x14ac:dyDescent="0.3">
      <c r="A3240">
        <v>3238</v>
      </c>
      <c r="B3240" t="s">
        <v>3684</v>
      </c>
      <c r="C3240" t="s">
        <v>3625</v>
      </c>
      <c r="D3240">
        <v>549</v>
      </c>
      <c r="E3240">
        <v>399</v>
      </c>
      <c r="F3240" t="s">
        <v>3685</v>
      </c>
      <c r="G3240" t="s">
        <v>3583</v>
      </c>
    </row>
    <row r="3241" spans="1:7" x14ac:dyDescent="0.3">
      <c r="A3241">
        <v>3239</v>
      </c>
      <c r="B3241" t="s">
        <v>3686</v>
      </c>
      <c r="C3241" t="s">
        <v>17</v>
      </c>
      <c r="D3241">
        <v>80</v>
      </c>
      <c r="E3241">
        <v>69</v>
      </c>
      <c r="F3241" t="s">
        <v>3271</v>
      </c>
      <c r="G3241" t="s">
        <v>3583</v>
      </c>
    </row>
    <row r="3242" spans="1:7" x14ac:dyDescent="0.3">
      <c r="A3242">
        <v>3240</v>
      </c>
      <c r="B3242" t="s">
        <v>3687</v>
      </c>
      <c r="C3242" t="s">
        <v>17</v>
      </c>
      <c r="D3242">
        <v>419</v>
      </c>
      <c r="E3242">
        <v>269</v>
      </c>
      <c r="F3242" t="s">
        <v>3688</v>
      </c>
      <c r="G3242" t="s">
        <v>3583</v>
      </c>
    </row>
    <row r="3243" spans="1:7" x14ac:dyDescent="0.3">
      <c r="A3243">
        <v>3241</v>
      </c>
      <c r="B3243" t="s">
        <v>3689</v>
      </c>
      <c r="C3243" t="s">
        <v>3307</v>
      </c>
      <c r="D3243">
        <v>188</v>
      </c>
      <c r="E3243">
        <v>129</v>
      </c>
      <c r="F3243" t="s">
        <v>3340</v>
      </c>
      <c r="G3243" t="s">
        <v>3583</v>
      </c>
    </row>
    <row r="3244" spans="1:7" x14ac:dyDescent="0.3">
      <c r="A3244">
        <v>3242</v>
      </c>
      <c r="B3244" t="s">
        <v>3690</v>
      </c>
      <c r="C3244" t="s">
        <v>3349</v>
      </c>
      <c r="D3244">
        <v>169</v>
      </c>
      <c r="E3244">
        <v>99</v>
      </c>
      <c r="F3244" t="s">
        <v>3004</v>
      </c>
      <c r="G3244" t="s">
        <v>3583</v>
      </c>
    </row>
    <row r="3245" spans="1:7" x14ac:dyDescent="0.3">
      <c r="A3245">
        <v>3243</v>
      </c>
      <c r="B3245" t="s">
        <v>3691</v>
      </c>
      <c r="C3245" t="s">
        <v>3307</v>
      </c>
      <c r="D3245">
        <v>156</v>
      </c>
      <c r="E3245">
        <v>119</v>
      </c>
      <c r="F3245" t="s">
        <v>3340</v>
      </c>
      <c r="G3245" t="s">
        <v>3583</v>
      </c>
    </row>
    <row r="3246" spans="1:7" x14ac:dyDescent="0.3">
      <c r="A3246">
        <v>3244</v>
      </c>
      <c r="B3246" t="s">
        <v>3692</v>
      </c>
      <c r="C3246" t="s">
        <v>3298</v>
      </c>
      <c r="D3246">
        <v>2895</v>
      </c>
      <c r="E3246">
        <v>1359</v>
      </c>
      <c r="F3246" t="s">
        <v>3693</v>
      </c>
      <c r="G3246" t="s">
        <v>3608</v>
      </c>
    </row>
    <row r="3247" spans="1:7" x14ac:dyDescent="0.3">
      <c r="A3247">
        <v>3245</v>
      </c>
      <c r="B3247" t="s">
        <v>3694</v>
      </c>
      <c r="C3247" t="s">
        <v>3360</v>
      </c>
      <c r="D3247">
        <v>2195</v>
      </c>
      <c r="E3247">
        <v>899</v>
      </c>
      <c r="F3247" t="s">
        <v>3271</v>
      </c>
      <c r="G3247" t="s">
        <v>2936</v>
      </c>
    </row>
    <row r="3248" spans="1:7" x14ac:dyDescent="0.3">
      <c r="A3248">
        <v>3246</v>
      </c>
      <c r="B3248" t="s">
        <v>3695</v>
      </c>
      <c r="C3248" t="s">
        <v>3311</v>
      </c>
      <c r="D3248">
        <v>4200</v>
      </c>
      <c r="E3248">
        <v>1999</v>
      </c>
      <c r="F3248" t="s">
        <v>2680</v>
      </c>
      <c r="G3248" t="s">
        <v>3608</v>
      </c>
    </row>
    <row r="3249" spans="1:7" x14ac:dyDescent="0.3">
      <c r="A3249">
        <v>3247</v>
      </c>
      <c r="B3249" t="s">
        <v>3696</v>
      </c>
      <c r="C3249" t="s">
        <v>3616</v>
      </c>
      <c r="D3249">
        <v>840</v>
      </c>
      <c r="E3249">
        <v>699</v>
      </c>
      <c r="F3249" t="s">
        <v>3271</v>
      </c>
      <c r="G3249" t="s">
        <v>3583</v>
      </c>
    </row>
    <row r="3250" spans="1:7" x14ac:dyDescent="0.3">
      <c r="A3250">
        <v>3248</v>
      </c>
      <c r="B3250" t="s">
        <v>3697</v>
      </c>
      <c r="C3250" t="s">
        <v>17</v>
      </c>
      <c r="D3250">
        <v>319</v>
      </c>
      <c r="E3250">
        <v>149</v>
      </c>
      <c r="F3250" t="s">
        <v>2680</v>
      </c>
      <c r="G3250" t="s">
        <v>3583</v>
      </c>
    </row>
    <row r="3251" spans="1:7" x14ac:dyDescent="0.3">
      <c r="A3251">
        <v>3249</v>
      </c>
      <c r="B3251" t="s">
        <v>3698</v>
      </c>
      <c r="C3251" t="s">
        <v>3607</v>
      </c>
      <c r="D3251">
        <v>1280</v>
      </c>
      <c r="E3251">
        <v>699</v>
      </c>
      <c r="F3251" t="s">
        <v>3004</v>
      </c>
      <c r="G3251" t="s">
        <v>3617</v>
      </c>
    </row>
    <row r="3252" spans="1:7" x14ac:dyDescent="0.3">
      <c r="A3252">
        <v>3250</v>
      </c>
      <c r="B3252" t="s">
        <v>3699</v>
      </c>
      <c r="C3252" t="s">
        <v>3307</v>
      </c>
      <c r="D3252">
        <v>2995</v>
      </c>
      <c r="E3252">
        <v>1329</v>
      </c>
      <c r="F3252" t="s">
        <v>3271</v>
      </c>
      <c r="G3252" t="s">
        <v>2936</v>
      </c>
    </row>
    <row r="3253" spans="1:7" x14ac:dyDescent="0.3">
      <c r="A3253">
        <v>3251</v>
      </c>
      <c r="B3253" t="s">
        <v>3700</v>
      </c>
      <c r="C3253" t="s">
        <v>3349</v>
      </c>
      <c r="D3253">
        <v>600</v>
      </c>
      <c r="E3253">
        <v>349</v>
      </c>
      <c r="F3253" t="s">
        <v>3004</v>
      </c>
      <c r="G3253" t="s">
        <v>3583</v>
      </c>
    </row>
    <row r="3254" spans="1:7" x14ac:dyDescent="0.3">
      <c r="A3254">
        <v>3252</v>
      </c>
      <c r="B3254" t="s">
        <v>3701</v>
      </c>
      <c r="C3254" t="s">
        <v>3702</v>
      </c>
      <c r="D3254">
        <v>670</v>
      </c>
      <c r="E3254">
        <v>549</v>
      </c>
      <c r="F3254" t="s">
        <v>3417</v>
      </c>
      <c r="G3254" t="s">
        <v>3583</v>
      </c>
    </row>
    <row r="3255" spans="1:7" x14ac:dyDescent="0.3">
      <c r="A3255">
        <v>3253</v>
      </c>
      <c r="B3255" t="s">
        <v>3703</v>
      </c>
      <c r="C3255" t="s">
        <v>3311</v>
      </c>
      <c r="D3255">
        <v>4900</v>
      </c>
      <c r="E3255">
        <v>2599</v>
      </c>
      <c r="F3255" t="s">
        <v>3417</v>
      </c>
      <c r="G3255" t="s">
        <v>3617</v>
      </c>
    </row>
    <row r="3256" spans="1:7" x14ac:dyDescent="0.3">
      <c r="A3256">
        <v>3254</v>
      </c>
      <c r="B3256" t="s">
        <v>3704</v>
      </c>
      <c r="C3256" t="s">
        <v>3705</v>
      </c>
      <c r="D3256">
        <v>230</v>
      </c>
      <c r="E3256">
        <v>99</v>
      </c>
      <c r="F3256" t="s">
        <v>2412</v>
      </c>
      <c r="G3256" t="s">
        <v>3583</v>
      </c>
    </row>
    <row r="3257" spans="1:7" x14ac:dyDescent="0.3">
      <c r="A3257">
        <v>3255</v>
      </c>
      <c r="B3257" t="s">
        <v>3706</v>
      </c>
      <c r="C3257" t="s">
        <v>3705</v>
      </c>
      <c r="D3257">
        <v>190</v>
      </c>
      <c r="E3257">
        <v>109</v>
      </c>
      <c r="F3257" t="s">
        <v>3707</v>
      </c>
      <c r="G3257" t="s">
        <v>3583</v>
      </c>
    </row>
    <row r="3258" spans="1:7" x14ac:dyDescent="0.3">
      <c r="A3258">
        <v>3256</v>
      </c>
      <c r="B3258" t="s">
        <v>3708</v>
      </c>
      <c r="C3258" t="s">
        <v>3709</v>
      </c>
      <c r="D3258">
        <v>1599</v>
      </c>
      <c r="E3258">
        <v>549</v>
      </c>
      <c r="F3258" t="s">
        <v>1844</v>
      </c>
      <c r="G3258" t="s">
        <v>3583</v>
      </c>
    </row>
    <row r="3259" spans="1:7" x14ac:dyDescent="0.3">
      <c r="A3259">
        <v>3257</v>
      </c>
      <c r="B3259" t="s">
        <v>3710</v>
      </c>
      <c r="C3259" t="s">
        <v>17</v>
      </c>
      <c r="D3259">
        <v>240</v>
      </c>
      <c r="E3259">
        <v>159</v>
      </c>
      <c r="F3259" t="s">
        <v>2412</v>
      </c>
      <c r="G3259" t="s">
        <v>3583</v>
      </c>
    </row>
    <row r="3260" spans="1:7" x14ac:dyDescent="0.3">
      <c r="A3260">
        <v>3258</v>
      </c>
      <c r="B3260" t="s">
        <v>3711</v>
      </c>
      <c r="C3260" t="s">
        <v>3672</v>
      </c>
      <c r="D3260">
        <v>1825</v>
      </c>
      <c r="E3260">
        <v>1199</v>
      </c>
      <c r="F3260" t="s">
        <v>3712</v>
      </c>
      <c r="G3260" t="s">
        <v>3617</v>
      </c>
    </row>
    <row r="3261" spans="1:7" x14ac:dyDescent="0.3">
      <c r="A3261">
        <v>3259</v>
      </c>
      <c r="B3261" t="s">
        <v>3713</v>
      </c>
      <c r="C3261" t="s">
        <v>3629</v>
      </c>
      <c r="D3261">
        <v>675</v>
      </c>
      <c r="E3261">
        <v>399</v>
      </c>
      <c r="F3261" t="s">
        <v>3340</v>
      </c>
      <c r="G3261" t="s">
        <v>3583</v>
      </c>
    </row>
    <row r="3262" spans="1:7" x14ac:dyDescent="0.3">
      <c r="A3262">
        <v>3260</v>
      </c>
      <c r="B3262" t="s">
        <v>3714</v>
      </c>
      <c r="C3262" t="s">
        <v>3705</v>
      </c>
      <c r="D3262">
        <v>150</v>
      </c>
      <c r="E3262">
        <v>119</v>
      </c>
      <c r="F3262" t="s">
        <v>3715</v>
      </c>
      <c r="G3262" t="s">
        <v>3583</v>
      </c>
    </row>
    <row r="3263" spans="1:7" x14ac:dyDescent="0.3">
      <c r="A3263">
        <v>3261</v>
      </c>
      <c r="B3263" t="s">
        <v>3716</v>
      </c>
      <c r="C3263" t="s">
        <v>3672</v>
      </c>
      <c r="D3263">
        <v>1725</v>
      </c>
      <c r="E3263">
        <v>1099</v>
      </c>
      <c r="F3263" t="s">
        <v>3717</v>
      </c>
      <c r="G3263" t="s">
        <v>3617</v>
      </c>
    </row>
    <row r="3264" spans="1:7" x14ac:dyDescent="0.3">
      <c r="A3264">
        <v>3262</v>
      </c>
      <c r="B3264" t="s">
        <v>3718</v>
      </c>
      <c r="C3264" t="s">
        <v>3719</v>
      </c>
      <c r="D3264">
        <v>1095</v>
      </c>
      <c r="E3264">
        <v>599</v>
      </c>
      <c r="F3264" t="s">
        <v>3720</v>
      </c>
      <c r="G3264" t="s">
        <v>3583</v>
      </c>
    </row>
    <row r="3265" spans="1:7" x14ac:dyDescent="0.3">
      <c r="A3265">
        <v>3263</v>
      </c>
      <c r="B3265" t="s">
        <v>3721</v>
      </c>
      <c r="C3265" t="s">
        <v>3672</v>
      </c>
      <c r="D3265">
        <v>330</v>
      </c>
      <c r="E3265">
        <v>249</v>
      </c>
      <c r="F3265" t="s">
        <v>3340</v>
      </c>
      <c r="G3265" t="s">
        <v>3617</v>
      </c>
    </row>
    <row r="3266" spans="1:7" x14ac:dyDescent="0.3">
      <c r="A3266">
        <v>3264</v>
      </c>
      <c r="B3266" t="s">
        <v>3722</v>
      </c>
      <c r="C3266" t="s">
        <v>3723</v>
      </c>
      <c r="D3266">
        <v>545</v>
      </c>
      <c r="E3266">
        <v>339</v>
      </c>
      <c r="F3266" t="s">
        <v>3340</v>
      </c>
      <c r="G3266" t="s">
        <v>3583</v>
      </c>
    </row>
    <row r="3267" spans="1:7" x14ac:dyDescent="0.3">
      <c r="A3267">
        <v>3265</v>
      </c>
      <c r="B3267" t="s">
        <v>3724</v>
      </c>
      <c r="C3267" t="s">
        <v>3672</v>
      </c>
      <c r="D3267">
        <v>575</v>
      </c>
      <c r="E3267">
        <v>399</v>
      </c>
      <c r="F3267" t="s">
        <v>2412</v>
      </c>
      <c r="G3267" t="s">
        <v>3583</v>
      </c>
    </row>
    <row r="3268" spans="1:7" x14ac:dyDescent="0.3">
      <c r="A3268">
        <v>3266</v>
      </c>
      <c r="B3268" t="s">
        <v>3725</v>
      </c>
      <c r="C3268" t="s">
        <v>3672</v>
      </c>
      <c r="D3268">
        <v>330</v>
      </c>
      <c r="E3268">
        <v>249</v>
      </c>
      <c r="F3268" t="s">
        <v>3340</v>
      </c>
      <c r="G3268" t="s">
        <v>3617</v>
      </c>
    </row>
    <row r="3269" spans="1:7" x14ac:dyDescent="0.3">
      <c r="A3269">
        <v>3267</v>
      </c>
      <c r="B3269" t="s">
        <v>3726</v>
      </c>
      <c r="C3269" t="s">
        <v>17</v>
      </c>
      <c r="D3269">
        <v>300</v>
      </c>
      <c r="E3269">
        <v>199</v>
      </c>
      <c r="F3269" t="s">
        <v>3707</v>
      </c>
      <c r="G3269" t="s">
        <v>3583</v>
      </c>
    </row>
    <row r="3270" spans="1:7" x14ac:dyDescent="0.3">
      <c r="A3270">
        <v>3268</v>
      </c>
      <c r="B3270" t="s">
        <v>3727</v>
      </c>
      <c r="C3270" t="s">
        <v>3672</v>
      </c>
      <c r="D3270">
        <v>410</v>
      </c>
      <c r="E3270">
        <v>299</v>
      </c>
      <c r="F3270" t="s">
        <v>3340</v>
      </c>
      <c r="G3270" t="s">
        <v>3617</v>
      </c>
    </row>
    <row r="3271" spans="1:7" x14ac:dyDescent="0.3">
      <c r="A3271">
        <v>3269</v>
      </c>
      <c r="B3271" t="s">
        <v>3728</v>
      </c>
      <c r="C3271" t="s">
        <v>17</v>
      </c>
      <c r="D3271">
        <v>725</v>
      </c>
      <c r="E3271">
        <v>499</v>
      </c>
      <c r="F3271" t="s">
        <v>2412</v>
      </c>
      <c r="G3271" t="s">
        <v>3583</v>
      </c>
    </row>
    <row r="3272" spans="1:7" x14ac:dyDescent="0.3">
      <c r="A3272">
        <v>3270</v>
      </c>
      <c r="B3272" t="s">
        <v>3729</v>
      </c>
      <c r="C3272" t="s">
        <v>3672</v>
      </c>
      <c r="D3272">
        <v>1825</v>
      </c>
      <c r="E3272">
        <v>1199</v>
      </c>
      <c r="F3272" t="s">
        <v>3730</v>
      </c>
      <c r="G3272" t="s">
        <v>3617</v>
      </c>
    </row>
    <row r="3273" spans="1:7" x14ac:dyDescent="0.3">
      <c r="A3273">
        <v>3271</v>
      </c>
      <c r="B3273" t="s">
        <v>3731</v>
      </c>
      <c r="C3273" t="s">
        <v>3719</v>
      </c>
      <c r="D3273">
        <v>515</v>
      </c>
      <c r="E3273">
        <v>399</v>
      </c>
      <c r="F3273" t="s">
        <v>3340</v>
      </c>
      <c r="G3273" t="s">
        <v>3617</v>
      </c>
    </row>
    <row r="3274" spans="1:7" x14ac:dyDescent="0.3">
      <c r="A3274">
        <v>3272</v>
      </c>
      <c r="B3274" t="s">
        <v>3732</v>
      </c>
      <c r="C3274" t="s">
        <v>3719</v>
      </c>
      <c r="D3274">
        <v>725</v>
      </c>
      <c r="E3274">
        <v>599</v>
      </c>
      <c r="F3274" t="s">
        <v>3667</v>
      </c>
      <c r="G3274" t="s">
        <v>3583</v>
      </c>
    </row>
    <row r="3275" spans="1:7" x14ac:dyDescent="0.3">
      <c r="A3275">
        <v>3273</v>
      </c>
      <c r="B3275" t="s">
        <v>3733</v>
      </c>
      <c r="C3275" t="s">
        <v>3672</v>
      </c>
      <c r="D3275">
        <v>1825</v>
      </c>
      <c r="E3275">
        <v>1199</v>
      </c>
      <c r="F3275" t="s">
        <v>3734</v>
      </c>
      <c r="G3275" t="s">
        <v>3617</v>
      </c>
    </row>
    <row r="3276" spans="1:7" x14ac:dyDescent="0.3">
      <c r="A3276">
        <v>3274</v>
      </c>
      <c r="B3276" t="s">
        <v>3735</v>
      </c>
      <c r="C3276" t="s">
        <v>3705</v>
      </c>
      <c r="D3276">
        <v>120</v>
      </c>
      <c r="E3276">
        <v>69</v>
      </c>
      <c r="F3276" t="s">
        <v>3323</v>
      </c>
      <c r="G3276" t="s">
        <v>3583</v>
      </c>
    </row>
    <row r="3277" spans="1:7" x14ac:dyDescent="0.3">
      <c r="A3277">
        <v>3275</v>
      </c>
      <c r="B3277" t="s">
        <v>3736</v>
      </c>
      <c r="C3277" t="s">
        <v>3719</v>
      </c>
      <c r="D3277">
        <v>495</v>
      </c>
      <c r="E3277">
        <v>399</v>
      </c>
      <c r="F3277" t="s">
        <v>2412</v>
      </c>
      <c r="G3277" t="s">
        <v>3583</v>
      </c>
    </row>
    <row r="3278" spans="1:7" x14ac:dyDescent="0.3">
      <c r="A3278">
        <v>3276</v>
      </c>
      <c r="B3278" t="s">
        <v>3737</v>
      </c>
      <c r="C3278" t="s">
        <v>3705</v>
      </c>
      <c r="D3278">
        <v>440</v>
      </c>
      <c r="E3278">
        <v>199</v>
      </c>
      <c r="F3278" t="s">
        <v>3738</v>
      </c>
      <c r="G3278" t="s">
        <v>3583</v>
      </c>
    </row>
    <row r="3279" spans="1:7" x14ac:dyDescent="0.3">
      <c r="A3279">
        <v>3277</v>
      </c>
      <c r="B3279" t="s">
        <v>3739</v>
      </c>
      <c r="C3279" t="s">
        <v>3705</v>
      </c>
      <c r="D3279">
        <v>220</v>
      </c>
      <c r="E3279">
        <v>139</v>
      </c>
      <c r="F3279" t="s">
        <v>2412</v>
      </c>
      <c r="G3279" t="s">
        <v>3583</v>
      </c>
    </row>
    <row r="3280" spans="1:7" x14ac:dyDescent="0.3">
      <c r="A3280">
        <v>3278</v>
      </c>
      <c r="B3280" t="s">
        <v>3740</v>
      </c>
      <c r="C3280" t="s">
        <v>3672</v>
      </c>
      <c r="D3280">
        <v>1825</v>
      </c>
      <c r="E3280">
        <v>1099</v>
      </c>
      <c r="F3280" t="s">
        <v>3741</v>
      </c>
      <c r="G3280" t="s">
        <v>3617</v>
      </c>
    </row>
    <row r="3281" spans="1:7" x14ac:dyDescent="0.3">
      <c r="A3281">
        <v>3279</v>
      </c>
      <c r="B3281" t="s">
        <v>3742</v>
      </c>
      <c r="C3281" t="s">
        <v>3743</v>
      </c>
      <c r="D3281">
        <v>455</v>
      </c>
      <c r="E3281">
        <v>339</v>
      </c>
      <c r="F3281" t="s">
        <v>3340</v>
      </c>
      <c r="G3281" t="s">
        <v>3583</v>
      </c>
    </row>
    <row r="3282" spans="1:7" x14ac:dyDescent="0.3">
      <c r="A3282">
        <v>3280</v>
      </c>
      <c r="B3282" t="s">
        <v>3744</v>
      </c>
      <c r="C3282" t="s">
        <v>3745</v>
      </c>
      <c r="D3282">
        <v>475</v>
      </c>
      <c r="E3282">
        <v>325</v>
      </c>
      <c r="F3282" t="s">
        <v>2712</v>
      </c>
      <c r="G3282" t="s">
        <v>3583</v>
      </c>
    </row>
    <row r="3283" spans="1:7" x14ac:dyDescent="0.3">
      <c r="A3283">
        <v>3281</v>
      </c>
      <c r="B3283" t="s">
        <v>3746</v>
      </c>
      <c r="C3283" t="s">
        <v>3745</v>
      </c>
      <c r="D3283">
        <v>475</v>
      </c>
      <c r="E3283">
        <v>325</v>
      </c>
      <c r="F3283" t="s">
        <v>2712</v>
      </c>
      <c r="G3283" t="s">
        <v>3583</v>
      </c>
    </row>
    <row r="3284" spans="1:7" x14ac:dyDescent="0.3">
      <c r="A3284">
        <v>3282</v>
      </c>
      <c r="B3284" t="s">
        <v>3747</v>
      </c>
      <c r="C3284" t="s">
        <v>3745</v>
      </c>
      <c r="D3284">
        <v>475</v>
      </c>
      <c r="E3284">
        <v>325</v>
      </c>
      <c r="F3284" t="s">
        <v>2712</v>
      </c>
      <c r="G3284" t="s">
        <v>3583</v>
      </c>
    </row>
    <row r="3285" spans="1:7" x14ac:dyDescent="0.3">
      <c r="A3285">
        <v>3283</v>
      </c>
      <c r="B3285" t="s">
        <v>3748</v>
      </c>
      <c r="C3285" t="s">
        <v>3745</v>
      </c>
      <c r="D3285">
        <v>240</v>
      </c>
      <c r="E3285">
        <v>169</v>
      </c>
      <c r="F3285" t="s">
        <v>2712</v>
      </c>
      <c r="G3285" t="s">
        <v>3583</v>
      </c>
    </row>
    <row r="3286" spans="1:7" x14ac:dyDescent="0.3">
      <c r="A3286">
        <v>3284</v>
      </c>
      <c r="B3286" t="s">
        <v>3749</v>
      </c>
      <c r="C3286" t="s">
        <v>3745</v>
      </c>
      <c r="D3286">
        <v>240</v>
      </c>
      <c r="E3286">
        <v>169</v>
      </c>
      <c r="F3286" t="s">
        <v>2712</v>
      </c>
      <c r="G3286" t="s">
        <v>3583</v>
      </c>
    </row>
    <row r="3287" spans="1:7" x14ac:dyDescent="0.3">
      <c r="A3287">
        <v>3285</v>
      </c>
      <c r="B3287" t="s">
        <v>3750</v>
      </c>
      <c r="C3287" t="s">
        <v>3745</v>
      </c>
      <c r="D3287">
        <v>240</v>
      </c>
      <c r="E3287">
        <v>169</v>
      </c>
      <c r="F3287" t="s">
        <v>2712</v>
      </c>
      <c r="G3287" t="s">
        <v>3583</v>
      </c>
    </row>
    <row r="3288" spans="1:7" x14ac:dyDescent="0.3">
      <c r="A3288">
        <v>3286</v>
      </c>
      <c r="B3288" t="s">
        <v>3751</v>
      </c>
      <c r="C3288" t="s">
        <v>3745</v>
      </c>
      <c r="D3288">
        <v>1590</v>
      </c>
      <c r="E3288">
        <v>799</v>
      </c>
      <c r="F3288" t="s">
        <v>2712</v>
      </c>
      <c r="G3288" t="s">
        <v>3583</v>
      </c>
    </row>
    <row r="3289" spans="1:7" x14ac:dyDescent="0.3">
      <c r="A3289">
        <v>3287</v>
      </c>
      <c r="B3289" t="s">
        <v>3752</v>
      </c>
      <c r="C3289" t="s">
        <v>3745</v>
      </c>
      <c r="D3289">
        <v>1590</v>
      </c>
      <c r="E3289">
        <v>799</v>
      </c>
      <c r="F3289" t="s">
        <v>2712</v>
      </c>
      <c r="G3289" t="s">
        <v>3583</v>
      </c>
    </row>
    <row r="3290" spans="1:7" x14ac:dyDescent="0.3">
      <c r="A3290">
        <v>3288</v>
      </c>
      <c r="B3290" t="s">
        <v>3753</v>
      </c>
      <c r="C3290" t="s">
        <v>3745</v>
      </c>
      <c r="D3290">
        <v>480</v>
      </c>
      <c r="E3290">
        <v>329</v>
      </c>
      <c r="F3290" t="s">
        <v>3340</v>
      </c>
      <c r="G3290" t="s">
        <v>3583</v>
      </c>
    </row>
    <row r="3291" spans="1:7" x14ac:dyDescent="0.3">
      <c r="A3291">
        <v>3289</v>
      </c>
      <c r="B3291" t="s">
        <v>3754</v>
      </c>
      <c r="C3291" t="s">
        <v>3745</v>
      </c>
      <c r="D3291">
        <v>480</v>
      </c>
      <c r="E3291">
        <v>329</v>
      </c>
      <c r="F3291" t="s">
        <v>3340</v>
      </c>
      <c r="G3291" t="s">
        <v>3583</v>
      </c>
    </row>
    <row r="3292" spans="1:7" x14ac:dyDescent="0.3">
      <c r="A3292">
        <v>3290</v>
      </c>
      <c r="B3292" t="s">
        <v>3755</v>
      </c>
      <c r="C3292" t="s">
        <v>3756</v>
      </c>
      <c r="D3292">
        <v>595</v>
      </c>
      <c r="E3292">
        <v>249</v>
      </c>
      <c r="F3292" t="s">
        <v>2412</v>
      </c>
      <c r="G3292" t="s">
        <v>3583</v>
      </c>
    </row>
    <row r="3293" spans="1:7" x14ac:dyDescent="0.3">
      <c r="A3293">
        <v>3291</v>
      </c>
      <c r="B3293" t="s">
        <v>3757</v>
      </c>
      <c r="C3293" t="s">
        <v>3756</v>
      </c>
      <c r="D3293">
        <v>725</v>
      </c>
      <c r="E3293">
        <v>299</v>
      </c>
      <c r="F3293" t="s">
        <v>3323</v>
      </c>
      <c r="G3293" t="s">
        <v>3583</v>
      </c>
    </row>
    <row r="3294" spans="1:7" x14ac:dyDescent="0.3">
      <c r="A3294">
        <v>3292</v>
      </c>
      <c r="B3294" t="s">
        <v>3758</v>
      </c>
      <c r="C3294" t="s">
        <v>3756</v>
      </c>
      <c r="D3294">
        <v>575</v>
      </c>
      <c r="E3294">
        <v>279</v>
      </c>
      <c r="F3294" t="s">
        <v>3271</v>
      </c>
      <c r="G3294" t="s">
        <v>3583</v>
      </c>
    </row>
    <row r="3295" spans="1:7" x14ac:dyDescent="0.3">
      <c r="A3295">
        <v>3293</v>
      </c>
      <c r="B3295" t="s">
        <v>3759</v>
      </c>
      <c r="C3295" t="s">
        <v>3756</v>
      </c>
      <c r="D3295">
        <v>795</v>
      </c>
      <c r="E3295">
        <v>399</v>
      </c>
      <c r="F3295" t="s">
        <v>2712</v>
      </c>
      <c r="G3295" t="s">
        <v>3583</v>
      </c>
    </row>
    <row r="3296" spans="1:7" x14ac:dyDescent="0.3">
      <c r="A3296">
        <v>3294</v>
      </c>
      <c r="B3296" t="s">
        <v>3760</v>
      </c>
      <c r="C3296" t="s">
        <v>3756</v>
      </c>
      <c r="D3296">
        <v>895</v>
      </c>
      <c r="E3296">
        <v>399</v>
      </c>
      <c r="F3296" t="s">
        <v>2712</v>
      </c>
      <c r="G3296" t="s">
        <v>3583</v>
      </c>
    </row>
    <row r="3297" spans="1:7" x14ac:dyDescent="0.3">
      <c r="A3297">
        <v>3295</v>
      </c>
      <c r="B3297" t="s">
        <v>3761</v>
      </c>
      <c r="C3297" t="s">
        <v>3756</v>
      </c>
      <c r="D3297">
        <v>895</v>
      </c>
      <c r="E3297">
        <v>399</v>
      </c>
      <c r="F3297" t="s">
        <v>2712</v>
      </c>
      <c r="G3297" t="s">
        <v>3583</v>
      </c>
    </row>
    <row r="3298" spans="1:7" x14ac:dyDescent="0.3">
      <c r="A3298">
        <v>3296</v>
      </c>
      <c r="B3298" t="s">
        <v>3762</v>
      </c>
      <c r="C3298" t="s">
        <v>3756</v>
      </c>
      <c r="D3298">
        <v>645</v>
      </c>
      <c r="E3298">
        <v>249</v>
      </c>
      <c r="F3298" t="s">
        <v>2412</v>
      </c>
      <c r="G3298" t="s">
        <v>3583</v>
      </c>
    </row>
    <row r="3299" spans="1:7" x14ac:dyDescent="0.3">
      <c r="A3299">
        <v>3297</v>
      </c>
      <c r="B3299" t="s">
        <v>3763</v>
      </c>
      <c r="C3299" t="s">
        <v>3756</v>
      </c>
      <c r="D3299">
        <v>845</v>
      </c>
      <c r="E3299">
        <v>349</v>
      </c>
      <c r="F3299" t="s">
        <v>2412</v>
      </c>
      <c r="G3299" t="s">
        <v>3583</v>
      </c>
    </row>
    <row r="3300" spans="1:7" x14ac:dyDescent="0.3">
      <c r="A3300">
        <v>3298</v>
      </c>
      <c r="B3300" t="s">
        <v>3764</v>
      </c>
      <c r="C3300" t="s">
        <v>3316</v>
      </c>
      <c r="D3300">
        <v>1265</v>
      </c>
      <c r="E3300">
        <v>449</v>
      </c>
      <c r="F3300" t="s">
        <v>2966</v>
      </c>
      <c r="G3300" t="s">
        <v>3316</v>
      </c>
    </row>
    <row r="3301" spans="1:7" x14ac:dyDescent="0.3">
      <c r="A3301">
        <v>3299</v>
      </c>
      <c r="B3301" t="s">
        <v>3764</v>
      </c>
      <c r="C3301" t="s">
        <v>3316</v>
      </c>
      <c r="D3301">
        <v>550</v>
      </c>
      <c r="E3301">
        <v>499</v>
      </c>
      <c r="F3301" t="s">
        <v>3254</v>
      </c>
      <c r="G3301" t="s">
        <v>3316</v>
      </c>
    </row>
    <row r="3302" spans="1:7" x14ac:dyDescent="0.3">
      <c r="A3302">
        <v>3300</v>
      </c>
      <c r="B3302" t="s">
        <v>3765</v>
      </c>
      <c r="C3302" t="s">
        <v>3349</v>
      </c>
      <c r="D3302">
        <v>225</v>
      </c>
      <c r="E3302">
        <v>129</v>
      </c>
      <c r="F3302" t="s">
        <v>3323</v>
      </c>
      <c r="G3302" t="s">
        <v>2945</v>
      </c>
    </row>
    <row r="3303" spans="1:7" x14ac:dyDescent="0.3">
      <c r="A3303">
        <v>3301</v>
      </c>
      <c r="B3303" t="s">
        <v>3766</v>
      </c>
      <c r="C3303" t="s">
        <v>17</v>
      </c>
      <c r="D3303">
        <v>375</v>
      </c>
      <c r="E3303">
        <v>99</v>
      </c>
      <c r="F3303" t="s">
        <v>3767</v>
      </c>
      <c r="G3303" t="s">
        <v>2945</v>
      </c>
    </row>
    <row r="3304" spans="1:7" x14ac:dyDescent="0.3">
      <c r="A3304">
        <v>3302</v>
      </c>
      <c r="B3304" t="s">
        <v>3768</v>
      </c>
      <c r="C3304" t="s">
        <v>17</v>
      </c>
      <c r="D3304">
        <v>688</v>
      </c>
      <c r="E3304">
        <v>299</v>
      </c>
      <c r="F3304" t="s">
        <v>3340</v>
      </c>
      <c r="G3304" t="s">
        <v>2945</v>
      </c>
    </row>
    <row r="3305" spans="1:7" x14ac:dyDescent="0.3">
      <c r="A3305">
        <v>3303</v>
      </c>
      <c r="B3305" t="s">
        <v>3769</v>
      </c>
      <c r="C3305" t="s">
        <v>3349</v>
      </c>
      <c r="D3305">
        <v>450</v>
      </c>
      <c r="E3305">
        <v>149</v>
      </c>
      <c r="F3305" t="s">
        <v>3323</v>
      </c>
      <c r="G3305" t="s">
        <v>2945</v>
      </c>
    </row>
    <row r="3306" spans="1:7" x14ac:dyDescent="0.3">
      <c r="A3306">
        <v>3304</v>
      </c>
      <c r="B3306" t="s">
        <v>3770</v>
      </c>
      <c r="C3306" t="s">
        <v>3217</v>
      </c>
      <c r="D3306">
        <v>293</v>
      </c>
      <c r="E3306">
        <v>129</v>
      </c>
      <c r="F3306" t="s">
        <v>3252</v>
      </c>
      <c r="G3306" t="s">
        <v>2936</v>
      </c>
    </row>
    <row r="3307" spans="1:7" x14ac:dyDescent="0.3">
      <c r="A3307">
        <v>3305</v>
      </c>
      <c r="B3307" t="s">
        <v>3771</v>
      </c>
      <c r="C3307" t="s">
        <v>3217</v>
      </c>
      <c r="D3307">
        <v>410</v>
      </c>
      <c r="E3307">
        <v>175</v>
      </c>
      <c r="F3307" t="s">
        <v>3340</v>
      </c>
      <c r="G3307" t="s">
        <v>2936</v>
      </c>
    </row>
    <row r="3308" spans="1:7" x14ac:dyDescent="0.3">
      <c r="A3308">
        <v>3306</v>
      </c>
      <c r="B3308" t="s">
        <v>3772</v>
      </c>
      <c r="C3308" t="s">
        <v>3631</v>
      </c>
      <c r="D3308">
        <v>720</v>
      </c>
      <c r="E3308">
        <v>529</v>
      </c>
      <c r="F3308" t="s">
        <v>2966</v>
      </c>
      <c r="G3308" t="s">
        <v>2936</v>
      </c>
    </row>
    <row r="3309" spans="1:7" x14ac:dyDescent="0.3">
      <c r="A3309">
        <v>3307</v>
      </c>
      <c r="B3309" t="s">
        <v>3773</v>
      </c>
      <c r="C3309" t="s">
        <v>17</v>
      </c>
      <c r="D3309">
        <v>183</v>
      </c>
      <c r="E3309">
        <v>99</v>
      </c>
      <c r="F3309" t="s">
        <v>3774</v>
      </c>
      <c r="G3309" t="s">
        <v>2945</v>
      </c>
    </row>
    <row r="3310" spans="1:7" x14ac:dyDescent="0.3">
      <c r="A3310">
        <v>3308</v>
      </c>
      <c r="B3310" t="s">
        <v>3775</v>
      </c>
      <c r="C3310" t="s">
        <v>17</v>
      </c>
      <c r="D3310">
        <v>172</v>
      </c>
      <c r="E3310">
        <v>99</v>
      </c>
      <c r="F3310" t="s">
        <v>3776</v>
      </c>
      <c r="G3310" t="s">
        <v>2945</v>
      </c>
    </row>
    <row r="3311" spans="1:7" x14ac:dyDescent="0.3">
      <c r="A3311">
        <v>3309</v>
      </c>
      <c r="B3311" t="s">
        <v>3777</v>
      </c>
      <c r="C3311" t="s">
        <v>3217</v>
      </c>
      <c r="D3311">
        <v>293</v>
      </c>
      <c r="E3311">
        <v>129</v>
      </c>
      <c r="F3311" t="s">
        <v>3252</v>
      </c>
      <c r="G3311" t="s">
        <v>2936</v>
      </c>
    </row>
    <row r="3312" spans="1:7" x14ac:dyDescent="0.3">
      <c r="A3312">
        <v>3310</v>
      </c>
      <c r="B3312" t="s">
        <v>3778</v>
      </c>
      <c r="C3312" t="s">
        <v>3631</v>
      </c>
      <c r="D3312">
        <v>318</v>
      </c>
      <c r="E3312">
        <v>249</v>
      </c>
      <c r="F3312" t="s">
        <v>3779</v>
      </c>
      <c r="G3312" t="s">
        <v>2936</v>
      </c>
    </row>
    <row r="3313" spans="1:7" x14ac:dyDescent="0.3">
      <c r="A3313">
        <v>3311</v>
      </c>
      <c r="B3313" t="s">
        <v>3780</v>
      </c>
      <c r="C3313" t="s">
        <v>3631</v>
      </c>
      <c r="D3313">
        <v>470</v>
      </c>
      <c r="E3313">
        <v>369</v>
      </c>
      <c r="F3313" t="s">
        <v>3323</v>
      </c>
      <c r="G3313" t="s">
        <v>2936</v>
      </c>
    </row>
    <row r="3314" spans="1:7" x14ac:dyDescent="0.3">
      <c r="A3314">
        <v>3312</v>
      </c>
      <c r="B3314" t="s">
        <v>3781</v>
      </c>
      <c r="C3314" t="s">
        <v>3246</v>
      </c>
      <c r="D3314">
        <v>355</v>
      </c>
      <c r="E3314">
        <v>279</v>
      </c>
      <c r="F3314" t="s">
        <v>3782</v>
      </c>
      <c r="G3314" t="s">
        <v>2936</v>
      </c>
    </row>
    <row r="3315" spans="1:7" x14ac:dyDescent="0.3">
      <c r="A3315">
        <v>3313</v>
      </c>
      <c r="B3315" t="s">
        <v>3783</v>
      </c>
      <c r="C3315" t="s">
        <v>3217</v>
      </c>
      <c r="D3315">
        <v>499</v>
      </c>
      <c r="E3315">
        <v>199</v>
      </c>
      <c r="F3315" t="s">
        <v>3776</v>
      </c>
      <c r="G3315" t="s">
        <v>2936</v>
      </c>
    </row>
    <row r="3316" spans="1:7" x14ac:dyDescent="0.3">
      <c r="A3316">
        <v>3314</v>
      </c>
      <c r="B3316" t="s">
        <v>3784</v>
      </c>
      <c r="C3316" t="s">
        <v>3246</v>
      </c>
      <c r="D3316">
        <v>235</v>
      </c>
      <c r="E3316">
        <v>211</v>
      </c>
      <c r="F3316" t="s">
        <v>3785</v>
      </c>
      <c r="G3316" t="s">
        <v>2936</v>
      </c>
    </row>
    <row r="3317" spans="1:7" x14ac:dyDescent="0.3">
      <c r="A3317">
        <v>3315</v>
      </c>
      <c r="B3317" t="s">
        <v>3786</v>
      </c>
      <c r="C3317" t="s">
        <v>3631</v>
      </c>
      <c r="D3317">
        <v>345</v>
      </c>
      <c r="E3317">
        <v>279</v>
      </c>
      <c r="F3317" t="s">
        <v>3638</v>
      </c>
      <c r="G3317" t="s">
        <v>2936</v>
      </c>
    </row>
    <row r="3318" spans="1:7" x14ac:dyDescent="0.3">
      <c r="A3318">
        <v>3316</v>
      </c>
      <c r="B3318" t="s">
        <v>3787</v>
      </c>
      <c r="C3318" t="s">
        <v>3217</v>
      </c>
      <c r="D3318">
        <v>499</v>
      </c>
      <c r="E3318">
        <v>199</v>
      </c>
      <c r="F3318" t="s">
        <v>3776</v>
      </c>
      <c r="G3318" t="s">
        <v>2936</v>
      </c>
    </row>
    <row r="3319" spans="1:7" x14ac:dyDescent="0.3">
      <c r="A3319">
        <v>3317</v>
      </c>
      <c r="B3319" t="s">
        <v>3788</v>
      </c>
      <c r="C3319" t="s">
        <v>17</v>
      </c>
      <c r="D3319">
        <v>172</v>
      </c>
      <c r="E3319">
        <v>99</v>
      </c>
      <c r="F3319" t="s">
        <v>2680</v>
      </c>
      <c r="G3319" t="s">
        <v>2945</v>
      </c>
    </row>
    <row r="3320" spans="1:7" x14ac:dyDescent="0.3">
      <c r="A3320">
        <v>3318</v>
      </c>
      <c r="B3320" t="s">
        <v>3789</v>
      </c>
      <c r="C3320" t="s">
        <v>3246</v>
      </c>
      <c r="D3320">
        <v>275</v>
      </c>
      <c r="E3320">
        <v>249</v>
      </c>
      <c r="F3320" t="s">
        <v>1194</v>
      </c>
      <c r="G3320" t="s">
        <v>2936</v>
      </c>
    </row>
    <row r="3321" spans="1:7" x14ac:dyDescent="0.3">
      <c r="A3321">
        <v>3319</v>
      </c>
      <c r="B3321" t="s">
        <v>3790</v>
      </c>
      <c r="C3321" t="s">
        <v>3246</v>
      </c>
      <c r="D3321">
        <v>540</v>
      </c>
      <c r="E3321">
        <v>486</v>
      </c>
      <c r="F3321" t="s">
        <v>3791</v>
      </c>
      <c r="G3321" t="s">
        <v>2936</v>
      </c>
    </row>
    <row r="3322" spans="1:7" x14ac:dyDescent="0.3">
      <c r="A3322">
        <v>3320</v>
      </c>
      <c r="B3322" t="s">
        <v>3792</v>
      </c>
      <c r="C3322" t="s">
        <v>3246</v>
      </c>
      <c r="D3322">
        <v>200</v>
      </c>
      <c r="E3322">
        <v>180</v>
      </c>
      <c r="F3322" t="s">
        <v>1200</v>
      </c>
      <c r="G3322" t="s">
        <v>2936</v>
      </c>
    </row>
    <row r="3323" spans="1:7" x14ac:dyDescent="0.3">
      <c r="A3323">
        <v>3321</v>
      </c>
      <c r="B3323" t="s">
        <v>3793</v>
      </c>
      <c r="C3323" t="s">
        <v>17</v>
      </c>
      <c r="D3323">
        <v>1720</v>
      </c>
      <c r="E3323">
        <v>799</v>
      </c>
      <c r="F3323" t="s">
        <v>2712</v>
      </c>
      <c r="G3323" t="s">
        <v>2945</v>
      </c>
    </row>
    <row r="3324" spans="1:7" x14ac:dyDescent="0.3">
      <c r="A3324">
        <v>3322</v>
      </c>
      <c r="B3324" t="s">
        <v>3794</v>
      </c>
      <c r="C3324" t="s">
        <v>3246</v>
      </c>
      <c r="D3324">
        <v>290</v>
      </c>
      <c r="E3324">
        <v>261</v>
      </c>
      <c r="F3324" t="s">
        <v>1182</v>
      </c>
      <c r="G3324" t="s">
        <v>2936</v>
      </c>
    </row>
    <row r="3325" spans="1:7" x14ac:dyDescent="0.3">
      <c r="A3325">
        <v>3323</v>
      </c>
      <c r="B3325" t="s">
        <v>3795</v>
      </c>
      <c r="C3325" t="s">
        <v>3631</v>
      </c>
      <c r="D3325">
        <v>325</v>
      </c>
      <c r="E3325">
        <v>249</v>
      </c>
      <c r="F3325" t="s">
        <v>3796</v>
      </c>
      <c r="G3325" t="s">
        <v>2936</v>
      </c>
    </row>
    <row r="3326" spans="1:7" x14ac:dyDescent="0.3">
      <c r="A3326">
        <v>3324</v>
      </c>
      <c r="B3326" t="s">
        <v>3797</v>
      </c>
      <c r="C3326" t="s">
        <v>17</v>
      </c>
      <c r="D3326">
        <v>340</v>
      </c>
      <c r="E3326">
        <v>129</v>
      </c>
      <c r="F3326" t="s">
        <v>727</v>
      </c>
      <c r="G3326" t="s">
        <v>2945</v>
      </c>
    </row>
    <row r="3327" spans="1:7" x14ac:dyDescent="0.3">
      <c r="A3327">
        <v>3325</v>
      </c>
      <c r="B3327" t="s">
        <v>3798</v>
      </c>
      <c r="C3327" t="s">
        <v>3631</v>
      </c>
      <c r="D3327">
        <v>195</v>
      </c>
      <c r="E3327">
        <v>159</v>
      </c>
      <c r="F3327" t="s">
        <v>1302</v>
      </c>
      <c r="G3327" t="s">
        <v>2936</v>
      </c>
    </row>
    <row r="3328" spans="1:7" x14ac:dyDescent="0.3">
      <c r="A3328">
        <v>3326</v>
      </c>
      <c r="B3328" t="s">
        <v>3799</v>
      </c>
      <c r="C3328" t="s">
        <v>17</v>
      </c>
      <c r="D3328">
        <v>155</v>
      </c>
      <c r="E3328">
        <v>129</v>
      </c>
      <c r="F3328" t="s">
        <v>3673</v>
      </c>
      <c r="G3328" t="s">
        <v>2945</v>
      </c>
    </row>
    <row r="3329" spans="1:7" x14ac:dyDescent="0.3">
      <c r="A3329">
        <v>3327</v>
      </c>
      <c r="B3329" t="s">
        <v>3800</v>
      </c>
      <c r="C3329" t="s">
        <v>17</v>
      </c>
      <c r="D3329">
        <v>264</v>
      </c>
      <c r="E3329">
        <v>99</v>
      </c>
      <c r="F3329" t="s">
        <v>2680</v>
      </c>
      <c r="G3329" t="s">
        <v>2945</v>
      </c>
    </row>
    <row r="3330" spans="1:7" x14ac:dyDescent="0.3">
      <c r="A3330">
        <v>3328</v>
      </c>
      <c r="B3330" t="s">
        <v>3801</v>
      </c>
      <c r="C3330" t="s">
        <v>3217</v>
      </c>
      <c r="D3330">
        <v>111</v>
      </c>
      <c r="E3330">
        <v>59</v>
      </c>
      <c r="F3330" t="s">
        <v>391</v>
      </c>
      <c r="G3330" t="s">
        <v>2945</v>
      </c>
    </row>
    <row r="3331" spans="1:7" x14ac:dyDescent="0.3">
      <c r="A3331">
        <v>3329</v>
      </c>
      <c r="B3331" t="s">
        <v>3802</v>
      </c>
      <c r="C3331" t="s">
        <v>3217</v>
      </c>
      <c r="D3331">
        <v>290</v>
      </c>
      <c r="E3331">
        <v>110</v>
      </c>
      <c r="F3331" t="s">
        <v>2712</v>
      </c>
      <c r="G3331" t="s">
        <v>2945</v>
      </c>
    </row>
    <row r="3332" spans="1:7" x14ac:dyDescent="0.3">
      <c r="A3332">
        <v>3330</v>
      </c>
      <c r="B3332" t="s">
        <v>3803</v>
      </c>
      <c r="C3332" t="s">
        <v>3217</v>
      </c>
      <c r="D3332">
        <v>290</v>
      </c>
      <c r="E3332">
        <v>110</v>
      </c>
      <c r="F3332" t="s">
        <v>2712</v>
      </c>
      <c r="G3332" t="s">
        <v>2945</v>
      </c>
    </row>
    <row r="3333" spans="1:7" x14ac:dyDescent="0.3">
      <c r="A3333">
        <v>3331</v>
      </c>
      <c r="B3333" t="s">
        <v>3802</v>
      </c>
      <c r="C3333" t="s">
        <v>3217</v>
      </c>
      <c r="D3333">
        <v>280</v>
      </c>
      <c r="E3333">
        <v>110</v>
      </c>
      <c r="F3333" t="s">
        <v>2712</v>
      </c>
      <c r="G3333" t="s">
        <v>2945</v>
      </c>
    </row>
    <row r="3334" spans="1:7" x14ac:dyDescent="0.3">
      <c r="A3334">
        <v>3332</v>
      </c>
      <c r="B3334" t="s">
        <v>3803</v>
      </c>
      <c r="C3334" t="s">
        <v>3217</v>
      </c>
      <c r="D3334">
        <v>280</v>
      </c>
      <c r="E3334">
        <v>110</v>
      </c>
      <c r="F3334" t="s">
        <v>2712</v>
      </c>
      <c r="G3334" t="s">
        <v>2945</v>
      </c>
    </row>
    <row r="3335" spans="1:7" x14ac:dyDescent="0.3">
      <c r="A3335">
        <v>3333</v>
      </c>
      <c r="B3335" t="s">
        <v>3804</v>
      </c>
      <c r="C3335" t="s">
        <v>2119</v>
      </c>
      <c r="D3335">
        <v>185</v>
      </c>
      <c r="E3335">
        <v>135</v>
      </c>
      <c r="F3335" t="s">
        <v>11</v>
      </c>
      <c r="G3335" t="s">
        <v>3805</v>
      </c>
    </row>
    <row r="3336" spans="1:7" x14ac:dyDescent="0.3">
      <c r="A3336">
        <v>3334</v>
      </c>
      <c r="B3336" t="s">
        <v>3804</v>
      </c>
      <c r="C3336" t="s">
        <v>2119</v>
      </c>
      <c r="D3336">
        <v>100</v>
      </c>
      <c r="E3336">
        <v>75</v>
      </c>
      <c r="F3336" t="s">
        <v>216</v>
      </c>
      <c r="G3336" t="s">
        <v>3805</v>
      </c>
    </row>
    <row r="3337" spans="1:7" x14ac:dyDescent="0.3">
      <c r="A3337">
        <v>3335</v>
      </c>
      <c r="B3337" t="s">
        <v>3806</v>
      </c>
      <c r="C3337" t="s">
        <v>3807</v>
      </c>
      <c r="D3337">
        <v>100</v>
      </c>
      <c r="E3337">
        <v>79</v>
      </c>
      <c r="F3337" t="s">
        <v>216</v>
      </c>
      <c r="G3337" t="s">
        <v>3805</v>
      </c>
    </row>
    <row r="3338" spans="1:7" x14ac:dyDescent="0.3">
      <c r="A3338">
        <v>3336</v>
      </c>
      <c r="B3338" t="s">
        <v>3806</v>
      </c>
      <c r="C3338" t="s">
        <v>3807</v>
      </c>
      <c r="D3338">
        <v>195</v>
      </c>
      <c r="E3338">
        <v>134</v>
      </c>
      <c r="F3338" t="s">
        <v>11</v>
      </c>
      <c r="G3338" t="s">
        <v>3805</v>
      </c>
    </row>
    <row r="3339" spans="1:7" x14ac:dyDescent="0.3">
      <c r="A3339">
        <v>3337</v>
      </c>
      <c r="B3339" t="s">
        <v>3806</v>
      </c>
      <c r="C3339" t="s">
        <v>3807</v>
      </c>
      <c r="D3339">
        <v>45</v>
      </c>
      <c r="E3339">
        <v>34</v>
      </c>
      <c r="F3339" t="s">
        <v>256</v>
      </c>
      <c r="G3339" t="s">
        <v>3805</v>
      </c>
    </row>
    <row r="3340" spans="1:7" x14ac:dyDescent="0.3">
      <c r="A3340">
        <v>3338</v>
      </c>
      <c r="B3340" t="s">
        <v>3806</v>
      </c>
      <c r="C3340" t="s">
        <v>3807</v>
      </c>
      <c r="D3340">
        <v>95</v>
      </c>
      <c r="E3340">
        <v>69</v>
      </c>
      <c r="F3340" t="s">
        <v>216</v>
      </c>
      <c r="G3340" t="s">
        <v>3805</v>
      </c>
    </row>
    <row r="3341" spans="1:7" x14ac:dyDescent="0.3">
      <c r="A3341">
        <v>3339</v>
      </c>
      <c r="B3341" t="s">
        <v>3808</v>
      </c>
      <c r="C3341" t="s">
        <v>3000</v>
      </c>
      <c r="D3341">
        <v>150</v>
      </c>
      <c r="E3341">
        <v>85</v>
      </c>
      <c r="F3341" t="s">
        <v>216</v>
      </c>
      <c r="G3341" t="s">
        <v>3805</v>
      </c>
    </row>
    <row r="3342" spans="1:7" x14ac:dyDescent="0.3">
      <c r="A3342">
        <v>3340</v>
      </c>
      <c r="B3342" t="s">
        <v>3808</v>
      </c>
      <c r="C3342" t="s">
        <v>3000</v>
      </c>
      <c r="D3342">
        <v>280</v>
      </c>
      <c r="E3342">
        <v>205</v>
      </c>
      <c r="F3342" t="s">
        <v>11</v>
      </c>
      <c r="G3342" t="s">
        <v>3805</v>
      </c>
    </row>
    <row r="3343" spans="1:7" x14ac:dyDescent="0.3">
      <c r="A3343">
        <v>3341</v>
      </c>
      <c r="B3343" t="s">
        <v>3809</v>
      </c>
      <c r="C3343" t="s">
        <v>3807</v>
      </c>
      <c r="D3343">
        <v>450</v>
      </c>
      <c r="E3343">
        <v>299</v>
      </c>
      <c r="F3343" t="s">
        <v>107</v>
      </c>
      <c r="G3343" t="s">
        <v>3805</v>
      </c>
    </row>
    <row r="3344" spans="1:7" x14ac:dyDescent="0.3">
      <c r="A3344">
        <v>3342</v>
      </c>
      <c r="B3344" t="s">
        <v>3810</v>
      </c>
      <c r="C3344" t="s">
        <v>3811</v>
      </c>
      <c r="D3344">
        <v>90</v>
      </c>
      <c r="E3344">
        <v>80</v>
      </c>
      <c r="F3344" t="s">
        <v>3812</v>
      </c>
      <c r="G3344" t="s">
        <v>3805</v>
      </c>
    </row>
    <row r="3345" spans="1:7" x14ac:dyDescent="0.3">
      <c r="A3345">
        <v>3343</v>
      </c>
      <c r="B3345" t="s">
        <v>3813</v>
      </c>
      <c r="C3345" t="s">
        <v>3814</v>
      </c>
      <c r="D3345">
        <v>125</v>
      </c>
      <c r="E3345">
        <v>95</v>
      </c>
      <c r="F3345" t="s">
        <v>3815</v>
      </c>
      <c r="G3345" t="s">
        <v>3805</v>
      </c>
    </row>
    <row r="3346" spans="1:7" x14ac:dyDescent="0.3">
      <c r="A3346">
        <v>3344</v>
      </c>
      <c r="B3346" t="s">
        <v>3813</v>
      </c>
      <c r="C3346" t="s">
        <v>3814</v>
      </c>
      <c r="D3346">
        <v>150</v>
      </c>
      <c r="E3346">
        <v>99</v>
      </c>
      <c r="F3346" t="s">
        <v>3816</v>
      </c>
      <c r="G3346" t="s">
        <v>3805</v>
      </c>
    </row>
    <row r="3347" spans="1:7" x14ac:dyDescent="0.3">
      <c r="A3347">
        <v>3345</v>
      </c>
      <c r="B3347" t="s">
        <v>3813</v>
      </c>
      <c r="C3347" t="s">
        <v>3814</v>
      </c>
      <c r="D3347">
        <v>65</v>
      </c>
      <c r="E3347">
        <v>50</v>
      </c>
      <c r="F3347" t="s">
        <v>3817</v>
      </c>
      <c r="G3347" t="s">
        <v>3805</v>
      </c>
    </row>
    <row r="3348" spans="1:7" x14ac:dyDescent="0.3">
      <c r="A3348">
        <v>3346</v>
      </c>
      <c r="B3348" t="s">
        <v>3818</v>
      </c>
      <c r="C3348" t="s">
        <v>3819</v>
      </c>
      <c r="D3348">
        <v>65</v>
      </c>
      <c r="E3348">
        <v>32</v>
      </c>
      <c r="F3348" t="s">
        <v>3820</v>
      </c>
      <c r="G3348" t="s">
        <v>2936</v>
      </c>
    </row>
    <row r="3349" spans="1:7" x14ac:dyDescent="0.3">
      <c r="A3349">
        <v>3347</v>
      </c>
      <c r="B3349" t="s">
        <v>3821</v>
      </c>
      <c r="C3349" t="s">
        <v>3819</v>
      </c>
      <c r="D3349">
        <v>70</v>
      </c>
      <c r="E3349">
        <v>35</v>
      </c>
      <c r="F3349" t="s">
        <v>3820</v>
      </c>
      <c r="G3349" t="s">
        <v>2936</v>
      </c>
    </row>
    <row r="3350" spans="1:7" x14ac:dyDescent="0.3">
      <c r="A3350">
        <v>3348</v>
      </c>
      <c r="B3350" t="s">
        <v>3822</v>
      </c>
      <c r="C3350" t="s">
        <v>3819</v>
      </c>
      <c r="D3350">
        <v>65</v>
      </c>
      <c r="E3350">
        <v>32</v>
      </c>
      <c r="F3350" t="s">
        <v>3820</v>
      </c>
      <c r="G3350" t="s">
        <v>2936</v>
      </c>
    </row>
    <row r="3351" spans="1:7" x14ac:dyDescent="0.3">
      <c r="A3351">
        <v>3349</v>
      </c>
      <c r="B3351" t="s">
        <v>3823</v>
      </c>
      <c r="C3351" t="s">
        <v>3824</v>
      </c>
      <c r="D3351">
        <v>72</v>
      </c>
      <c r="E3351">
        <v>62</v>
      </c>
      <c r="F3351" t="s">
        <v>1094</v>
      </c>
      <c r="G3351" t="s">
        <v>3805</v>
      </c>
    </row>
    <row r="3352" spans="1:7" x14ac:dyDescent="0.3">
      <c r="A3352">
        <v>3350</v>
      </c>
      <c r="B3352" t="s">
        <v>3825</v>
      </c>
      <c r="C3352" t="s">
        <v>3819</v>
      </c>
      <c r="D3352">
        <v>65</v>
      </c>
      <c r="E3352">
        <v>32</v>
      </c>
      <c r="F3352" t="s">
        <v>3820</v>
      </c>
      <c r="G3352" t="s">
        <v>2936</v>
      </c>
    </row>
    <row r="3353" spans="1:7" x14ac:dyDescent="0.3">
      <c r="A3353">
        <v>3351</v>
      </c>
      <c r="B3353" t="s">
        <v>3826</v>
      </c>
      <c r="C3353" t="s">
        <v>3819</v>
      </c>
      <c r="D3353">
        <v>70</v>
      </c>
      <c r="E3353">
        <v>35</v>
      </c>
      <c r="F3353" t="s">
        <v>3827</v>
      </c>
      <c r="G3353" t="s">
        <v>3805</v>
      </c>
    </row>
    <row r="3354" spans="1:7" x14ac:dyDescent="0.3">
      <c r="A3354">
        <v>3352</v>
      </c>
      <c r="B3354" t="s">
        <v>3828</v>
      </c>
      <c r="C3354" t="s">
        <v>3829</v>
      </c>
      <c r="D3354">
        <v>125</v>
      </c>
      <c r="E3354">
        <v>95</v>
      </c>
      <c r="F3354" t="s">
        <v>3830</v>
      </c>
      <c r="G3354" t="s">
        <v>3805</v>
      </c>
    </row>
    <row r="3355" spans="1:7" x14ac:dyDescent="0.3">
      <c r="A3355">
        <v>3353</v>
      </c>
      <c r="B3355" t="s">
        <v>3831</v>
      </c>
      <c r="C3355" t="s">
        <v>3832</v>
      </c>
      <c r="D3355">
        <v>110</v>
      </c>
      <c r="E3355">
        <v>70</v>
      </c>
      <c r="F3355" t="s">
        <v>107</v>
      </c>
      <c r="G3355" t="s">
        <v>3805</v>
      </c>
    </row>
    <row r="3356" spans="1:7" x14ac:dyDescent="0.3">
      <c r="A3356">
        <v>3354</v>
      </c>
      <c r="B3356" t="s">
        <v>3833</v>
      </c>
      <c r="C3356" t="s">
        <v>3811</v>
      </c>
      <c r="D3356">
        <v>24</v>
      </c>
      <c r="E3356">
        <v>18</v>
      </c>
      <c r="F3356" t="s">
        <v>3834</v>
      </c>
      <c r="G3356" t="s">
        <v>3805</v>
      </c>
    </row>
    <row r="3357" spans="1:7" x14ac:dyDescent="0.3">
      <c r="A3357">
        <v>3355</v>
      </c>
      <c r="B3357" t="s">
        <v>3835</v>
      </c>
      <c r="C3357" t="s">
        <v>3836</v>
      </c>
      <c r="D3357">
        <v>120</v>
      </c>
      <c r="E3357">
        <v>95</v>
      </c>
      <c r="F3357" t="s">
        <v>1166</v>
      </c>
      <c r="G3357" t="s">
        <v>3805</v>
      </c>
    </row>
    <row r="3358" spans="1:7" x14ac:dyDescent="0.3">
      <c r="A3358">
        <v>3356</v>
      </c>
      <c r="B3358" t="s">
        <v>3837</v>
      </c>
      <c r="C3358" t="s">
        <v>3838</v>
      </c>
      <c r="D3358">
        <v>115</v>
      </c>
      <c r="E3358">
        <v>57</v>
      </c>
      <c r="F3358" t="s">
        <v>3839</v>
      </c>
      <c r="G3358" t="s">
        <v>3805</v>
      </c>
    </row>
    <row r="3359" spans="1:7" x14ac:dyDescent="0.3">
      <c r="A3359">
        <v>3357</v>
      </c>
      <c r="B3359" t="s">
        <v>3840</v>
      </c>
      <c r="C3359" t="s">
        <v>3832</v>
      </c>
      <c r="D3359">
        <v>65</v>
      </c>
      <c r="E3359">
        <v>32</v>
      </c>
      <c r="F3359" t="s">
        <v>834</v>
      </c>
      <c r="G3359" t="s">
        <v>3805</v>
      </c>
    </row>
    <row r="3360" spans="1:7" x14ac:dyDescent="0.3">
      <c r="A3360">
        <v>3358</v>
      </c>
      <c r="B3360" t="s">
        <v>3841</v>
      </c>
      <c r="C3360" t="s">
        <v>3832</v>
      </c>
      <c r="D3360">
        <v>115</v>
      </c>
      <c r="E3360">
        <v>75</v>
      </c>
      <c r="F3360" t="s">
        <v>3839</v>
      </c>
      <c r="G3360" t="s">
        <v>3805</v>
      </c>
    </row>
    <row r="3361" spans="1:7" x14ac:dyDescent="0.3">
      <c r="A3361">
        <v>3359</v>
      </c>
      <c r="B3361" t="s">
        <v>3842</v>
      </c>
      <c r="C3361" t="s">
        <v>3832</v>
      </c>
      <c r="D3361">
        <v>110</v>
      </c>
      <c r="E3361">
        <v>70</v>
      </c>
      <c r="F3361" t="s">
        <v>107</v>
      </c>
      <c r="G3361" t="s">
        <v>3805</v>
      </c>
    </row>
    <row r="3362" spans="1:7" x14ac:dyDescent="0.3">
      <c r="A3362">
        <v>3360</v>
      </c>
      <c r="B3362" t="s">
        <v>3843</v>
      </c>
      <c r="C3362" t="s">
        <v>3843</v>
      </c>
      <c r="D3362">
        <v>18</v>
      </c>
      <c r="E3362">
        <v>15</v>
      </c>
      <c r="F3362" t="s">
        <v>3844</v>
      </c>
      <c r="G3362" t="s">
        <v>3805</v>
      </c>
    </row>
    <row r="3363" spans="1:7" x14ac:dyDescent="0.3">
      <c r="A3363">
        <v>3361</v>
      </c>
      <c r="B3363" t="s">
        <v>3845</v>
      </c>
      <c r="C3363" t="s">
        <v>3838</v>
      </c>
      <c r="D3363">
        <v>115</v>
      </c>
      <c r="E3363">
        <v>57</v>
      </c>
      <c r="F3363" t="s">
        <v>3839</v>
      </c>
      <c r="G3363" t="s">
        <v>3805</v>
      </c>
    </row>
    <row r="3364" spans="1:7" x14ac:dyDescent="0.3">
      <c r="A3364">
        <v>3362</v>
      </c>
      <c r="B3364" t="s">
        <v>3846</v>
      </c>
      <c r="C3364" t="s">
        <v>3819</v>
      </c>
      <c r="D3364">
        <v>70</v>
      </c>
      <c r="E3364">
        <v>35</v>
      </c>
      <c r="F3364" t="s">
        <v>3847</v>
      </c>
      <c r="G3364" t="s">
        <v>3805</v>
      </c>
    </row>
    <row r="3365" spans="1:7" x14ac:dyDescent="0.3">
      <c r="A3365">
        <v>3363</v>
      </c>
      <c r="B3365" t="s">
        <v>3848</v>
      </c>
      <c r="C3365" t="s">
        <v>3849</v>
      </c>
      <c r="D3365">
        <v>110</v>
      </c>
      <c r="E3365">
        <v>55</v>
      </c>
      <c r="F3365" t="s">
        <v>107</v>
      </c>
      <c r="G3365" t="s">
        <v>3805</v>
      </c>
    </row>
    <row r="3366" spans="1:7" x14ac:dyDescent="0.3">
      <c r="A3366">
        <v>3364</v>
      </c>
      <c r="B3366" t="s">
        <v>3850</v>
      </c>
      <c r="C3366" t="s">
        <v>3849</v>
      </c>
      <c r="D3366">
        <v>110</v>
      </c>
      <c r="E3366">
        <v>55</v>
      </c>
      <c r="F3366" t="s">
        <v>107</v>
      </c>
      <c r="G3366" t="s">
        <v>3805</v>
      </c>
    </row>
    <row r="3367" spans="1:7" x14ac:dyDescent="0.3">
      <c r="A3367">
        <v>3365</v>
      </c>
      <c r="B3367" t="s">
        <v>3851</v>
      </c>
      <c r="C3367" t="s">
        <v>3849</v>
      </c>
      <c r="D3367">
        <v>110</v>
      </c>
      <c r="E3367">
        <v>55</v>
      </c>
      <c r="F3367" t="s">
        <v>107</v>
      </c>
      <c r="G3367" t="s">
        <v>3805</v>
      </c>
    </row>
    <row r="3368" spans="1:7" x14ac:dyDescent="0.3">
      <c r="A3368">
        <v>3366</v>
      </c>
      <c r="B3368" t="s">
        <v>3852</v>
      </c>
      <c r="C3368" t="s">
        <v>3832</v>
      </c>
      <c r="D3368">
        <v>110</v>
      </c>
      <c r="E3368">
        <v>75</v>
      </c>
      <c r="F3368" t="s">
        <v>107</v>
      </c>
      <c r="G3368" t="s">
        <v>3805</v>
      </c>
    </row>
    <row r="3369" spans="1:7" x14ac:dyDescent="0.3">
      <c r="A3369">
        <v>3367</v>
      </c>
      <c r="B3369" t="s">
        <v>3853</v>
      </c>
      <c r="C3369" t="s">
        <v>3832</v>
      </c>
      <c r="D3369">
        <v>70</v>
      </c>
      <c r="E3369">
        <v>35</v>
      </c>
      <c r="F3369" t="s">
        <v>1396</v>
      </c>
      <c r="G3369" t="s">
        <v>3805</v>
      </c>
    </row>
    <row r="3370" spans="1:7" x14ac:dyDescent="0.3">
      <c r="A3370">
        <v>3368</v>
      </c>
      <c r="B3370" t="s">
        <v>3854</v>
      </c>
      <c r="C3370" t="s">
        <v>3819</v>
      </c>
      <c r="D3370">
        <v>70</v>
      </c>
      <c r="E3370">
        <v>35</v>
      </c>
      <c r="F3370" t="s">
        <v>3847</v>
      </c>
      <c r="G3370" t="s">
        <v>3805</v>
      </c>
    </row>
    <row r="3371" spans="1:7" x14ac:dyDescent="0.3">
      <c r="A3371">
        <v>3369</v>
      </c>
      <c r="B3371" t="s">
        <v>3855</v>
      </c>
      <c r="C3371" t="s">
        <v>3856</v>
      </c>
      <c r="D3371">
        <v>65</v>
      </c>
      <c r="E3371">
        <v>32</v>
      </c>
      <c r="F3371" t="s">
        <v>188</v>
      </c>
      <c r="G3371" t="s">
        <v>3805</v>
      </c>
    </row>
    <row r="3372" spans="1:7" x14ac:dyDescent="0.3">
      <c r="A3372">
        <v>3370</v>
      </c>
      <c r="B3372" t="s">
        <v>3857</v>
      </c>
      <c r="C3372" t="s">
        <v>3849</v>
      </c>
      <c r="D3372">
        <v>110</v>
      </c>
      <c r="E3372">
        <v>55</v>
      </c>
      <c r="F3372" t="s">
        <v>107</v>
      </c>
      <c r="G3372" t="s">
        <v>3805</v>
      </c>
    </row>
    <row r="3373" spans="1:7" x14ac:dyDescent="0.3">
      <c r="A3373">
        <v>3371</v>
      </c>
      <c r="B3373" t="s">
        <v>3858</v>
      </c>
      <c r="C3373" t="s">
        <v>3859</v>
      </c>
      <c r="D3373">
        <v>70</v>
      </c>
      <c r="E3373">
        <v>35</v>
      </c>
      <c r="F3373" t="s">
        <v>913</v>
      </c>
      <c r="G3373" t="s">
        <v>3805</v>
      </c>
    </row>
    <row r="3374" spans="1:7" x14ac:dyDescent="0.3">
      <c r="A3374">
        <v>3372</v>
      </c>
      <c r="B3374" t="s">
        <v>3860</v>
      </c>
      <c r="C3374" t="s">
        <v>2912</v>
      </c>
      <c r="D3374">
        <v>210</v>
      </c>
      <c r="E3374">
        <v>149</v>
      </c>
      <c r="F3374" t="s">
        <v>2940</v>
      </c>
      <c r="G3374" t="s">
        <v>3805</v>
      </c>
    </row>
    <row r="3375" spans="1:7" x14ac:dyDescent="0.3">
      <c r="A3375">
        <v>3373</v>
      </c>
      <c r="B3375" t="s">
        <v>3861</v>
      </c>
      <c r="C3375" t="s">
        <v>3862</v>
      </c>
      <c r="D3375">
        <v>245</v>
      </c>
      <c r="E3375">
        <v>190</v>
      </c>
      <c r="F3375" t="s">
        <v>246</v>
      </c>
      <c r="G3375" t="s">
        <v>3805</v>
      </c>
    </row>
    <row r="3376" spans="1:7" x14ac:dyDescent="0.3">
      <c r="A3376">
        <v>3374</v>
      </c>
      <c r="B3376" t="s">
        <v>3863</v>
      </c>
      <c r="C3376" t="s">
        <v>3864</v>
      </c>
      <c r="D3376">
        <v>210</v>
      </c>
      <c r="E3376">
        <v>180</v>
      </c>
      <c r="F3376" t="s">
        <v>2940</v>
      </c>
      <c r="G3376" t="s">
        <v>3805</v>
      </c>
    </row>
    <row r="3377" spans="1:7" x14ac:dyDescent="0.3">
      <c r="A3377">
        <v>3375</v>
      </c>
      <c r="B3377" t="s">
        <v>3865</v>
      </c>
      <c r="C3377" t="s">
        <v>3811</v>
      </c>
      <c r="D3377">
        <v>250</v>
      </c>
      <c r="E3377">
        <v>179</v>
      </c>
      <c r="F3377" t="s">
        <v>246</v>
      </c>
      <c r="G3377" t="s">
        <v>3805</v>
      </c>
    </row>
    <row r="3378" spans="1:7" x14ac:dyDescent="0.3">
      <c r="A3378">
        <v>3376</v>
      </c>
      <c r="B3378" t="s">
        <v>3866</v>
      </c>
      <c r="C3378" t="s">
        <v>3867</v>
      </c>
      <c r="D3378">
        <v>245</v>
      </c>
      <c r="E3378">
        <v>175</v>
      </c>
      <c r="F3378" t="s">
        <v>246</v>
      </c>
      <c r="G3378" t="s">
        <v>3805</v>
      </c>
    </row>
    <row r="3379" spans="1:7" x14ac:dyDescent="0.3">
      <c r="A3379">
        <v>3377</v>
      </c>
      <c r="B3379" t="s">
        <v>3868</v>
      </c>
      <c r="C3379" t="s">
        <v>3869</v>
      </c>
      <c r="D3379">
        <v>10</v>
      </c>
      <c r="E3379">
        <v>8</v>
      </c>
      <c r="F3379" t="s">
        <v>2712</v>
      </c>
      <c r="G3379" t="s">
        <v>3805</v>
      </c>
    </row>
    <row r="3380" spans="1:7" x14ac:dyDescent="0.3">
      <c r="A3380">
        <v>3378</v>
      </c>
      <c r="B3380" t="s">
        <v>3870</v>
      </c>
      <c r="C3380" t="s">
        <v>3871</v>
      </c>
      <c r="D3380">
        <v>30</v>
      </c>
      <c r="E3380">
        <v>25</v>
      </c>
      <c r="F3380" t="s">
        <v>3151</v>
      </c>
      <c r="G3380" t="s">
        <v>3805</v>
      </c>
    </row>
    <row r="3381" spans="1:7" x14ac:dyDescent="0.3">
      <c r="A3381">
        <v>3379</v>
      </c>
      <c r="B3381" t="s">
        <v>3872</v>
      </c>
      <c r="C3381" t="s">
        <v>3873</v>
      </c>
      <c r="D3381">
        <v>10</v>
      </c>
      <c r="E3381">
        <v>9</v>
      </c>
      <c r="F3381" t="s">
        <v>2712</v>
      </c>
      <c r="G3381" t="s">
        <v>3805</v>
      </c>
    </row>
    <row r="3382" spans="1:7" x14ac:dyDescent="0.3">
      <c r="A3382">
        <v>3380</v>
      </c>
      <c r="B3382" t="s">
        <v>3874</v>
      </c>
      <c r="C3382" t="s">
        <v>3875</v>
      </c>
      <c r="D3382">
        <v>90</v>
      </c>
      <c r="E3382">
        <v>70</v>
      </c>
      <c r="F3382" t="s">
        <v>3161</v>
      </c>
      <c r="G3382" t="s">
        <v>3805</v>
      </c>
    </row>
    <row r="3383" spans="1:7" x14ac:dyDescent="0.3">
      <c r="A3383">
        <v>3381</v>
      </c>
      <c r="B3383" t="s">
        <v>3876</v>
      </c>
      <c r="C3383" t="s">
        <v>3877</v>
      </c>
      <c r="D3383">
        <v>65</v>
      </c>
      <c r="E3383">
        <v>32</v>
      </c>
      <c r="F3383" t="s">
        <v>188</v>
      </c>
      <c r="G3383" t="s">
        <v>3805</v>
      </c>
    </row>
    <row r="3384" spans="1:7" x14ac:dyDescent="0.3">
      <c r="A3384">
        <v>3382</v>
      </c>
      <c r="B3384" t="s">
        <v>3878</v>
      </c>
      <c r="C3384" t="s">
        <v>3879</v>
      </c>
      <c r="D3384">
        <v>39</v>
      </c>
      <c r="E3384">
        <v>28</v>
      </c>
      <c r="F3384" t="s">
        <v>1725</v>
      </c>
      <c r="G3384" t="s">
        <v>3805</v>
      </c>
    </row>
    <row r="3385" spans="1:7" x14ac:dyDescent="0.3">
      <c r="A3385">
        <v>3383</v>
      </c>
      <c r="B3385" t="s">
        <v>3880</v>
      </c>
      <c r="C3385" t="s">
        <v>3875</v>
      </c>
      <c r="D3385">
        <v>56</v>
      </c>
      <c r="E3385">
        <v>41</v>
      </c>
      <c r="F3385" t="s">
        <v>3161</v>
      </c>
      <c r="G3385" t="s">
        <v>3805</v>
      </c>
    </row>
    <row r="3386" spans="1:7" x14ac:dyDescent="0.3">
      <c r="A3386">
        <v>3384</v>
      </c>
      <c r="B3386" t="s">
        <v>3881</v>
      </c>
      <c r="C3386" t="s">
        <v>3811</v>
      </c>
      <c r="D3386">
        <v>15</v>
      </c>
      <c r="E3386">
        <v>13</v>
      </c>
      <c r="F3386" t="s">
        <v>3882</v>
      </c>
      <c r="G3386" t="s">
        <v>3805</v>
      </c>
    </row>
    <row r="3387" spans="1:7" x14ac:dyDescent="0.3">
      <c r="A3387">
        <v>3385</v>
      </c>
      <c r="B3387" t="s">
        <v>3883</v>
      </c>
      <c r="C3387" t="s">
        <v>3879</v>
      </c>
      <c r="D3387">
        <v>27</v>
      </c>
      <c r="E3387">
        <v>16</v>
      </c>
      <c r="F3387" t="s">
        <v>1725</v>
      </c>
      <c r="G3387" t="s">
        <v>3805</v>
      </c>
    </row>
    <row r="3388" spans="1:7" x14ac:dyDescent="0.3">
      <c r="A3388">
        <v>3386</v>
      </c>
      <c r="B3388" t="s">
        <v>3884</v>
      </c>
      <c r="C3388" t="s">
        <v>3879</v>
      </c>
      <c r="D3388">
        <v>27</v>
      </c>
      <c r="E3388">
        <v>18</v>
      </c>
      <c r="F3388" t="s">
        <v>280</v>
      </c>
      <c r="G3388" t="s">
        <v>3805</v>
      </c>
    </row>
    <row r="3389" spans="1:7" x14ac:dyDescent="0.3">
      <c r="A3389">
        <v>3387</v>
      </c>
      <c r="B3389" t="s">
        <v>3885</v>
      </c>
      <c r="C3389" t="s">
        <v>3832</v>
      </c>
      <c r="D3389">
        <v>70</v>
      </c>
      <c r="E3389">
        <v>35</v>
      </c>
      <c r="F3389" t="s">
        <v>913</v>
      </c>
      <c r="G3389" t="s">
        <v>3805</v>
      </c>
    </row>
    <row r="3390" spans="1:7" x14ac:dyDescent="0.3">
      <c r="A3390">
        <v>3388</v>
      </c>
      <c r="B3390" t="s">
        <v>3886</v>
      </c>
      <c r="C3390" t="s">
        <v>3887</v>
      </c>
      <c r="D3390">
        <v>150</v>
      </c>
      <c r="E3390">
        <v>119</v>
      </c>
      <c r="F3390" t="s">
        <v>3888</v>
      </c>
      <c r="G3390" t="s">
        <v>3617</v>
      </c>
    </row>
    <row r="3391" spans="1:7" x14ac:dyDescent="0.3">
      <c r="A3391">
        <v>3389</v>
      </c>
      <c r="B3391" t="s">
        <v>3886</v>
      </c>
      <c r="C3391" t="s">
        <v>3887</v>
      </c>
      <c r="D3391">
        <v>125</v>
      </c>
      <c r="E3391">
        <v>105</v>
      </c>
      <c r="F3391" t="s">
        <v>3889</v>
      </c>
      <c r="G3391" t="s">
        <v>3617</v>
      </c>
    </row>
    <row r="3392" spans="1:7" x14ac:dyDescent="0.3">
      <c r="A3392">
        <v>3390</v>
      </c>
      <c r="B3392" t="s">
        <v>3886</v>
      </c>
      <c r="C3392" t="s">
        <v>3887</v>
      </c>
      <c r="D3392">
        <v>125</v>
      </c>
      <c r="E3392">
        <v>105</v>
      </c>
      <c r="F3392" t="s">
        <v>3890</v>
      </c>
      <c r="G3392" t="s">
        <v>3617</v>
      </c>
    </row>
    <row r="3393" spans="1:7" x14ac:dyDescent="0.3">
      <c r="A3393">
        <v>3391</v>
      </c>
      <c r="B3393" t="s">
        <v>3891</v>
      </c>
      <c r="C3393" t="s">
        <v>3879</v>
      </c>
      <c r="D3393">
        <v>61</v>
      </c>
      <c r="E3393">
        <v>30</v>
      </c>
      <c r="F3393" t="s">
        <v>1697</v>
      </c>
      <c r="G3393" t="s">
        <v>3805</v>
      </c>
    </row>
    <row r="3394" spans="1:7" x14ac:dyDescent="0.3">
      <c r="A3394">
        <v>3392</v>
      </c>
      <c r="B3394" t="s">
        <v>3892</v>
      </c>
      <c r="C3394" t="s">
        <v>3893</v>
      </c>
      <c r="D3394">
        <v>28</v>
      </c>
      <c r="E3394">
        <v>22</v>
      </c>
      <c r="F3394" t="s">
        <v>256</v>
      </c>
      <c r="G3394" t="s">
        <v>3805</v>
      </c>
    </row>
    <row r="3395" spans="1:7" x14ac:dyDescent="0.3">
      <c r="A3395">
        <v>3393</v>
      </c>
      <c r="B3395" t="s">
        <v>3894</v>
      </c>
      <c r="C3395" t="s">
        <v>3879</v>
      </c>
      <c r="D3395">
        <v>21</v>
      </c>
      <c r="E3395">
        <v>14</v>
      </c>
      <c r="F3395" t="s">
        <v>280</v>
      </c>
      <c r="G3395" t="s">
        <v>3805</v>
      </c>
    </row>
    <row r="3396" spans="1:7" x14ac:dyDescent="0.3">
      <c r="A3396">
        <v>3394</v>
      </c>
      <c r="B3396" t="s">
        <v>3895</v>
      </c>
      <c r="C3396" t="s">
        <v>3896</v>
      </c>
      <c r="D3396">
        <v>24</v>
      </c>
      <c r="E3396">
        <v>18</v>
      </c>
      <c r="F3396" t="s">
        <v>3139</v>
      </c>
      <c r="G3396" t="s">
        <v>3805</v>
      </c>
    </row>
    <row r="3397" spans="1:7" x14ac:dyDescent="0.3">
      <c r="A3397">
        <v>3395</v>
      </c>
      <c r="B3397" t="s">
        <v>3897</v>
      </c>
      <c r="C3397" t="s">
        <v>3832</v>
      </c>
      <c r="D3397">
        <v>100</v>
      </c>
      <c r="E3397">
        <v>50</v>
      </c>
      <c r="F3397" t="s">
        <v>3898</v>
      </c>
      <c r="G3397" t="s">
        <v>3805</v>
      </c>
    </row>
    <row r="3398" spans="1:7" x14ac:dyDescent="0.3">
      <c r="A3398">
        <v>3396</v>
      </c>
      <c r="B3398" t="s">
        <v>3899</v>
      </c>
      <c r="C3398" t="s">
        <v>3877</v>
      </c>
      <c r="D3398">
        <v>449</v>
      </c>
      <c r="E3398">
        <v>349</v>
      </c>
      <c r="F3398" t="s">
        <v>2712</v>
      </c>
      <c r="G3398" t="s">
        <v>3805</v>
      </c>
    </row>
    <row r="3399" spans="1:7" x14ac:dyDescent="0.3">
      <c r="A3399">
        <v>3397</v>
      </c>
      <c r="B3399" t="s">
        <v>3900</v>
      </c>
      <c r="C3399" t="s">
        <v>3879</v>
      </c>
      <c r="D3399">
        <v>12</v>
      </c>
      <c r="E3399">
        <v>8</v>
      </c>
      <c r="F3399" t="s">
        <v>3720</v>
      </c>
      <c r="G3399" t="s">
        <v>3805</v>
      </c>
    </row>
    <row r="3400" spans="1:7" x14ac:dyDescent="0.3">
      <c r="A3400">
        <v>3398</v>
      </c>
      <c r="B3400" t="s">
        <v>3901</v>
      </c>
      <c r="C3400" t="s">
        <v>3877</v>
      </c>
      <c r="D3400">
        <v>90</v>
      </c>
      <c r="E3400">
        <v>59</v>
      </c>
      <c r="F3400" t="s">
        <v>3004</v>
      </c>
      <c r="G3400" t="s">
        <v>3805</v>
      </c>
    </row>
    <row r="3401" spans="1:7" x14ac:dyDescent="0.3">
      <c r="A3401">
        <v>3399</v>
      </c>
      <c r="B3401" t="s">
        <v>3902</v>
      </c>
      <c r="C3401" t="s">
        <v>3879</v>
      </c>
      <c r="D3401">
        <v>15</v>
      </c>
      <c r="E3401">
        <v>12</v>
      </c>
      <c r="F3401" t="s">
        <v>825</v>
      </c>
      <c r="G3401" t="s">
        <v>3805</v>
      </c>
    </row>
    <row r="3402" spans="1:7" x14ac:dyDescent="0.3">
      <c r="A3402">
        <v>3400</v>
      </c>
      <c r="B3402" t="s">
        <v>3903</v>
      </c>
      <c r="C3402" t="s">
        <v>3887</v>
      </c>
      <c r="D3402">
        <v>125</v>
      </c>
      <c r="E3402">
        <v>99</v>
      </c>
      <c r="F3402" t="s">
        <v>3258</v>
      </c>
      <c r="G3402" t="s">
        <v>3805</v>
      </c>
    </row>
    <row r="3403" spans="1:7" x14ac:dyDescent="0.3">
      <c r="A3403">
        <v>3401</v>
      </c>
      <c r="B3403" t="s">
        <v>3904</v>
      </c>
      <c r="C3403" t="s">
        <v>3879</v>
      </c>
      <c r="D3403">
        <v>221</v>
      </c>
      <c r="E3403">
        <v>140</v>
      </c>
      <c r="F3403" t="s">
        <v>3905</v>
      </c>
      <c r="G3403" t="s">
        <v>3805</v>
      </c>
    </row>
    <row r="3404" spans="1:7" x14ac:dyDescent="0.3">
      <c r="A3404">
        <v>3402</v>
      </c>
      <c r="B3404" t="s">
        <v>3906</v>
      </c>
      <c r="C3404" t="s">
        <v>3907</v>
      </c>
      <c r="D3404">
        <v>180</v>
      </c>
      <c r="E3404">
        <v>125</v>
      </c>
      <c r="F3404" t="s">
        <v>3908</v>
      </c>
      <c r="G3404" t="s">
        <v>3909</v>
      </c>
    </row>
    <row r="3405" spans="1:7" x14ac:dyDescent="0.3">
      <c r="A3405">
        <v>3403</v>
      </c>
      <c r="B3405" t="s">
        <v>3910</v>
      </c>
      <c r="C3405" t="s">
        <v>3907</v>
      </c>
      <c r="D3405">
        <v>180</v>
      </c>
      <c r="E3405">
        <v>125</v>
      </c>
      <c r="F3405" t="s">
        <v>3908</v>
      </c>
      <c r="G3405" t="s">
        <v>3909</v>
      </c>
    </row>
    <row r="3406" spans="1:7" x14ac:dyDescent="0.3">
      <c r="A3406">
        <v>3404</v>
      </c>
      <c r="B3406" t="s">
        <v>3911</v>
      </c>
      <c r="C3406" t="s">
        <v>3016</v>
      </c>
      <c r="D3406">
        <v>170</v>
      </c>
      <c r="E3406">
        <v>109</v>
      </c>
      <c r="F3406" t="s">
        <v>3908</v>
      </c>
      <c r="G3406" t="s">
        <v>3909</v>
      </c>
    </row>
    <row r="3407" spans="1:7" x14ac:dyDescent="0.3">
      <c r="A3407">
        <v>3405</v>
      </c>
      <c r="B3407" t="s">
        <v>3912</v>
      </c>
      <c r="C3407" t="s">
        <v>3913</v>
      </c>
      <c r="D3407">
        <v>449</v>
      </c>
      <c r="E3407">
        <v>199</v>
      </c>
      <c r="F3407" t="s">
        <v>3914</v>
      </c>
      <c r="G3407" t="s">
        <v>2936</v>
      </c>
    </row>
    <row r="3408" spans="1:7" x14ac:dyDescent="0.3">
      <c r="A3408">
        <v>3406</v>
      </c>
      <c r="B3408" t="s">
        <v>3915</v>
      </c>
      <c r="C3408" t="s">
        <v>3016</v>
      </c>
      <c r="D3408">
        <v>170</v>
      </c>
      <c r="E3408">
        <v>109</v>
      </c>
      <c r="F3408" t="s">
        <v>3908</v>
      </c>
      <c r="G3408" t="s">
        <v>3909</v>
      </c>
    </row>
    <row r="3409" spans="1:7" x14ac:dyDescent="0.3">
      <c r="A3409">
        <v>3407</v>
      </c>
      <c r="B3409" t="s">
        <v>3916</v>
      </c>
      <c r="C3409" t="s">
        <v>3917</v>
      </c>
      <c r="D3409">
        <v>90</v>
      </c>
      <c r="E3409">
        <v>80</v>
      </c>
      <c r="F3409" t="s">
        <v>3918</v>
      </c>
      <c r="G3409" t="s">
        <v>3909</v>
      </c>
    </row>
    <row r="3410" spans="1:7" x14ac:dyDescent="0.3">
      <c r="A3410">
        <v>3408</v>
      </c>
      <c r="B3410" t="s">
        <v>3916</v>
      </c>
      <c r="C3410" t="s">
        <v>3917</v>
      </c>
      <c r="D3410">
        <v>170</v>
      </c>
      <c r="E3410">
        <v>155</v>
      </c>
      <c r="F3410" t="s">
        <v>3919</v>
      </c>
      <c r="G3410" t="s">
        <v>3909</v>
      </c>
    </row>
    <row r="3411" spans="1:7" x14ac:dyDescent="0.3">
      <c r="A3411">
        <v>3409</v>
      </c>
      <c r="B3411" t="s">
        <v>3916</v>
      </c>
      <c r="C3411" t="s">
        <v>3917</v>
      </c>
      <c r="D3411">
        <v>270</v>
      </c>
      <c r="E3411">
        <v>249</v>
      </c>
      <c r="F3411" t="s">
        <v>3920</v>
      </c>
      <c r="G3411" t="s">
        <v>3909</v>
      </c>
    </row>
    <row r="3412" spans="1:7" x14ac:dyDescent="0.3">
      <c r="A3412">
        <v>3410</v>
      </c>
      <c r="B3412" t="s">
        <v>3921</v>
      </c>
      <c r="C3412" t="s">
        <v>3917</v>
      </c>
      <c r="D3412">
        <v>270</v>
      </c>
      <c r="E3412">
        <v>249</v>
      </c>
      <c r="F3412" t="s">
        <v>3920</v>
      </c>
      <c r="G3412" t="s">
        <v>3909</v>
      </c>
    </row>
    <row r="3413" spans="1:7" x14ac:dyDescent="0.3">
      <c r="A3413">
        <v>3411</v>
      </c>
      <c r="B3413" t="s">
        <v>3921</v>
      </c>
      <c r="C3413" t="s">
        <v>3917</v>
      </c>
      <c r="D3413">
        <v>90</v>
      </c>
      <c r="E3413">
        <v>80</v>
      </c>
      <c r="F3413" t="s">
        <v>3918</v>
      </c>
      <c r="G3413" t="s">
        <v>3909</v>
      </c>
    </row>
    <row r="3414" spans="1:7" x14ac:dyDescent="0.3">
      <c r="A3414">
        <v>3412</v>
      </c>
      <c r="B3414" t="s">
        <v>3921</v>
      </c>
      <c r="C3414" t="s">
        <v>3917</v>
      </c>
      <c r="D3414">
        <v>170</v>
      </c>
      <c r="E3414">
        <v>155</v>
      </c>
      <c r="F3414" t="s">
        <v>3919</v>
      </c>
      <c r="G3414" t="s">
        <v>3909</v>
      </c>
    </row>
    <row r="3415" spans="1:7" x14ac:dyDescent="0.3">
      <c r="A3415">
        <v>3413</v>
      </c>
      <c r="B3415" t="s">
        <v>3922</v>
      </c>
      <c r="C3415" t="s">
        <v>3913</v>
      </c>
      <c r="D3415">
        <v>429</v>
      </c>
      <c r="E3415">
        <v>155</v>
      </c>
      <c r="F3415" t="s">
        <v>3923</v>
      </c>
      <c r="G3415" t="s">
        <v>2936</v>
      </c>
    </row>
    <row r="3416" spans="1:7" x14ac:dyDescent="0.3">
      <c r="A3416">
        <v>3414</v>
      </c>
      <c r="B3416" t="s">
        <v>3922</v>
      </c>
      <c r="C3416" t="s">
        <v>3913</v>
      </c>
      <c r="D3416">
        <v>559</v>
      </c>
      <c r="E3416">
        <v>199</v>
      </c>
      <c r="F3416" t="s">
        <v>3924</v>
      </c>
      <c r="G3416" t="s">
        <v>2936</v>
      </c>
    </row>
    <row r="3417" spans="1:7" x14ac:dyDescent="0.3">
      <c r="A3417">
        <v>3415</v>
      </c>
      <c r="B3417" t="s">
        <v>3922</v>
      </c>
      <c r="C3417" t="s">
        <v>3913</v>
      </c>
      <c r="D3417">
        <v>329</v>
      </c>
      <c r="E3417">
        <v>73</v>
      </c>
      <c r="F3417" t="s">
        <v>3925</v>
      </c>
      <c r="G3417" t="s">
        <v>2936</v>
      </c>
    </row>
    <row r="3418" spans="1:7" x14ac:dyDescent="0.3">
      <c r="A3418">
        <v>3416</v>
      </c>
      <c r="B3418" t="s">
        <v>3926</v>
      </c>
      <c r="C3418" t="s">
        <v>3298</v>
      </c>
      <c r="D3418">
        <v>159</v>
      </c>
      <c r="E3418">
        <v>69</v>
      </c>
      <c r="F3418" t="s">
        <v>3927</v>
      </c>
      <c r="G3418" t="s">
        <v>3909</v>
      </c>
    </row>
    <row r="3419" spans="1:7" x14ac:dyDescent="0.3">
      <c r="A3419">
        <v>3417</v>
      </c>
      <c r="B3419" t="s">
        <v>3928</v>
      </c>
      <c r="C3419" t="s">
        <v>3929</v>
      </c>
      <c r="D3419">
        <v>155</v>
      </c>
      <c r="E3419">
        <v>79</v>
      </c>
      <c r="F3419" t="s">
        <v>3927</v>
      </c>
      <c r="G3419" t="s">
        <v>3909</v>
      </c>
    </row>
    <row r="3420" spans="1:7" x14ac:dyDescent="0.3">
      <c r="A3420">
        <v>3418</v>
      </c>
      <c r="B3420" t="s">
        <v>3930</v>
      </c>
      <c r="C3420" t="s">
        <v>3913</v>
      </c>
      <c r="D3420">
        <v>699</v>
      </c>
      <c r="E3420">
        <v>379</v>
      </c>
      <c r="F3420" t="s">
        <v>3927</v>
      </c>
      <c r="G3420" t="s">
        <v>2936</v>
      </c>
    </row>
    <row r="3421" spans="1:7" x14ac:dyDescent="0.3">
      <c r="A3421">
        <v>3419</v>
      </c>
      <c r="B3421" t="s">
        <v>3931</v>
      </c>
      <c r="C3421" t="s">
        <v>3932</v>
      </c>
      <c r="D3421">
        <v>475</v>
      </c>
      <c r="E3421">
        <v>169</v>
      </c>
      <c r="F3421" t="s">
        <v>3933</v>
      </c>
      <c r="G3421" t="s">
        <v>3909</v>
      </c>
    </row>
    <row r="3422" spans="1:7" x14ac:dyDescent="0.3">
      <c r="A3422">
        <v>3420</v>
      </c>
      <c r="B3422" t="s">
        <v>3934</v>
      </c>
      <c r="C3422" t="s">
        <v>3132</v>
      </c>
      <c r="D3422">
        <v>500</v>
      </c>
      <c r="E3422">
        <v>369</v>
      </c>
      <c r="F3422" t="s">
        <v>3924</v>
      </c>
      <c r="G3422" t="s">
        <v>3909</v>
      </c>
    </row>
    <row r="3423" spans="1:7" x14ac:dyDescent="0.3">
      <c r="A3423">
        <v>3421</v>
      </c>
      <c r="B3423" t="s">
        <v>3935</v>
      </c>
      <c r="C3423" t="s">
        <v>3298</v>
      </c>
      <c r="D3423">
        <v>645</v>
      </c>
      <c r="E3423">
        <v>179</v>
      </c>
      <c r="F3423" t="s">
        <v>3914</v>
      </c>
      <c r="G3423" t="s">
        <v>2936</v>
      </c>
    </row>
    <row r="3424" spans="1:7" x14ac:dyDescent="0.3">
      <c r="A3424">
        <v>3422</v>
      </c>
      <c r="B3424" t="s">
        <v>3936</v>
      </c>
      <c r="C3424" t="s">
        <v>3132</v>
      </c>
      <c r="D3424">
        <v>499</v>
      </c>
      <c r="E3424">
        <v>209</v>
      </c>
      <c r="F3424" t="s">
        <v>3914</v>
      </c>
      <c r="G3424" t="s">
        <v>2936</v>
      </c>
    </row>
    <row r="3425" spans="1:7" x14ac:dyDescent="0.3">
      <c r="A3425">
        <v>3423</v>
      </c>
      <c r="B3425" t="s">
        <v>3937</v>
      </c>
      <c r="C3425" t="s">
        <v>3932</v>
      </c>
      <c r="D3425">
        <v>145</v>
      </c>
      <c r="E3425">
        <v>65</v>
      </c>
      <c r="F3425" t="s">
        <v>3927</v>
      </c>
      <c r="G3425" t="s">
        <v>3909</v>
      </c>
    </row>
    <row r="3426" spans="1:7" x14ac:dyDescent="0.3">
      <c r="A3426">
        <v>3424</v>
      </c>
      <c r="B3426" t="s">
        <v>3938</v>
      </c>
      <c r="C3426" t="s">
        <v>3132</v>
      </c>
      <c r="D3426">
        <v>400</v>
      </c>
      <c r="E3426">
        <v>209</v>
      </c>
      <c r="F3426" t="s">
        <v>3924</v>
      </c>
      <c r="G3426" t="s">
        <v>2936</v>
      </c>
    </row>
    <row r="3427" spans="1:7" x14ac:dyDescent="0.3">
      <c r="A3427">
        <v>3425</v>
      </c>
      <c r="B3427" t="s">
        <v>3939</v>
      </c>
      <c r="C3427" t="s">
        <v>3929</v>
      </c>
      <c r="D3427">
        <v>150</v>
      </c>
      <c r="E3427">
        <v>77</v>
      </c>
      <c r="F3427" t="s">
        <v>3925</v>
      </c>
      <c r="G3427" t="s">
        <v>3909</v>
      </c>
    </row>
    <row r="3428" spans="1:7" x14ac:dyDescent="0.3">
      <c r="A3428">
        <v>3426</v>
      </c>
      <c r="B3428" t="s">
        <v>3940</v>
      </c>
      <c r="C3428" t="s">
        <v>3132</v>
      </c>
      <c r="D3428">
        <v>450</v>
      </c>
      <c r="E3428">
        <v>359</v>
      </c>
      <c r="F3428" t="s">
        <v>3941</v>
      </c>
      <c r="G3428" t="s">
        <v>3909</v>
      </c>
    </row>
    <row r="3429" spans="1:7" x14ac:dyDescent="0.3">
      <c r="A3429">
        <v>3427</v>
      </c>
      <c r="B3429" t="s">
        <v>3942</v>
      </c>
      <c r="C3429" t="s">
        <v>3132</v>
      </c>
      <c r="D3429">
        <v>310</v>
      </c>
      <c r="E3429">
        <v>179</v>
      </c>
      <c r="F3429" t="s">
        <v>3933</v>
      </c>
      <c r="G3429" t="s">
        <v>3909</v>
      </c>
    </row>
    <row r="3430" spans="1:7" x14ac:dyDescent="0.3">
      <c r="A3430">
        <v>3428</v>
      </c>
      <c r="B3430" t="s">
        <v>3943</v>
      </c>
      <c r="C3430" t="s">
        <v>3132</v>
      </c>
      <c r="D3430">
        <v>120</v>
      </c>
      <c r="E3430">
        <v>41</v>
      </c>
      <c r="F3430" t="s">
        <v>3944</v>
      </c>
      <c r="G3430" t="s">
        <v>2936</v>
      </c>
    </row>
    <row r="3431" spans="1:7" x14ac:dyDescent="0.3">
      <c r="A3431">
        <v>3429</v>
      </c>
      <c r="B3431" t="s">
        <v>3945</v>
      </c>
      <c r="C3431" t="s">
        <v>3298</v>
      </c>
      <c r="D3431">
        <v>549</v>
      </c>
      <c r="E3431">
        <v>349</v>
      </c>
      <c r="F3431" t="s">
        <v>3927</v>
      </c>
      <c r="G3431" t="s">
        <v>3909</v>
      </c>
    </row>
    <row r="3432" spans="1:7" x14ac:dyDescent="0.3">
      <c r="A3432">
        <v>3430</v>
      </c>
      <c r="B3432" t="s">
        <v>3946</v>
      </c>
      <c r="C3432" t="s">
        <v>3132</v>
      </c>
      <c r="D3432">
        <v>155</v>
      </c>
      <c r="E3432">
        <v>95</v>
      </c>
      <c r="F3432" t="s">
        <v>3947</v>
      </c>
      <c r="G3432" t="s">
        <v>3909</v>
      </c>
    </row>
    <row r="3433" spans="1:7" x14ac:dyDescent="0.3">
      <c r="A3433">
        <v>3431</v>
      </c>
      <c r="B3433" t="s">
        <v>3948</v>
      </c>
      <c r="C3433" t="s">
        <v>3132</v>
      </c>
      <c r="D3433">
        <v>1999</v>
      </c>
      <c r="E3433">
        <v>999</v>
      </c>
      <c r="F3433" t="s">
        <v>2712</v>
      </c>
      <c r="G3433" t="s">
        <v>3909</v>
      </c>
    </row>
    <row r="3434" spans="1:7" x14ac:dyDescent="0.3">
      <c r="A3434">
        <v>3432</v>
      </c>
      <c r="B3434" t="s">
        <v>3949</v>
      </c>
      <c r="C3434" t="s">
        <v>3132</v>
      </c>
      <c r="D3434">
        <v>599</v>
      </c>
      <c r="E3434">
        <v>449</v>
      </c>
      <c r="F3434" t="s">
        <v>3950</v>
      </c>
      <c r="G3434" t="s">
        <v>3909</v>
      </c>
    </row>
    <row r="3435" spans="1:7" x14ac:dyDescent="0.3">
      <c r="A3435">
        <v>3433</v>
      </c>
      <c r="B3435" t="s">
        <v>3951</v>
      </c>
      <c r="C3435" t="s">
        <v>3132</v>
      </c>
      <c r="D3435">
        <v>649</v>
      </c>
      <c r="E3435">
        <v>529</v>
      </c>
      <c r="F3435" t="s">
        <v>3952</v>
      </c>
      <c r="G3435" t="s">
        <v>3909</v>
      </c>
    </row>
    <row r="3436" spans="1:7" x14ac:dyDescent="0.3">
      <c r="A3436">
        <v>3434</v>
      </c>
      <c r="B3436" t="s">
        <v>3942</v>
      </c>
      <c r="C3436" t="s">
        <v>3132</v>
      </c>
      <c r="D3436">
        <v>450</v>
      </c>
      <c r="E3436">
        <v>319</v>
      </c>
      <c r="F3436" t="s">
        <v>3953</v>
      </c>
      <c r="G3436" t="s">
        <v>3909</v>
      </c>
    </row>
    <row r="3437" spans="1:7" x14ac:dyDescent="0.3">
      <c r="A3437">
        <v>3435</v>
      </c>
      <c r="B3437" t="s">
        <v>3954</v>
      </c>
      <c r="C3437" t="s">
        <v>17</v>
      </c>
      <c r="D3437">
        <v>190</v>
      </c>
      <c r="E3437">
        <v>169</v>
      </c>
      <c r="F3437" t="s">
        <v>2712</v>
      </c>
      <c r="G3437" t="s">
        <v>3909</v>
      </c>
    </row>
    <row r="3438" spans="1:7" x14ac:dyDescent="0.3">
      <c r="A3438">
        <v>3436</v>
      </c>
      <c r="B3438" t="s">
        <v>3955</v>
      </c>
      <c r="C3438" t="s">
        <v>17</v>
      </c>
      <c r="D3438">
        <v>666</v>
      </c>
      <c r="E3438">
        <v>599</v>
      </c>
      <c r="F3438" t="s">
        <v>2712</v>
      </c>
      <c r="G3438" t="s">
        <v>3909</v>
      </c>
    </row>
    <row r="3439" spans="1:7" x14ac:dyDescent="0.3">
      <c r="A3439">
        <v>3437</v>
      </c>
      <c r="B3439" t="s">
        <v>3956</v>
      </c>
      <c r="C3439" t="s">
        <v>17</v>
      </c>
      <c r="D3439">
        <v>245</v>
      </c>
      <c r="E3439">
        <v>219</v>
      </c>
      <c r="F3439" t="s">
        <v>2712</v>
      </c>
      <c r="G3439" t="s">
        <v>3909</v>
      </c>
    </row>
    <row r="3440" spans="1:7" x14ac:dyDescent="0.3">
      <c r="A3440">
        <v>3438</v>
      </c>
      <c r="B3440" t="s">
        <v>3957</v>
      </c>
      <c r="C3440" t="s">
        <v>3907</v>
      </c>
      <c r="D3440">
        <v>210</v>
      </c>
      <c r="E3440">
        <v>159</v>
      </c>
      <c r="F3440" t="s">
        <v>3958</v>
      </c>
      <c r="G3440" t="s">
        <v>3909</v>
      </c>
    </row>
    <row r="3441" spans="1:7" x14ac:dyDescent="0.3">
      <c r="A3441">
        <v>3439</v>
      </c>
      <c r="B3441" t="s">
        <v>3959</v>
      </c>
      <c r="C3441" t="s">
        <v>3132</v>
      </c>
      <c r="D3441">
        <v>1999</v>
      </c>
      <c r="E3441">
        <v>999</v>
      </c>
      <c r="F3441" t="s">
        <v>2712</v>
      </c>
      <c r="G3441" t="s">
        <v>3909</v>
      </c>
    </row>
    <row r="3442" spans="1:7" x14ac:dyDescent="0.3">
      <c r="A3442">
        <v>3440</v>
      </c>
      <c r="B3442" t="s">
        <v>3960</v>
      </c>
      <c r="C3442" t="s">
        <v>3961</v>
      </c>
      <c r="D3442">
        <v>2499</v>
      </c>
      <c r="E3442">
        <v>799</v>
      </c>
      <c r="F3442" t="s">
        <v>2712</v>
      </c>
      <c r="G3442" t="s">
        <v>3909</v>
      </c>
    </row>
    <row r="3443" spans="1:7" x14ac:dyDescent="0.3">
      <c r="A3443">
        <v>3441</v>
      </c>
      <c r="B3443" t="s">
        <v>3962</v>
      </c>
      <c r="C3443" t="s">
        <v>17</v>
      </c>
      <c r="D3443">
        <v>200</v>
      </c>
      <c r="E3443">
        <v>179</v>
      </c>
      <c r="F3443" t="s">
        <v>2712</v>
      </c>
      <c r="G3443" t="s">
        <v>3909</v>
      </c>
    </row>
    <row r="3444" spans="1:7" x14ac:dyDescent="0.3">
      <c r="A3444">
        <v>3442</v>
      </c>
      <c r="B3444" t="s">
        <v>3963</v>
      </c>
      <c r="C3444" t="s">
        <v>17</v>
      </c>
      <c r="D3444">
        <v>840</v>
      </c>
      <c r="E3444">
        <v>749</v>
      </c>
      <c r="F3444" t="s">
        <v>2712</v>
      </c>
      <c r="G3444" t="s">
        <v>3909</v>
      </c>
    </row>
    <row r="3445" spans="1:7" x14ac:dyDescent="0.3">
      <c r="A3445">
        <v>3443</v>
      </c>
      <c r="B3445" t="s">
        <v>3964</v>
      </c>
      <c r="C3445" t="s">
        <v>3917</v>
      </c>
      <c r="D3445">
        <v>315</v>
      </c>
      <c r="E3445">
        <v>239</v>
      </c>
      <c r="F3445" t="s">
        <v>3844</v>
      </c>
      <c r="G3445" t="s">
        <v>3909</v>
      </c>
    </row>
    <row r="3446" spans="1:7" x14ac:dyDescent="0.3">
      <c r="A3446">
        <v>3444</v>
      </c>
      <c r="B3446" t="s">
        <v>3965</v>
      </c>
      <c r="C3446" t="s">
        <v>3907</v>
      </c>
      <c r="D3446">
        <v>325</v>
      </c>
      <c r="E3446">
        <v>215</v>
      </c>
      <c r="F3446" t="s">
        <v>3924</v>
      </c>
      <c r="G3446" t="s">
        <v>3909</v>
      </c>
    </row>
    <row r="3447" spans="1:7" x14ac:dyDescent="0.3">
      <c r="A3447">
        <v>3445</v>
      </c>
      <c r="B3447" t="s">
        <v>3966</v>
      </c>
      <c r="C3447" t="s">
        <v>17</v>
      </c>
      <c r="D3447">
        <v>170</v>
      </c>
      <c r="E3447">
        <v>149</v>
      </c>
      <c r="F3447" t="s">
        <v>2712</v>
      </c>
      <c r="G3447" t="s">
        <v>3909</v>
      </c>
    </row>
    <row r="3448" spans="1:7" x14ac:dyDescent="0.3">
      <c r="A3448">
        <v>3446</v>
      </c>
      <c r="B3448" t="s">
        <v>3967</v>
      </c>
      <c r="C3448" t="s">
        <v>17</v>
      </c>
      <c r="D3448">
        <v>145</v>
      </c>
      <c r="E3448">
        <v>129</v>
      </c>
      <c r="F3448" t="s">
        <v>2712</v>
      </c>
      <c r="G3448" t="s">
        <v>3909</v>
      </c>
    </row>
    <row r="3449" spans="1:7" x14ac:dyDescent="0.3">
      <c r="A3449">
        <v>3447</v>
      </c>
      <c r="B3449" t="s">
        <v>3968</v>
      </c>
      <c r="C3449" t="s">
        <v>3132</v>
      </c>
      <c r="D3449">
        <v>799</v>
      </c>
      <c r="E3449">
        <v>699</v>
      </c>
      <c r="F3449" t="s">
        <v>2712</v>
      </c>
      <c r="G3449" t="s">
        <v>3909</v>
      </c>
    </row>
    <row r="3450" spans="1:7" x14ac:dyDescent="0.3">
      <c r="A3450">
        <v>3448</v>
      </c>
      <c r="B3450" t="s">
        <v>3969</v>
      </c>
      <c r="C3450" t="s">
        <v>17</v>
      </c>
      <c r="D3450">
        <v>170</v>
      </c>
      <c r="E3450">
        <v>149</v>
      </c>
      <c r="F3450" t="s">
        <v>2712</v>
      </c>
      <c r="G3450" t="s">
        <v>3909</v>
      </c>
    </row>
    <row r="3451" spans="1:7" x14ac:dyDescent="0.3">
      <c r="A3451">
        <v>3449</v>
      </c>
      <c r="B3451" t="s">
        <v>3970</v>
      </c>
      <c r="C3451" t="s">
        <v>3132</v>
      </c>
      <c r="D3451">
        <v>2399</v>
      </c>
      <c r="E3451">
        <v>1099</v>
      </c>
      <c r="F3451" t="s">
        <v>2712</v>
      </c>
      <c r="G3451" t="s">
        <v>3909</v>
      </c>
    </row>
    <row r="3452" spans="1:7" x14ac:dyDescent="0.3">
      <c r="A3452">
        <v>3450</v>
      </c>
      <c r="B3452" t="s">
        <v>3971</v>
      </c>
      <c r="C3452" t="s">
        <v>3132</v>
      </c>
      <c r="D3452">
        <v>1399</v>
      </c>
      <c r="E3452">
        <v>999</v>
      </c>
      <c r="F3452" t="s">
        <v>2712</v>
      </c>
      <c r="G3452" t="s">
        <v>3909</v>
      </c>
    </row>
    <row r="3453" spans="1:7" x14ac:dyDescent="0.3">
      <c r="A3453">
        <v>3451</v>
      </c>
      <c r="B3453" t="s">
        <v>3972</v>
      </c>
      <c r="C3453" t="s">
        <v>3132</v>
      </c>
      <c r="D3453">
        <v>1999</v>
      </c>
      <c r="E3453">
        <v>799</v>
      </c>
      <c r="F3453" t="s">
        <v>2712</v>
      </c>
      <c r="G3453" t="s">
        <v>3909</v>
      </c>
    </row>
    <row r="3454" spans="1:7" x14ac:dyDescent="0.3">
      <c r="A3454">
        <v>3452</v>
      </c>
      <c r="B3454" t="s">
        <v>3973</v>
      </c>
      <c r="C3454" t="s">
        <v>3132</v>
      </c>
      <c r="D3454">
        <v>2049</v>
      </c>
      <c r="E3454">
        <v>999</v>
      </c>
      <c r="F3454" t="s">
        <v>2712</v>
      </c>
      <c r="G3454" t="s">
        <v>3909</v>
      </c>
    </row>
    <row r="3455" spans="1:7" x14ac:dyDescent="0.3">
      <c r="A3455">
        <v>3453</v>
      </c>
      <c r="B3455" t="s">
        <v>3974</v>
      </c>
      <c r="C3455" t="s">
        <v>3006</v>
      </c>
      <c r="D3455">
        <v>2450</v>
      </c>
      <c r="E3455">
        <v>2195</v>
      </c>
      <c r="F3455" t="s">
        <v>3004</v>
      </c>
      <c r="G3455" t="s">
        <v>3478</v>
      </c>
    </row>
    <row r="3456" spans="1:7" x14ac:dyDescent="0.3">
      <c r="A3456">
        <v>3454</v>
      </c>
      <c r="B3456" t="s">
        <v>3975</v>
      </c>
      <c r="C3456" t="s">
        <v>3006</v>
      </c>
      <c r="D3456">
        <v>3600</v>
      </c>
      <c r="E3456">
        <v>2895</v>
      </c>
      <c r="F3456" t="s">
        <v>3004</v>
      </c>
      <c r="G3456" t="s">
        <v>3478</v>
      </c>
    </row>
    <row r="3457" spans="1:7" x14ac:dyDescent="0.3">
      <c r="A3457">
        <v>3455</v>
      </c>
      <c r="B3457" t="s">
        <v>3976</v>
      </c>
      <c r="C3457" t="s">
        <v>3006</v>
      </c>
      <c r="D3457">
        <v>2000</v>
      </c>
      <c r="E3457">
        <v>1695</v>
      </c>
      <c r="F3457" t="s">
        <v>2712</v>
      </c>
      <c r="G3457" t="s">
        <v>3478</v>
      </c>
    </row>
    <row r="3458" spans="1:7" x14ac:dyDescent="0.3">
      <c r="A3458">
        <v>3456</v>
      </c>
      <c r="B3458" t="s">
        <v>3977</v>
      </c>
      <c r="C3458" t="s">
        <v>17</v>
      </c>
      <c r="D3458">
        <v>88</v>
      </c>
      <c r="E3458">
        <v>79</v>
      </c>
      <c r="F3458" t="s">
        <v>3978</v>
      </c>
      <c r="G3458" t="s">
        <v>3478</v>
      </c>
    </row>
    <row r="3459" spans="1:7" x14ac:dyDescent="0.3">
      <c r="A3459">
        <v>3457</v>
      </c>
      <c r="B3459" t="s">
        <v>3979</v>
      </c>
      <c r="C3459" t="s">
        <v>17</v>
      </c>
      <c r="D3459">
        <v>73</v>
      </c>
      <c r="E3459">
        <v>65</v>
      </c>
      <c r="F3459" t="s">
        <v>2712</v>
      </c>
      <c r="G3459" t="s">
        <v>3478</v>
      </c>
    </row>
    <row r="3460" spans="1:7" x14ac:dyDescent="0.3">
      <c r="A3460">
        <v>3458</v>
      </c>
      <c r="B3460" t="s">
        <v>3980</v>
      </c>
      <c r="C3460" t="s">
        <v>17</v>
      </c>
      <c r="D3460">
        <v>22</v>
      </c>
      <c r="E3460">
        <v>18</v>
      </c>
      <c r="F3460" t="s">
        <v>3396</v>
      </c>
      <c r="G3460" t="s">
        <v>3478</v>
      </c>
    </row>
    <row r="3461" spans="1:7" x14ac:dyDescent="0.3">
      <c r="A3461">
        <v>3459</v>
      </c>
      <c r="B3461" t="s">
        <v>3981</v>
      </c>
      <c r="C3461" t="s">
        <v>356</v>
      </c>
      <c r="D3461">
        <v>7669</v>
      </c>
      <c r="E3461">
        <v>4999</v>
      </c>
      <c r="F3461" t="s">
        <v>2712</v>
      </c>
      <c r="G3461" t="s">
        <v>3478</v>
      </c>
    </row>
    <row r="3462" spans="1:7" x14ac:dyDescent="0.3">
      <c r="A3462">
        <v>3460</v>
      </c>
      <c r="B3462" t="s">
        <v>3982</v>
      </c>
      <c r="C3462" t="s">
        <v>3983</v>
      </c>
      <c r="D3462">
        <v>620</v>
      </c>
      <c r="E3462">
        <v>399</v>
      </c>
      <c r="F3462" t="s">
        <v>3004</v>
      </c>
      <c r="G3462" t="s">
        <v>3909</v>
      </c>
    </row>
    <row r="3463" spans="1:7" x14ac:dyDescent="0.3">
      <c r="A3463">
        <v>3461</v>
      </c>
      <c r="B3463" t="s">
        <v>3984</v>
      </c>
      <c r="C3463" t="s">
        <v>3985</v>
      </c>
      <c r="D3463">
        <v>205</v>
      </c>
      <c r="E3463">
        <v>99</v>
      </c>
      <c r="F3463" t="s">
        <v>2712</v>
      </c>
      <c r="G3463" t="s">
        <v>3985</v>
      </c>
    </row>
    <row r="3464" spans="1:7" x14ac:dyDescent="0.3">
      <c r="A3464">
        <v>3462</v>
      </c>
      <c r="B3464" t="s">
        <v>3986</v>
      </c>
      <c r="C3464" t="s">
        <v>3983</v>
      </c>
      <c r="D3464">
        <v>410</v>
      </c>
      <c r="E3464">
        <v>299</v>
      </c>
      <c r="F3464" t="s">
        <v>3987</v>
      </c>
      <c r="G3464" t="s">
        <v>3909</v>
      </c>
    </row>
    <row r="3465" spans="1:7" x14ac:dyDescent="0.3">
      <c r="A3465">
        <v>3463</v>
      </c>
      <c r="B3465" t="s">
        <v>3988</v>
      </c>
      <c r="C3465" t="s">
        <v>3985</v>
      </c>
      <c r="D3465">
        <v>299</v>
      </c>
      <c r="E3465">
        <v>49</v>
      </c>
      <c r="F3465" t="s">
        <v>2712</v>
      </c>
      <c r="G3465" t="s">
        <v>3985</v>
      </c>
    </row>
    <row r="3466" spans="1:7" x14ac:dyDescent="0.3">
      <c r="A3466">
        <v>3464</v>
      </c>
      <c r="B3466" t="s">
        <v>3989</v>
      </c>
      <c r="C3466" t="s">
        <v>3985</v>
      </c>
      <c r="D3466">
        <v>360</v>
      </c>
      <c r="E3466">
        <v>179</v>
      </c>
      <c r="F3466" t="s">
        <v>3990</v>
      </c>
      <c r="G3466" t="s">
        <v>3985</v>
      </c>
    </row>
    <row r="3467" spans="1:7" x14ac:dyDescent="0.3">
      <c r="A3467">
        <v>3465</v>
      </c>
      <c r="B3467" t="s">
        <v>3991</v>
      </c>
      <c r="C3467" t="s">
        <v>3992</v>
      </c>
      <c r="D3467">
        <v>349</v>
      </c>
      <c r="E3467">
        <v>99</v>
      </c>
      <c r="F3467" t="s">
        <v>2712</v>
      </c>
      <c r="G3467" t="s">
        <v>3992</v>
      </c>
    </row>
    <row r="3468" spans="1:7" x14ac:dyDescent="0.3">
      <c r="A3468">
        <v>3466</v>
      </c>
      <c r="B3468" t="s">
        <v>3993</v>
      </c>
      <c r="C3468" t="s">
        <v>3994</v>
      </c>
      <c r="D3468">
        <v>1299</v>
      </c>
      <c r="E3468">
        <v>499</v>
      </c>
      <c r="F3468" t="s">
        <v>2712</v>
      </c>
      <c r="G3468" t="s">
        <v>3909</v>
      </c>
    </row>
    <row r="3469" spans="1:7" x14ac:dyDescent="0.3">
      <c r="A3469">
        <v>3467</v>
      </c>
      <c r="B3469" t="s">
        <v>3995</v>
      </c>
      <c r="C3469" t="s">
        <v>3992</v>
      </c>
      <c r="D3469">
        <v>399</v>
      </c>
      <c r="E3469">
        <v>199</v>
      </c>
      <c r="F3469" t="s">
        <v>2712</v>
      </c>
      <c r="G3469" t="s">
        <v>3909</v>
      </c>
    </row>
    <row r="3470" spans="1:7" x14ac:dyDescent="0.3">
      <c r="A3470">
        <v>3468</v>
      </c>
      <c r="B3470" t="s">
        <v>3996</v>
      </c>
      <c r="C3470" t="s">
        <v>3997</v>
      </c>
      <c r="D3470">
        <v>190</v>
      </c>
      <c r="E3470">
        <v>139</v>
      </c>
      <c r="F3470" t="s">
        <v>3004</v>
      </c>
      <c r="G3470" t="s">
        <v>3909</v>
      </c>
    </row>
    <row r="3471" spans="1:7" x14ac:dyDescent="0.3">
      <c r="A3471">
        <v>3469</v>
      </c>
      <c r="B3471" t="s">
        <v>3998</v>
      </c>
      <c r="C3471" t="s">
        <v>3994</v>
      </c>
      <c r="D3471">
        <v>1999</v>
      </c>
      <c r="E3471">
        <v>699</v>
      </c>
      <c r="F3471" t="s">
        <v>2712</v>
      </c>
      <c r="G3471" t="s">
        <v>3909</v>
      </c>
    </row>
    <row r="3472" spans="1:7" x14ac:dyDescent="0.3">
      <c r="A3472">
        <v>3470</v>
      </c>
      <c r="B3472" t="s">
        <v>3999</v>
      </c>
      <c r="C3472" t="s">
        <v>17</v>
      </c>
      <c r="D3472">
        <v>249</v>
      </c>
      <c r="E3472">
        <v>49</v>
      </c>
      <c r="F3472" t="s">
        <v>3004</v>
      </c>
      <c r="G3472" t="s">
        <v>3909</v>
      </c>
    </row>
    <row r="3473" spans="1:7" x14ac:dyDescent="0.3">
      <c r="A3473">
        <v>3471</v>
      </c>
      <c r="B3473" t="s">
        <v>4000</v>
      </c>
      <c r="C3473" t="s">
        <v>3961</v>
      </c>
      <c r="D3473">
        <v>999</v>
      </c>
      <c r="E3473">
        <v>399</v>
      </c>
      <c r="F3473" t="s">
        <v>2712</v>
      </c>
      <c r="G3473" t="s">
        <v>3909</v>
      </c>
    </row>
    <row r="3474" spans="1:7" x14ac:dyDescent="0.3">
      <c r="A3474">
        <v>3472</v>
      </c>
      <c r="B3474" t="s">
        <v>4001</v>
      </c>
      <c r="C3474" t="s">
        <v>3961</v>
      </c>
      <c r="D3474">
        <v>599</v>
      </c>
      <c r="E3474">
        <v>325</v>
      </c>
      <c r="F3474" t="s">
        <v>2712</v>
      </c>
      <c r="G3474" t="s">
        <v>3909</v>
      </c>
    </row>
    <row r="3475" spans="1:7" x14ac:dyDescent="0.3">
      <c r="A3475">
        <v>3473</v>
      </c>
      <c r="B3475" t="s">
        <v>4002</v>
      </c>
      <c r="C3475" t="s">
        <v>3961</v>
      </c>
      <c r="D3475">
        <v>699</v>
      </c>
      <c r="E3475">
        <v>299</v>
      </c>
      <c r="F3475" t="s">
        <v>2712</v>
      </c>
      <c r="G3475" t="s">
        <v>3909</v>
      </c>
    </row>
    <row r="3476" spans="1:7" x14ac:dyDescent="0.3">
      <c r="A3476">
        <v>3474</v>
      </c>
      <c r="B3476" t="s">
        <v>4003</v>
      </c>
      <c r="C3476" t="s">
        <v>3961</v>
      </c>
      <c r="D3476">
        <v>349</v>
      </c>
      <c r="E3476">
        <v>99</v>
      </c>
      <c r="F3476" t="s">
        <v>2712</v>
      </c>
      <c r="G3476" t="s">
        <v>3909</v>
      </c>
    </row>
    <row r="3477" spans="1:7" x14ac:dyDescent="0.3">
      <c r="A3477">
        <v>3475</v>
      </c>
      <c r="B3477" t="s">
        <v>4004</v>
      </c>
      <c r="C3477" t="s">
        <v>4005</v>
      </c>
      <c r="D3477">
        <v>600</v>
      </c>
      <c r="E3477">
        <v>450</v>
      </c>
      <c r="F3477" t="s">
        <v>2712</v>
      </c>
      <c r="G3477" t="s">
        <v>3909</v>
      </c>
    </row>
    <row r="3478" spans="1:7" x14ac:dyDescent="0.3">
      <c r="A3478">
        <v>3476</v>
      </c>
      <c r="B3478" t="s">
        <v>4006</v>
      </c>
      <c r="C3478" t="s">
        <v>4007</v>
      </c>
      <c r="D3478">
        <v>515</v>
      </c>
      <c r="E3478">
        <v>386</v>
      </c>
      <c r="F3478" t="s">
        <v>2712</v>
      </c>
      <c r="G3478" t="s">
        <v>3909</v>
      </c>
    </row>
    <row r="3479" spans="1:7" x14ac:dyDescent="0.3">
      <c r="A3479">
        <v>3477</v>
      </c>
      <c r="B3479" t="s">
        <v>4008</v>
      </c>
      <c r="C3479" t="s">
        <v>4007</v>
      </c>
      <c r="D3479">
        <v>80</v>
      </c>
      <c r="E3479">
        <v>60</v>
      </c>
      <c r="F3479" t="s">
        <v>2712</v>
      </c>
      <c r="G3479" t="s">
        <v>3909</v>
      </c>
    </row>
    <row r="3480" spans="1:7" x14ac:dyDescent="0.3">
      <c r="A3480">
        <v>3478</v>
      </c>
      <c r="B3480" t="s">
        <v>4009</v>
      </c>
      <c r="C3480" t="s">
        <v>4007</v>
      </c>
      <c r="D3480">
        <v>70</v>
      </c>
      <c r="E3480">
        <v>52</v>
      </c>
      <c r="F3480" t="s">
        <v>2712</v>
      </c>
      <c r="G3480" t="s">
        <v>3909</v>
      </c>
    </row>
    <row r="3481" spans="1:7" x14ac:dyDescent="0.3">
      <c r="A3481">
        <v>3479</v>
      </c>
      <c r="B3481" t="s">
        <v>4010</v>
      </c>
      <c r="C3481" t="s">
        <v>4007</v>
      </c>
      <c r="D3481">
        <v>330</v>
      </c>
      <c r="E3481">
        <v>247</v>
      </c>
      <c r="F3481" t="s">
        <v>2712</v>
      </c>
      <c r="G3481" t="s">
        <v>3909</v>
      </c>
    </row>
    <row r="3482" spans="1:7" x14ac:dyDescent="0.3">
      <c r="A3482">
        <v>3480</v>
      </c>
      <c r="B3482" t="s">
        <v>4011</v>
      </c>
      <c r="C3482" t="s">
        <v>2932</v>
      </c>
      <c r="D3482">
        <v>50</v>
      </c>
      <c r="E3482">
        <v>45</v>
      </c>
      <c r="F3482" t="s">
        <v>11</v>
      </c>
      <c r="G3482" t="s">
        <v>3478</v>
      </c>
    </row>
    <row r="3483" spans="1:7" x14ac:dyDescent="0.3">
      <c r="A3483">
        <v>3481</v>
      </c>
      <c r="B3483" t="s">
        <v>4012</v>
      </c>
      <c r="C3483" t="s">
        <v>2932</v>
      </c>
      <c r="D3483">
        <v>35</v>
      </c>
      <c r="E3483">
        <v>32</v>
      </c>
      <c r="F3483" t="s">
        <v>845</v>
      </c>
      <c r="G3483" t="s">
        <v>3478</v>
      </c>
    </row>
    <row r="3484" spans="1:7" x14ac:dyDescent="0.3">
      <c r="A3484">
        <v>3482</v>
      </c>
      <c r="B3484" t="s">
        <v>4013</v>
      </c>
      <c r="C3484" t="s">
        <v>4014</v>
      </c>
      <c r="D3484">
        <v>75</v>
      </c>
      <c r="E3484">
        <v>55</v>
      </c>
      <c r="F3484" t="s">
        <v>2712</v>
      </c>
      <c r="G3484" t="s">
        <v>3478</v>
      </c>
    </row>
    <row r="3485" spans="1:7" x14ac:dyDescent="0.3">
      <c r="A3485">
        <v>3483</v>
      </c>
      <c r="B3485" t="s">
        <v>4015</v>
      </c>
      <c r="C3485" t="s">
        <v>4014</v>
      </c>
      <c r="D3485">
        <v>45</v>
      </c>
      <c r="E3485">
        <v>35</v>
      </c>
      <c r="F3485" t="s">
        <v>4016</v>
      </c>
      <c r="G3485" t="s">
        <v>3478</v>
      </c>
    </row>
    <row r="3486" spans="1:7" x14ac:dyDescent="0.3">
      <c r="A3486">
        <v>3484</v>
      </c>
      <c r="B3486" t="s">
        <v>4015</v>
      </c>
      <c r="C3486" t="s">
        <v>4014</v>
      </c>
      <c r="D3486">
        <v>75</v>
      </c>
      <c r="E3486">
        <v>55</v>
      </c>
      <c r="F3486" t="s">
        <v>2712</v>
      </c>
      <c r="G3486" t="s">
        <v>3478</v>
      </c>
    </row>
    <row r="3487" spans="1:7" x14ac:dyDescent="0.3">
      <c r="A3487">
        <v>3485</v>
      </c>
      <c r="B3487" t="s">
        <v>4017</v>
      </c>
      <c r="C3487" t="s">
        <v>2932</v>
      </c>
      <c r="D3487">
        <v>30</v>
      </c>
      <c r="E3487">
        <v>27</v>
      </c>
      <c r="F3487" t="s">
        <v>4018</v>
      </c>
      <c r="G3487" t="s">
        <v>3478</v>
      </c>
    </row>
    <row r="3488" spans="1:7" x14ac:dyDescent="0.3">
      <c r="A3488">
        <v>3486</v>
      </c>
      <c r="B3488" t="s">
        <v>4019</v>
      </c>
      <c r="C3488" t="s">
        <v>2932</v>
      </c>
      <c r="D3488">
        <v>30</v>
      </c>
      <c r="E3488">
        <v>27</v>
      </c>
      <c r="F3488" t="s">
        <v>1118</v>
      </c>
      <c r="G3488" t="s">
        <v>3478</v>
      </c>
    </row>
    <row r="3489" spans="1:7" x14ac:dyDescent="0.3">
      <c r="A3489">
        <v>3487</v>
      </c>
      <c r="B3489" t="s">
        <v>4020</v>
      </c>
      <c r="C3489" t="s">
        <v>2932</v>
      </c>
      <c r="D3489">
        <v>99</v>
      </c>
      <c r="E3489">
        <v>89</v>
      </c>
      <c r="F3489" t="s">
        <v>2712</v>
      </c>
      <c r="G3489" t="s">
        <v>3478</v>
      </c>
    </row>
    <row r="3490" spans="1:7" x14ac:dyDescent="0.3">
      <c r="A3490">
        <v>3488</v>
      </c>
      <c r="B3490" t="s">
        <v>4021</v>
      </c>
      <c r="C3490" t="s">
        <v>2932</v>
      </c>
      <c r="D3490">
        <v>85</v>
      </c>
      <c r="E3490">
        <v>76</v>
      </c>
      <c r="F3490" t="s">
        <v>12</v>
      </c>
      <c r="G3490" t="s">
        <v>3478</v>
      </c>
    </row>
    <row r="3491" spans="1:7" x14ac:dyDescent="0.3">
      <c r="A3491">
        <v>3489</v>
      </c>
      <c r="B3491" t="s">
        <v>4022</v>
      </c>
      <c r="C3491" t="s">
        <v>17</v>
      </c>
      <c r="D3491">
        <v>300</v>
      </c>
      <c r="E3491">
        <v>199</v>
      </c>
      <c r="F3491" t="s">
        <v>1242</v>
      </c>
      <c r="G3491" t="s">
        <v>3478</v>
      </c>
    </row>
    <row r="3492" spans="1:7" x14ac:dyDescent="0.3">
      <c r="A3492">
        <v>3490</v>
      </c>
      <c r="B3492" t="s">
        <v>4023</v>
      </c>
      <c r="C3492" t="s">
        <v>4024</v>
      </c>
      <c r="D3492">
        <v>6799</v>
      </c>
      <c r="E3492">
        <v>4149</v>
      </c>
      <c r="F3492" t="s">
        <v>2712</v>
      </c>
      <c r="G3492" t="s">
        <v>3478</v>
      </c>
    </row>
    <row r="3493" spans="1:7" x14ac:dyDescent="0.3">
      <c r="A3493">
        <v>3491</v>
      </c>
      <c r="B3493" t="s">
        <v>4025</v>
      </c>
      <c r="C3493" t="s">
        <v>4024</v>
      </c>
      <c r="D3493">
        <v>8999</v>
      </c>
      <c r="E3493">
        <v>4699</v>
      </c>
      <c r="F3493" t="s">
        <v>2712</v>
      </c>
      <c r="G3493" t="s">
        <v>3478</v>
      </c>
    </row>
    <row r="3494" spans="1:7" x14ac:dyDescent="0.3">
      <c r="A3494">
        <v>3492</v>
      </c>
      <c r="B3494" t="s">
        <v>4026</v>
      </c>
      <c r="C3494" t="s">
        <v>4027</v>
      </c>
      <c r="D3494">
        <v>725</v>
      </c>
      <c r="E3494">
        <v>665</v>
      </c>
      <c r="F3494" t="s">
        <v>2708</v>
      </c>
      <c r="G3494" t="s">
        <v>2936</v>
      </c>
    </row>
    <row r="3495" spans="1:7" x14ac:dyDescent="0.3">
      <c r="A3495">
        <v>3493</v>
      </c>
      <c r="B3495" t="s">
        <v>4028</v>
      </c>
      <c r="C3495" t="s">
        <v>4029</v>
      </c>
      <c r="D3495">
        <v>40</v>
      </c>
      <c r="E3495">
        <v>36</v>
      </c>
      <c r="F3495" t="s">
        <v>1111</v>
      </c>
      <c r="G3495" t="s">
        <v>2945</v>
      </c>
    </row>
    <row r="3496" spans="1:7" x14ac:dyDescent="0.3">
      <c r="A3496">
        <v>3494</v>
      </c>
      <c r="B3496" t="s">
        <v>4030</v>
      </c>
      <c r="C3496" t="s">
        <v>4027</v>
      </c>
      <c r="D3496">
        <v>40</v>
      </c>
      <c r="E3496">
        <v>36</v>
      </c>
      <c r="F3496" t="s">
        <v>1697</v>
      </c>
      <c r="G3496" t="s">
        <v>2936</v>
      </c>
    </row>
    <row r="3497" spans="1:7" x14ac:dyDescent="0.3">
      <c r="A3497">
        <v>3495</v>
      </c>
      <c r="B3497" t="s">
        <v>4031</v>
      </c>
      <c r="C3497" t="s">
        <v>4029</v>
      </c>
      <c r="D3497">
        <v>465</v>
      </c>
      <c r="E3497">
        <v>350</v>
      </c>
      <c r="F3497" t="s">
        <v>1899</v>
      </c>
      <c r="G3497" t="s">
        <v>2945</v>
      </c>
    </row>
    <row r="3498" spans="1:7" x14ac:dyDescent="0.3">
      <c r="A3498">
        <v>3496</v>
      </c>
      <c r="B3498" t="s">
        <v>4032</v>
      </c>
      <c r="C3498" t="s">
        <v>4027</v>
      </c>
      <c r="D3498">
        <v>760</v>
      </c>
      <c r="E3498">
        <v>684</v>
      </c>
      <c r="F3498" t="s">
        <v>2708</v>
      </c>
      <c r="G3498" t="s">
        <v>2936</v>
      </c>
    </row>
    <row r="3499" spans="1:7" x14ac:dyDescent="0.3">
      <c r="A3499">
        <v>3497</v>
      </c>
      <c r="B3499" t="s">
        <v>4033</v>
      </c>
      <c r="C3499" t="s">
        <v>4034</v>
      </c>
      <c r="D3499">
        <v>100</v>
      </c>
      <c r="E3499">
        <v>86</v>
      </c>
      <c r="F3499" t="s">
        <v>1501</v>
      </c>
      <c r="G3499" t="s">
        <v>4035</v>
      </c>
    </row>
    <row r="3500" spans="1:7" x14ac:dyDescent="0.3">
      <c r="A3500">
        <v>3498</v>
      </c>
      <c r="B3500" t="s">
        <v>4033</v>
      </c>
      <c r="C3500" t="s">
        <v>4034</v>
      </c>
      <c r="D3500">
        <v>252</v>
      </c>
      <c r="E3500">
        <v>206</v>
      </c>
      <c r="F3500" t="s">
        <v>4036</v>
      </c>
      <c r="G3500" t="s">
        <v>4035</v>
      </c>
    </row>
    <row r="3501" spans="1:7" x14ac:dyDescent="0.3">
      <c r="A3501">
        <v>3499</v>
      </c>
      <c r="B3501" t="s">
        <v>4033</v>
      </c>
      <c r="C3501" t="s">
        <v>4034</v>
      </c>
      <c r="D3501">
        <v>392</v>
      </c>
      <c r="E3501">
        <v>312</v>
      </c>
      <c r="F3501" t="s">
        <v>4037</v>
      </c>
      <c r="G3501" t="s">
        <v>4035</v>
      </c>
    </row>
    <row r="3502" spans="1:7" x14ac:dyDescent="0.3">
      <c r="A3502">
        <v>3500</v>
      </c>
      <c r="B3502" t="s">
        <v>4038</v>
      </c>
      <c r="C3502" t="s">
        <v>4039</v>
      </c>
      <c r="D3502">
        <v>235</v>
      </c>
      <c r="E3502">
        <v>117</v>
      </c>
      <c r="F3502" t="s">
        <v>4036</v>
      </c>
      <c r="G3502" t="s">
        <v>4035</v>
      </c>
    </row>
    <row r="3503" spans="1:7" x14ac:dyDescent="0.3">
      <c r="A3503">
        <v>3501</v>
      </c>
      <c r="B3503" t="s">
        <v>4038</v>
      </c>
      <c r="C3503" t="s">
        <v>4039</v>
      </c>
      <c r="D3503">
        <v>315</v>
      </c>
      <c r="E3503">
        <v>157</v>
      </c>
      <c r="F3503" t="s">
        <v>4040</v>
      </c>
      <c r="G3503" t="s">
        <v>4035</v>
      </c>
    </row>
    <row r="3504" spans="1:7" x14ac:dyDescent="0.3">
      <c r="A3504">
        <v>3502</v>
      </c>
      <c r="B3504" t="s">
        <v>4041</v>
      </c>
      <c r="C3504" t="s">
        <v>4042</v>
      </c>
      <c r="D3504">
        <v>64</v>
      </c>
      <c r="E3504">
        <v>59</v>
      </c>
      <c r="F3504" t="s">
        <v>834</v>
      </c>
      <c r="G3504" t="s">
        <v>4035</v>
      </c>
    </row>
    <row r="3505" spans="1:7" x14ac:dyDescent="0.3">
      <c r="A3505">
        <v>3503</v>
      </c>
      <c r="B3505" t="s">
        <v>4041</v>
      </c>
      <c r="C3505" t="s">
        <v>4042</v>
      </c>
      <c r="D3505">
        <v>280</v>
      </c>
      <c r="E3505">
        <v>222</v>
      </c>
      <c r="F3505" t="s">
        <v>4036</v>
      </c>
      <c r="G3505" t="s">
        <v>4035</v>
      </c>
    </row>
    <row r="3506" spans="1:7" x14ac:dyDescent="0.3">
      <c r="A3506">
        <v>3504</v>
      </c>
      <c r="B3506" t="s">
        <v>4041</v>
      </c>
      <c r="C3506" t="s">
        <v>4042</v>
      </c>
      <c r="D3506">
        <v>472</v>
      </c>
      <c r="E3506">
        <v>387</v>
      </c>
      <c r="F3506" t="s">
        <v>4037</v>
      </c>
      <c r="G3506" t="s">
        <v>4035</v>
      </c>
    </row>
    <row r="3507" spans="1:7" x14ac:dyDescent="0.3">
      <c r="A3507">
        <v>3505</v>
      </c>
      <c r="B3507" t="s">
        <v>4043</v>
      </c>
      <c r="C3507" t="s">
        <v>4044</v>
      </c>
      <c r="D3507">
        <v>155</v>
      </c>
      <c r="E3507">
        <v>130</v>
      </c>
      <c r="F3507" t="s">
        <v>4036</v>
      </c>
      <c r="G3507" t="s">
        <v>4035</v>
      </c>
    </row>
    <row r="3508" spans="1:7" x14ac:dyDescent="0.3">
      <c r="A3508">
        <v>3506</v>
      </c>
      <c r="B3508" t="s">
        <v>4043</v>
      </c>
      <c r="C3508" t="s">
        <v>4044</v>
      </c>
      <c r="D3508">
        <v>220</v>
      </c>
      <c r="E3508">
        <v>179</v>
      </c>
      <c r="F3508" t="s">
        <v>4037</v>
      </c>
      <c r="G3508" t="s">
        <v>4035</v>
      </c>
    </row>
    <row r="3509" spans="1:7" x14ac:dyDescent="0.3">
      <c r="A3509">
        <v>3507</v>
      </c>
      <c r="B3509" t="s">
        <v>4045</v>
      </c>
      <c r="C3509" t="s">
        <v>4046</v>
      </c>
      <c r="D3509">
        <v>82</v>
      </c>
      <c r="E3509">
        <v>70</v>
      </c>
      <c r="F3509" t="s">
        <v>188</v>
      </c>
      <c r="G3509" t="s">
        <v>4035</v>
      </c>
    </row>
    <row r="3510" spans="1:7" x14ac:dyDescent="0.3">
      <c r="A3510">
        <v>3508</v>
      </c>
      <c r="B3510" t="s">
        <v>4045</v>
      </c>
      <c r="C3510" t="s">
        <v>4046</v>
      </c>
      <c r="D3510">
        <v>243</v>
      </c>
      <c r="E3510">
        <v>218</v>
      </c>
      <c r="F3510" t="s">
        <v>4047</v>
      </c>
      <c r="G3510" t="s">
        <v>4035</v>
      </c>
    </row>
    <row r="3511" spans="1:7" x14ac:dyDescent="0.3">
      <c r="A3511">
        <v>3509</v>
      </c>
      <c r="B3511" t="s">
        <v>4048</v>
      </c>
      <c r="C3511" t="s">
        <v>4049</v>
      </c>
      <c r="D3511">
        <v>198</v>
      </c>
      <c r="E3511">
        <v>163</v>
      </c>
      <c r="F3511" t="s">
        <v>4047</v>
      </c>
      <c r="G3511" t="s">
        <v>4035</v>
      </c>
    </row>
    <row r="3512" spans="1:7" x14ac:dyDescent="0.3">
      <c r="A3512">
        <v>3510</v>
      </c>
      <c r="B3512" t="s">
        <v>4050</v>
      </c>
      <c r="C3512" t="s">
        <v>4051</v>
      </c>
      <c r="D3512">
        <v>150</v>
      </c>
      <c r="E3512">
        <v>89</v>
      </c>
      <c r="F3512" t="s">
        <v>201</v>
      </c>
      <c r="G3512" t="s">
        <v>4035</v>
      </c>
    </row>
    <row r="3513" spans="1:7" x14ac:dyDescent="0.3">
      <c r="A3513">
        <v>3511</v>
      </c>
      <c r="B3513" t="s">
        <v>4052</v>
      </c>
      <c r="C3513" t="s">
        <v>4049</v>
      </c>
      <c r="D3513">
        <v>198</v>
      </c>
      <c r="E3513">
        <v>163</v>
      </c>
      <c r="F3513" t="s">
        <v>4047</v>
      </c>
      <c r="G3513" t="s">
        <v>4035</v>
      </c>
    </row>
    <row r="3514" spans="1:7" x14ac:dyDescent="0.3">
      <c r="A3514">
        <v>3512</v>
      </c>
      <c r="B3514" t="s">
        <v>4053</v>
      </c>
      <c r="C3514" t="s">
        <v>4051</v>
      </c>
      <c r="D3514">
        <v>150</v>
      </c>
      <c r="E3514">
        <v>89</v>
      </c>
      <c r="F3514" t="s">
        <v>4047</v>
      </c>
      <c r="G3514" t="s">
        <v>4035</v>
      </c>
    </row>
    <row r="3515" spans="1:7" x14ac:dyDescent="0.3">
      <c r="A3515">
        <v>3513</v>
      </c>
      <c r="B3515" t="s">
        <v>4054</v>
      </c>
      <c r="C3515" t="s">
        <v>2864</v>
      </c>
      <c r="D3515">
        <v>150</v>
      </c>
      <c r="E3515">
        <v>136</v>
      </c>
      <c r="F3515" t="s">
        <v>4055</v>
      </c>
      <c r="G3515" t="s">
        <v>4035</v>
      </c>
    </row>
    <row r="3516" spans="1:7" x14ac:dyDescent="0.3">
      <c r="A3516">
        <v>3514</v>
      </c>
      <c r="B3516" t="s">
        <v>4054</v>
      </c>
      <c r="C3516" t="s">
        <v>2864</v>
      </c>
      <c r="D3516">
        <v>322</v>
      </c>
      <c r="E3516">
        <v>302</v>
      </c>
      <c r="F3516" t="s">
        <v>4056</v>
      </c>
      <c r="G3516" t="s">
        <v>4035</v>
      </c>
    </row>
    <row r="3517" spans="1:7" x14ac:dyDescent="0.3">
      <c r="A3517">
        <v>3515</v>
      </c>
      <c r="B3517" t="s">
        <v>4057</v>
      </c>
      <c r="C3517" t="s">
        <v>4058</v>
      </c>
      <c r="D3517">
        <v>235</v>
      </c>
      <c r="E3517">
        <v>189</v>
      </c>
      <c r="F3517" t="s">
        <v>4036</v>
      </c>
      <c r="G3517" t="s">
        <v>4035</v>
      </c>
    </row>
    <row r="3518" spans="1:7" x14ac:dyDescent="0.3">
      <c r="A3518">
        <v>3516</v>
      </c>
      <c r="B3518" t="s">
        <v>4059</v>
      </c>
      <c r="C3518" t="s">
        <v>4060</v>
      </c>
      <c r="D3518">
        <v>150</v>
      </c>
      <c r="E3518">
        <v>135</v>
      </c>
      <c r="F3518" t="s">
        <v>4061</v>
      </c>
      <c r="G3518" t="s">
        <v>4035</v>
      </c>
    </row>
    <row r="3519" spans="1:7" x14ac:dyDescent="0.3">
      <c r="A3519">
        <v>3517</v>
      </c>
      <c r="B3519" t="s">
        <v>4059</v>
      </c>
      <c r="C3519" t="s">
        <v>4060</v>
      </c>
      <c r="D3519">
        <v>222</v>
      </c>
      <c r="E3519">
        <v>182</v>
      </c>
      <c r="F3519" t="s">
        <v>4037</v>
      </c>
      <c r="G3519" t="s">
        <v>4035</v>
      </c>
    </row>
    <row r="3520" spans="1:7" x14ac:dyDescent="0.3">
      <c r="A3520">
        <v>3518</v>
      </c>
      <c r="B3520" t="s">
        <v>4059</v>
      </c>
      <c r="C3520" t="s">
        <v>4060</v>
      </c>
      <c r="D3520">
        <v>250</v>
      </c>
      <c r="E3520">
        <v>206</v>
      </c>
      <c r="F3520" t="s">
        <v>4062</v>
      </c>
      <c r="G3520" t="s">
        <v>4035</v>
      </c>
    </row>
    <row r="3521" spans="1:7" x14ac:dyDescent="0.3">
      <c r="A3521">
        <v>3519</v>
      </c>
      <c r="B3521" t="s">
        <v>4063</v>
      </c>
      <c r="C3521" t="s">
        <v>2864</v>
      </c>
      <c r="D3521">
        <v>322</v>
      </c>
      <c r="E3521">
        <v>289</v>
      </c>
      <c r="F3521" t="s">
        <v>4037</v>
      </c>
      <c r="G3521" t="s">
        <v>4035</v>
      </c>
    </row>
    <row r="3522" spans="1:7" x14ac:dyDescent="0.3">
      <c r="A3522">
        <v>3520</v>
      </c>
      <c r="B3522" t="s">
        <v>4064</v>
      </c>
      <c r="C3522" t="s">
        <v>4065</v>
      </c>
      <c r="D3522">
        <v>243</v>
      </c>
      <c r="E3522">
        <v>215</v>
      </c>
      <c r="F3522" t="s">
        <v>1002</v>
      </c>
      <c r="G3522" t="s">
        <v>4035</v>
      </c>
    </row>
    <row r="3523" spans="1:7" x14ac:dyDescent="0.3">
      <c r="A3523">
        <v>3521</v>
      </c>
      <c r="B3523" t="s">
        <v>4066</v>
      </c>
      <c r="C3523" t="s">
        <v>4042</v>
      </c>
      <c r="D3523">
        <v>296</v>
      </c>
      <c r="E3523">
        <v>272</v>
      </c>
      <c r="F3523" t="s">
        <v>4061</v>
      </c>
      <c r="G3523" t="s">
        <v>4035</v>
      </c>
    </row>
    <row r="3524" spans="1:7" x14ac:dyDescent="0.3">
      <c r="A3524">
        <v>3522</v>
      </c>
      <c r="B3524" t="s">
        <v>4067</v>
      </c>
      <c r="C3524" t="s">
        <v>4068</v>
      </c>
      <c r="D3524">
        <v>140</v>
      </c>
      <c r="E3524">
        <v>126</v>
      </c>
      <c r="F3524" t="s">
        <v>4037</v>
      </c>
      <c r="G3524" t="s">
        <v>4035</v>
      </c>
    </row>
    <row r="3525" spans="1:7" x14ac:dyDescent="0.3">
      <c r="A3525">
        <v>3523</v>
      </c>
      <c r="B3525" t="s">
        <v>4069</v>
      </c>
      <c r="C3525" t="s">
        <v>4044</v>
      </c>
      <c r="D3525">
        <v>260</v>
      </c>
      <c r="E3525">
        <v>219</v>
      </c>
      <c r="F3525" t="s">
        <v>4037</v>
      </c>
      <c r="G3525" t="s">
        <v>4035</v>
      </c>
    </row>
    <row r="3526" spans="1:7" x14ac:dyDescent="0.3">
      <c r="A3526">
        <v>3524</v>
      </c>
      <c r="B3526" t="s">
        <v>4064</v>
      </c>
      <c r="C3526" t="s">
        <v>4065</v>
      </c>
      <c r="D3526">
        <v>109</v>
      </c>
      <c r="E3526">
        <v>101</v>
      </c>
      <c r="F3526" t="s">
        <v>4070</v>
      </c>
      <c r="G3526" t="s">
        <v>4035</v>
      </c>
    </row>
    <row r="3527" spans="1:7" x14ac:dyDescent="0.3">
      <c r="A3527">
        <v>3525</v>
      </c>
      <c r="B3527" t="s">
        <v>4064</v>
      </c>
      <c r="C3527" t="s">
        <v>4065</v>
      </c>
      <c r="D3527">
        <v>204</v>
      </c>
      <c r="E3527">
        <v>178</v>
      </c>
      <c r="F3527" t="s">
        <v>4061</v>
      </c>
      <c r="G3527" t="s">
        <v>4035</v>
      </c>
    </row>
    <row r="3528" spans="1:7" x14ac:dyDescent="0.3">
      <c r="A3528">
        <v>3526</v>
      </c>
      <c r="B3528" t="s">
        <v>4071</v>
      </c>
      <c r="C3528" t="s">
        <v>4051</v>
      </c>
      <c r="D3528">
        <v>150</v>
      </c>
      <c r="E3528">
        <v>89</v>
      </c>
      <c r="F3528" t="s">
        <v>201</v>
      </c>
      <c r="G3528" t="s">
        <v>4035</v>
      </c>
    </row>
    <row r="3529" spans="1:7" x14ac:dyDescent="0.3">
      <c r="A3529">
        <v>3527</v>
      </c>
      <c r="B3529" t="s">
        <v>4072</v>
      </c>
      <c r="C3529" t="s">
        <v>356</v>
      </c>
      <c r="D3529">
        <v>189</v>
      </c>
      <c r="E3529">
        <v>149</v>
      </c>
      <c r="F3529" t="s">
        <v>4047</v>
      </c>
      <c r="G3529" t="s">
        <v>4035</v>
      </c>
    </row>
    <row r="3530" spans="1:7" x14ac:dyDescent="0.3">
      <c r="A3530">
        <v>3528</v>
      </c>
      <c r="B3530" t="s">
        <v>4073</v>
      </c>
      <c r="C3530" t="s">
        <v>4074</v>
      </c>
      <c r="D3530">
        <v>172</v>
      </c>
      <c r="E3530">
        <v>127</v>
      </c>
      <c r="F3530" t="s">
        <v>4062</v>
      </c>
      <c r="G3530" t="s">
        <v>4035</v>
      </c>
    </row>
    <row r="3531" spans="1:7" x14ac:dyDescent="0.3">
      <c r="A3531">
        <v>3529</v>
      </c>
      <c r="B3531" t="s">
        <v>4075</v>
      </c>
      <c r="C3531" t="s">
        <v>2864</v>
      </c>
      <c r="D3531">
        <v>322</v>
      </c>
      <c r="E3531">
        <v>286</v>
      </c>
      <c r="F3531" t="s">
        <v>4037</v>
      </c>
      <c r="G3531" t="s">
        <v>4035</v>
      </c>
    </row>
    <row r="3532" spans="1:7" x14ac:dyDescent="0.3">
      <c r="A3532">
        <v>3530</v>
      </c>
      <c r="B3532" t="s">
        <v>4075</v>
      </c>
      <c r="C3532" t="s">
        <v>2864</v>
      </c>
      <c r="D3532">
        <v>150</v>
      </c>
      <c r="E3532">
        <v>135</v>
      </c>
      <c r="F3532" t="s">
        <v>4055</v>
      </c>
      <c r="G3532" t="s">
        <v>4035</v>
      </c>
    </row>
    <row r="3533" spans="1:7" x14ac:dyDescent="0.3">
      <c r="A3533">
        <v>3531</v>
      </c>
      <c r="B3533" t="s">
        <v>4076</v>
      </c>
      <c r="C3533" t="s">
        <v>356</v>
      </c>
      <c r="D3533">
        <v>224</v>
      </c>
      <c r="E3533">
        <v>196</v>
      </c>
      <c r="F3533" t="s">
        <v>4061</v>
      </c>
      <c r="G3533" t="s">
        <v>4035</v>
      </c>
    </row>
    <row r="3534" spans="1:7" x14ac:dyDescent="0.3">
      <c r="A3534">
        <v>3532</v>
      </c>
      <c r="B3534" t="s">
        <v>4077</v>
      </c>
      <c r="C3534" t="s">
        <v>4034</v>
      </c>
      <c r="D3534">
        <v>339</v>
      </c>
      <c r="E3534">
        <v>279</v>
      </c>
      <c r="F3534" t="s">
        <v>4037</v>
      </c>
      <c r="G3534" t="s">
        <v>4035</v>
      </c>
    </row>
    <row r="3535" spans="1:7" x14ac:dyDescent="0.3">
      <c r="A3535">
        <v>3533</v>
      </c>
      <c r="B3535" t="s">
        <v>4078</v>
      </c>
      <c r="C3535" t="s">
        <v>4039</v>
      </c>
      <c r="D3535">
        <v>235</v>
      </c>
      <c r="E3535">
        <v>117</v>
      </c>
      <c r="F3535" t="s">
        <v>4036</v>
      </c>
      <c r="G3535" t="s">
        <v>4035</v>
      </c>
    </row>
    <row r="3536" spans="1:7" x14ac:dyDescent="0.3">
      <c r="A3536">
        <v>3534</v>
      </c>
      <c r="B3536" t="s">
        <v>4079</v>
      </c>
      <c r="C3536" t="s">
        <v>4065</v>
      </c>
      <c r="D3536">
        <v>42</v>
      </c>
      <c r="E3536">
        <v>38</v>
      </c>
      <c r="F3536" t="s">
        <v>11</v>
      </c>
      <c r="G3536" t="s">
        <v>4035</v>
      </c>
    </row>
    <row r="3537" spans="1:7" x14ac:dyDescent="0.3">
      <c r="A3537">
        <v>3535</v>
      </c>
      <c r="B3537" t="s">
        <v>4079</v>
      </c>
      <c r="C3537" t="s">
        <v>4065</v>
      </c>
      <c r="D3537">
        <v>163</v>
      </c>
      <c r="E3537">
        <v>151</v>
      </c>
      <c r="F3537" t="s">
        <v>4061</v>
      </c>
      <c r="G3537" t="s">
        <v>4035</v>
      </c>
    </row>
    <row r="3538" spans="1:7" x14ac:dyDescent="0.3">
      <c r="A3538">
        <v>3536</v>
      </c>
      <c r="B3538" t="s">
        <v>4080</v>
      </c>
      <c r="C3538" t="s">
        <v>4044</v>
      </c>
      <c r="D3538">
        <v>220</v>
      </c>
      <c r="E3538">
        <v>198</v>
      </c>
      <c r="F3538" t="s">
        <v>4037</v>
      </c>
      <c r="G3538" t="s">
        <v>4035</v>
      </c>
    </row>
    <row r="3539" spans="1:7" x14ac:dyDescent="0.3">
      <c r="A3539">
        <v>3537</v>
      </c>
      <c r="B3539" t="s">
        <v>4081</v>
      </c>
      <c r="C3539" t="s">
        <v>4068</v>
      </c>
      <c r="D3539">
        <v>270</v>
      </c>
      <c r="E3539">
        <v>240</v>
      </c>
      <c r="F3539" t="s">
        <v>4082</v>
      </c>
      <c r="G3539" t="s">
        <v>4035</v>
      </c>
    </row>
    <row r="3540" spans="1:7" x14ac:dyDescent="0.3">
      <c r="A3540">
        <v>3538</v>
      </c>
      <c r="B3540" t="s">
        <v>4083</v>
      </c>
      <c r="C3540" t="s">
        <v>4084</v>
      </c>
      <c r="D3540">
        <v>135</v>
      </c>
      <c r="E3540">
        <v>111</v>
      </c>
      <c r="F3540" t="s">
        <v>4036</v>
      </c>
      <c r="G3540" t="s">
        <v>4035</v>
      </c>
    </row>
    <row r="3541" spans="1:7" x14ac:dyDescent="0.3">
      <c r="A3541">
        <v>3539</v>
      </c>
      <c r="B3541" t="s">
        <v>4063</v>
      </c>
      <c r="C3541" t="s">
        <v>2864</v>
      </c>
      <c r="D3541">
        <v>150</v>
      </c>
      <c r="E3541">
        <v>138</v>
      </c>
      <c r="F3541" t="s">
        <v>4055</v>
      </c>
      <c r="G3541" t="s">
        <v>4035</v>
      </c>
    </row>
    <row r="3542" spans="1:7" x14ac:dyDescent="0.3">
      <c r="A3542">
        <v>3540</v>
      </c>
      <c r="B3542" t="s">
        <v>4085</v>
      </c>
      <c r="C3542" t="s">
        <v>4046</v>
      </c>
      <c r="D3542">
        <v>220</v>
      </c>
      <c r="E3542">
        <v>195</v>
      </c>
      <c r="F3542" t="s">
        <v>4047</v>
      </c>
      <c r="G3542" t="s">
        <v>4035</v>
      </c>
    </row>
    <row r="3543" spans="1:7" x14ac:dyDescent="0.3">
      <c r="A3543">
        <v>3541</v>
      </c>
      <c r="B3543" t="s">
        <v>4086</v>
      </c>
      <c r="C3543" t="s">
        <v>4049</v>
      </c>
      <c r="D3543">
        <v>198</v>
      </c>
      <c r="E3543">
        <v>178</v>
      </c>
      <c r="F3543" t="s">
        <v>4047</v>
      </c>
      <c r="G3543" t="s">
        <v>4035</v>
      </c>
    </row>
    <row r="3544" spans="1:7" x14ac:dyDescent="0.3">
      <c r="A3544">
        <v>3542</v>
      </c>
      <c r="B3544" t="s">
        <v>4087</v>
      </c>
      <c r="C3544" t="s">
        <v>4060</v>
      </c>
      <c r="D3544">
        <v>222</v>
      </c>
      <c r="E3544">
        <v>184</v>
      </c>
      <c r="F3544" t="s">
        <v>4037</v>
      </c>
      <c r="G3544" t="s">
        <v>4035</v>
      </c>
    </row>
    <row r="3545" spans="1:7" x14ac:dyDescent="0.3">
      <c r="A3545">
        <v>3543</v>
      </c>
      <c r="B3545" t="s">
        <v>4088</v>
      </c>
      <c r="C3545" t="s">
        <v>356</v>
      </c>
      <c r="D3545">
        <v>155</v>
      </c>
      <c r="E3545">
        <v>144</v>
      </c>
      <c r="F3545" t="s">
        <v>4061</v>
      </c>
      <c r="G3545" t="s">
        <v>4035</v>
      </c>
    </row>
    <row r="3546" spans="1:7" x14ac:dyDescent="0.3">
      <c r="A3546">
        <v>3544</v>
      </c>
      <c r="B3546" t="s">
        <v>4089</v>
      </c>
      <c r="C3546" t="s">
        <v>4090</v>
      </c>
      <c r="D3546">
        <v>80</v>
      </c>
      <c r="E3546">
        <v>40</v>
      </c>
      <c r="F3546" t="s">
        <v>1501</v>
      </c>
      <c r="G3546" t="s">
        <v>4035</v>
      </c>
    </row>
    <row r="3547" spans="1:7" x14ac:dyDescent="0.3">
      <c r="A3547">
        <v>3545</v>
      </c>
      <c r="B3547" t="s">
        <v>4091</v>
      </c>
      <c r="C3547" t="s">
        <v>356</v>
      </c>
      <c r="D3547">
        <v>189</v>
      </c>
      <c r="E3547">
        <v>149</v>
      </c>
      <c r="F3547" t="s">
        <v>4047</v>
      </c>
      <c r="G3547" t="s">
        <v>4035</v>
      </c>
    </row>
    <row r="3548" spans="1:7" x14ac:dyDescent="0.3">
      <c r="A3548">
        <v>3546</v>
      </c>
      <c r="B3548" t="s">
        <v>4092</v>
      </c>
      <c r="C3548" t="s">
        <v>4093</v>
      </c>
      <c r="D3548">
        <v>80</v>
      </c>
      <c r="E3548">
        <v>40</v>
      </c>
      <c r="F3548" t="s">
        <v>1501</v>
      </c>
      <c r="G3548" t="s">
        <v>4035</v>
      </c>
    </row>
    <row r="3549" spans="1:7" x14ac:dyDescent="0.3">
      <c r="A3549">
        <v>3547</v>
      </c>
      <c r="B3549" t="s">
        <v>4094</v>
      </c>
      <c r="C3549" t="s">
        <v>4090</v>
      </c>
      <c r="D3549">
        <v>80</v>
      </c>
      <c r="E3549">
        <v>40</v>
      </c>
      <c r="F3549" t="s">
        <v>1501</v>
      </c>
      <c r="G3549" t="s">
        <v>4035</v>
      </c>
    </row>
    <row r="3550" spans="1:7" x14ac:dyDescent="0.3">
      <c r="A3550">
        <v>3548</v>
      </c>
      <c r="B3550" t="s">
        <v>4095</v>
      </c>
      <c r="C3550" t="s">
        <v>4042</v>
      </c>
      <c r="D3550">
        <v>357</v>
      </c>
      <c r="E3550">
        <v>312</v>
      </c>
      <c r="F3550" t="s">
        <v>4096</v>
      </c>
      <c r="G3550" t="s">
        <v>4035</v>
      </c>
    </row>
    <row r="3551" spans="1:7" x14ac:dyDescent="0.3">
      <c r="A3551">
        <v>3549</v>
      </c>
      <c r="B3551" t="s">
        <v>4097</v>
      </c>
      <c r="C3551" t="s">
        <v>4098</v>
      </c>
      <c r="D3551">
        <v>280</v>
      </c>
      <c r="E3551">
        <v>190</v>
      </c>
      <c r="F3551" t="s">
        <v>4037</v>
      </c>
      <c r="G3551" t="s">
        <v>4035</v>
      </c>
    </row>
    <row r="3552" spans="1:7" x14ac:dyDescent="0.3">
      <c r="A3552">
        <v>3550</v>
      </c>
      <c r="B3552" t="s">
        <v>4099</v>
      </c>
      <c r="C3552" t="s">
        <v>4090</v>
      </c>
      <c r="D3552">
        <v>80</v>
      </c>
      <c r="E3552">
        <v>40</v>
      </c>
      <c r="F3552" t="s">
        <v>1501</v>
      </c>
      <c r="G3552" t="s">
        <v>4035</v>
      </c>
    </row>
    <row r="3553" spans="1:7" x14ac:dyDescent="0.3">
      <c r="A3553">
        <v>3551</v>
      </c>
      <c r="B3553" t="s">
        <v>4100</v>
      </c>
      <c r="C3553" t="s">
        <v>4049</v>
      </c>
      <c r="D3553">
        <v>330</v>
      </c>
      <c r="E3553">
        <v>255</v>
      </c>
      <c r="F3553" t="s">
        <v>4037</v>
      </c>
      <c r="G3553" t="s">
        <v>4035</v>
      </c>
    </row>
    <row r="3554" spans="1:7" x14ac:dyDescent="0.3">
      <c r="A3554">
        <v>3552</v>
      </c>
      <c r="B3554" t="s">
        <v>4101</v>
      </c>
      <c r="C3554" t="s">
        <v>4090</v>
      </c>
      <c r="D3554">
        <v>80</v>
      </c>
      <c r="E3554">
        <v>40</v>
      </c>
      <c r="F3554" t="s">
        <v>1501</v>
      </c>
      <c r="G3554" t="s">
        <v>4035</v>
      </c>
    </row>
    <row r="3555" spans="1:7" x14ac:dyDescent="0.3">
      <c r="A3555">
        <v>3553</v>
      </c>
      <c r="B3555" t="s">
        <v>4102</v>
      </c>
      <c r="C3555" t="s">
        <v>4074</v>
      </c>
      <c r="D3555">
        <v>172</v>
      </c>
      <c r="E3555">
        <v>132</v>
      </c>
      <c r="F3555" t="s">
        <v>4062</v>
      </c>
      <c r="G3555" t="s">
        <v>4035</v>
      </c>
    </row>
    <row r="3556" spans="1:7" x14ac:dyDescent="0.3">
      <c r="A3556">
        <v>3554</v>
      </c>
      <c r="B3556" t="s">
        <v>4103</v>
      </c>
      <c r="C3556" t="s">
        <v>4104</v>
      </c>
      <c r="D3556">
        <v>160</v>
      </c>
      <c r="E3556">
        <v>145</v>
      </c>
      <c r="F3556" t="s">
        <v>4061</v>
      </c>
      <c r="G3556" t="s">
        <v>4035</v>
      </c>
    </row>
    <row r="3557" spans="1:7" x14ac:dyDescent="0.3">
      <c r="A3557">
        <v>3555</v>
      </c>
      <c r="B3557" t="s">
        <v>4105</v>
      </c>
      <c r="C3557" t="s">
        <v>4060</v>
      </c>
      <c r="D3557">
        <v>209</v>
      </c>
      <c r="E3557">
        <v>185</v>
      </c>
      <c r="F3557" t="s">
        <v>4037</v>
      </c>
      <c r="G3557" t="s">
        <v>4035</v>
      </c>
    </row>
    <row r="3558" spans="1:7" x14ac:dyDescent="0.3">
      <c r="A3558">
        <v>3556</v>
      </c>
      <c r="B3558" t="s">
        <v>4106</v>
      </c>
      <c r="C3558" t="s">
        <v>4098</v>
      </c>
      <c r="D3558">
        <v>340</v>
      </c>
      <c r="E3558">
        <v>259</v>
      </c>
      <c r="F3558" t="s">
        <v>4037</v>
      </c>
      <c r="G3558" t="s">
        <v>4035</v>
      </c>
    </row>
    <row r="3559" spans="1:7" x14ac:dyDescent="0.3">
      <c r="A3559">
        <v>3557</v>
      </c>
      <c r="B3559" t="s">
        <v>4107</v>
      </c>
      <c r="C3559" t="s">
        <v>4090</v>
      </c>
      <c r="D3559">
        <v>80</v>
      </c>
      <c r="E3559">
        <v>40</v>
      </c>
      <c r="F3559" t="s">
        <v>1501</v>
      </c>
      <c r="G3559" t="s">
        <v>4035</v>
      </c>
    </row>
    <row r="3560" spans="1:7" x14ac:dyDescent="0.3">
      <c r="A3560">
        <v>3558</v>
      </c>
      <c r="B3560" t="s">
        <v>4108</v>
      </c>
      <c r="C3560" t="s">
        <v>356</v>
      </c>
      <c r="D3560">
        <v>189</v>
      </c>
      <c r="E3560">
        <v>149</v>
      </c>
      <c r="F3560" t="s">
        <v>4047</v>
      </c>
      <c r="G3560" t="s">
        <v>4035</v>
      </c>
    </row>
    <row r="3561" spans="1:7" x14ac:dyDescent="0.3">
      <c r="A3561">
        <v>3559</v>
      </c>
      <c r="B3561" t="s">
        <v>4109</v>
      </c>
      <c r="C3561" t="s">
        <v>4042</v>
      </c>
      <c r="D3561">
        <v>490</v>
      </c>
      <c r="E3561">
        <v>425</v>
      </c>
      <c r="F3561" t="s">
        <v>76</v>
      </c>
      <c r="G3561" t="s">
        <v>4035</v>
      </c>
    </row>
    <row r="3562" spans="1:7" x14ac:dyDescent="0.3">
      <c r="A3562">
        <v>3560</v>
      </c>
      <c r="B3562" t="s">
        <v>4110</v>
      </c>
      <c r="C3562" t="s">
        <v>4060</v>
      </c>
      <c r="D3562">
        <v>270</v>
      </c>
      <c r="E3562">
        <v>135</v>
      </c>
      <c r="F3562" t="s">
        <v>4036</v>
      </c>
      <c r="G3562" t="s">
        <v>4035</v>
      </c>
    </row>
    <row r="3563" spans="1:7" x14ac:dyDescent="0.3">
      <c r="A3563">
        <v>3561</v>
      </c>
      <c r="B3563" t="s">
        <v>4111</v>
      </c>
      <c r="C3563" t="s">
        <v>356</v>
      </c>
      <c r="D3563">
        <v>250</v>
      </c>
      <c r="E3563">
        <v>225</v>
      </c>
      <c r="F3563" t="s">
        <v>4062</v>
      </c>
      <c r="G3563" t="s">
        <v>4035</v>
      </c>
    </row>
    <row r="3564" spans="1:7" x14ac:dyDescent="0.3">
      <c r="A3564">
        <v>3562</v>
      </c>
      <c r="B3564" t="s">
        <v>4112</v>
      </c>
      <c r="C3564" t="s">
        <v>4046</v>
      </c>
      <c r="D3564">
        <v>90</v>
      </c>
      <c r="E3564">
        <v>76</v>
      </c>
      <c r="F3564" t="s">
        <v>1501</v>
      </c>
      <c r="G3564" t="s">
        <v>4035</v>
      </c>
    </row>
    <row r="3565" spans="1:7" x14ac:dyDescent="0.3">
      <c r="A3565">
        <v>3563</v>
      </c>
      <c r="B3565" t="s">
        <v>4113</v>
      </c>
      <c r="C3565" t="s">
        <v>4114</v>
      </c>
      <c r="D3565">
        <v>65</v>
      </c>
      <c r="E3565">
        <v>60</v>
      </c>
      <c r="F3565" t="s">
        <v>188</v>
      </c>
      <c r="G3565" t="s">
        <v>4035</v>
      </c>
    </row>
    <row r="3566" spans="1:7" x14ac:dyDescent="0.3">
      <c r="A3566">
        <v>3564</v>
      </c>
      <c r="B3566" t="s">
        <v>4115</v>
      </c>
      <c r="C3566" t="s">
        <v>4116</v>
      </c>
      <c r="D3566">
        <v>200</v>
      </c>
      <c r="E3566">
        <v>115</v>
      </c>
      <c r="F3566" t="s">
        <v>4062</v>
      </c>
      <c r="G3566" t="s">
        <v>4035</v>
      </c>
    </row>
    <row r="3567" spans="1:7" x14ac:dyDescent="0.3">
      <c r="A3567">
        <v>3565</v>
      </c>
      <c r="B3567" t="s">
        <v>4117</v>
      </c>
      <c r="C3567" t="s">
        <v>4093</v>
      </c>
      <c r="D3567">
        <v>80</v>
      </c>
      <c r="E3567">
        <v>40</v>
      </c>
      <c r="F3567" t="s">
        <v>1501</v>
      </c>
      <c r="G3567" t="s">
        <v>4035</v>
      </c>
    </row>
    <row r="3568" spans="1:7" x14ac:dyDescent="0.3">
      <c r="A3568">
        <v>3566</v>
      </c>
      <c r="B3568" t="s">
        <v>4118</v>
      </c>
      <c r="C3568" t="s">
        <v>410</v>
      </c>
      <c r="D3568">
        <v>23</v>
      </c>
      <c r="E3568">
        <v>21</v>
      </c>
      <c r="F3568" t="s">
        <v>834</v>
      </c>
      <c r="G3568" t="s">
        <v>4035</v>
      </c>
    </row>
    <row r="3569" spans="1:7" x14ac:dyDescent="0.3">
      <c r="A3569">
        <v>3567</v>
      </c>
      <c r="B3569" t="s">
        <v>4119</v>
      </c>
      <c r="C3569" t="s">
        <v>356</v>
      </c>
      <c r="D3569">
        <v>224</v>
      </c>
      <c r="E3569">
        <v>193</v>
      </c>
      <c r="F3569" t="s">
        <v>76</v>
      </c>
      <c r="G3569" t="s">
        <v>4035</v>
      </c>
    </row>
    <row r="3570" spans="1:7" x14ac:dyDescent="0.3">
      <c r="A3570">
        <v>3568</v>
      </c>
      <c r="B3570" t="s">
        <v>4120</v>
      </c>
      <c r="C3570" t="s">
        <v>4090</v>
      </c>
      <c r="D3570">
        <v>80</v>
      </c>
      <c r="E3570">
        <v>40</v>
      </c>
      <c r="F3570" t="s">
        <v>1501</v>
      </c>
      <c r="G3570" t="s">
        <v>4035</v>
      </c>
    </row>
    <row r="3571" spans="1:7" x14ac:dyDescent="0.3">
      <c r="A3571">
        <v>3569</v>
      </c>
      <c r="B3571" t="s">
        <v>4121</v>
      </c>
      <c r="C3571" t="s">
        <v>4074</v>
      </c>
      <c r="D3571">
        <v>172</v>
      </c>
      <c r="E3571">
        <v>130</v>
      </c>
      <c r="F3571" t="s">
        <v>1002</v>
      </c>
      <c r="G3571" t="s">
        <v>4035</v>
      </c>
    </row>
    <row r="3572" spans="1:7" x14ac:dyDescent="0.3">
      <c r="A3572">
        <v>3570</v>
      </c>
      <c r="B3572" t="s">
        <v>4122</v>
      </c>
      <c r="C3572" t="s">
        <v>356</v>
      </c>
      <c r="D3572">
        <v>145</v>
      </c>
      <c r="E3572">
        <v>129</v>
      </c>
      <c r="F3572" t="s">
        <v>4096</v>
      </c>
      <c r="G3572" t="s">
        <v>4035</v>
      </c>
    </row>
    <row r="3573" spans="1:7" x14ac:dyDescent="0.3">
      <c r="A3573">
        <v>3571</v>
      </c>
      <c r="B3573" t="s">
        <v>4123</v>
      </c>
      <c r="C3573" t="s">
        <v>17</v>
      </c>
      <c r="D3573">
        <v>196</v>
      </c>
      <c r="E3573">
        <v>155</v>
      </c>
      <c r="F3573" t="s">
        <v>4124</v>
      </c>
      <c r="G3573" t="s">
        <v>4035</v>
      </c>
    </row>
    <row r="3574" spans="1:7" x14ac:dyDescent="0.3">
      <c r="A3574">
        <v>3572</v>
      </c>
      <c r="B3574" t="s">
        <v>4125</v>
      </c>
      <c r="C3574" t="s">
        <v>4034</v>
      </c>
      <c r="D3574">
        <v>63</v>
      </c>
      <c r="E3574">
        <v>58</v>
      </c>
      <c r="F3574" t="s">
        <v>834</v>
      </c>
      <c r="G3574" t="s">
        <v>4035</v>
      </c>
    </row>
    <row r="3575" spans="1:7" x14ac:dyDescent="0.3">
      <c r="A3575">
        <v>3573</v>
      </c>
      <c r="B3575" t="s">
        <v>4126</v>
      </c>
      <c r="C3575" t="s">
        <v>410</v>
      </c>
      <c r="D3575">
        <v>22</v>
      </c>
      <c r="E3575">
        <v>21</v>
      </c>
      <c r="F3575" t="s">
        <v>834</v>
      </c>
      <c r="G3575" t="s">
        <v>4035</v>
      </c>
    </row>
    <row r="3576" spans="1:7" x14ac:dyDescent="0.3">
      <c r="A3576">
        <v>3574</v>
      </c>
      <c r="B3576" t="s">
        <v>4127</v>
      </c>
      <c r="C3576" t="s">
        <v>4128</v>
      </c>
      <c r="D3576">
        <v>150</v>
      </c>
      <c r="E3576">
        <v>129</v>
      </c>
      <c r="F3576" t="s">
        <v>4036</v>
      </c>
      <c r="G3576" t="s">
        <v>4035</v>
      </c>
    </row>
    <row r="3577" spans="1:7" x14ac:dyDescent="0.3">
      <c r="A3577">
        <v>3575</v>
      </c>
      <c r="B3577" t="s">
        <v>4129</v>
      </c>
      <c r="C3577" t="s">
        <v>4130</v>
      </c>
      <c r="D3577">
        <v>75</v>
      </c>
      <c r="E3577">
        <v>67</v>
      </c>
      <c r="F3577" t="s">
        <v>188</v>
      </c>
      <c r="G3577" t="s">
        <v>4035</v>
      </c>
    </row>
    <row r="3578" spans="1:7" x14ac:dyDescent="0.3">
      <c r="A3578">
        <v>3576</v>
      </c>
      <c r="B3578" t="s">
        <v>4131</v>
      </c>
      <c r="C3578" t="s">
        <v>410</v>
      </c>
      <c r="D3578">
        <v>23</v>
      </c>
      <c r="E3578">
        <v>21</v>
      </c>
      <c r="F3578" t="s">
        <v>834</v>
      </c>
      <c r="G3578" t="s">
        <v>4035</v>
      </c>
    </row>
    <row r="3579" spans="1:7" x14ac:dyDescent="0.3">
      <c r="A3579">
        <v>3577</v>
      </c>
      <c r="B3579" t="s">
        <v>4132</v>
      </c>
      <c r="C3579" t="s">
        <v>4049</v>
      </c>
      <c r="D3579">
        <v>83</v>
      </c>
      <c r="E3579">
        <v>77</v>
      </c>
      <c r="F3579" t="s">
        <v>1501</v>
      </c>
      <c r="G3579" t="s">
        <v>4035</v>
      </c>
    </row>
    <row r="3580" spans="1:7" x14ac:dyDescent="0.3">
      <c r="A3580">
        <v>3578</v>
      </c>
      <c r="B3580" t="s">
        <v>4133</v>
      </c>
      <c r="C3580" t="s">
        <v>4068</v>
      </c>
      <c r="D3580">
        <v>148</v>
      </c>
      <c r="E3580">
        <v>130</v>
      </c>
      <c r="F3580" t="s">
        <v>4061</v>
      </c>
      <c r="G3580" t="s">
        <v>4035</v>
      </c>
    </row>
    <row r="3581" spans="1:7" x14ac:dyDescent="0.3">
      <c r="A3581">
        <v>3579</v>
      </c>
      <c r="B3581" t="s">
        <v>4134</v>
      </c>
      <c r="C3581" t="s">
        <v>4042</v>
      </c>
      <c r="D3581">
        <v>70</v>
      </c>
      <c r="E3581">
        <v>65</v>
      </c>
      <c r="F3581" t="s">
        <v>834</v>
      </c>
      <c r="G3581" t="s">
        <v>4035</v>
      </c>
    </row>
    <row r="3582" spans="1:7" x14ac:dyDescent="0.3">
      <c r="A3582">
        <v>3580</v>
      </c>
      <c r="B3582" t="s">
        <v>4135</v>
      </c>
      <c r="C3582" t="s">
        <v>4034</v>
      </c>
      <c r="D3582">
        <v>54</v>
      </c>
      <c r="E3582">
        <v>49</v>
      </c>
      <c r="F3582" t="s">
        <v>834</v>
      </c>
      <c r="G3582" t="s">
        <v>4035</v>
      </c>
    </row>
    <row r="3583" spans="1:7" x14ac:dyDescent="0.3">
      <c r="A3583">
        <v>3581</v>
      </c>
      <c r="B3583" t="s">
        <v>4136</v>
      </c>
      <c r="C3583" t="s">
        <v>4042</v>
      </c>
      <c r="D3583">
        <v>75</v>
      </c>
      <c r="E3583">
        <v>67</v>
      </c>
      <c r="F3583" t="s">
        <v>834</v>
      </c>
      <c r="G3583" t="s">
        <v>4035</v>
      </c>
    </row>
    <row r="3584" spans="1:7" x14ac:dyDescent="0.3">
      <c r="A3584">
        <v>3582</v>
      </c>
      <c r="B3584" t="s">
        <v>4137</v>
      </c>
      <c r="C3584" t="s">
        <v>4138</v>
      </c>
      <c r="D3584">
        <v>190</v>
      </c>
      <c r="E3584">
        <v>95</v>
      </c>
      <c r="F3584" t="s">
        <v>201</v>
      </c>
      <c r="G3584" t="s">
        <v>4035</v>
      </c>
    </row>
    <row r="3585" spans="1:7" x14ac:dyDescent="0.3">
      <c r="A3585">
        <v>3583</v>
      </c>
      <c r="B3585" t="s">
        <v>4139</v>
      </c>
      <c r="C3585" t="s">
        <v>4068</v>
      </c>
      <c r="D3585">
        <v>270</v>
      </c>
      <c r="E3585">
        <v>215</v>
      </c>
      <c r="F3585" t="s">
        <v>4056</v>
      </c>
      <c r="G3585" t="s">
        <v>4035</v>
      </c>
    </row>
    <row r="3586" spans="1:7" x14ac:dyDescent="0.3">
      <c r="A3586">
        <v>3584</v>
      </c>
      <c r="B3586" t="s">
        <v>4140</v>
      </c>
      <c r="C3586" t="s">
        <v>356</v>
      </c>
      <c r="D3586">
        <v>140</v>
      </c>
      <c r="E3586">
        <v>125</v>
      </c>
      <c r="F3586" t="s">
        <v>4096</v>
      </c>
      <c r="G3586" t="s">
        <v>4035</v>
      </c>
    </row>
    <row r="3587" spans="1:7" x14ac:dyDescent="0.3">
      <c r="A3587">
        <v>3585</v>
      </c>
      <c r="B3587" t="s">
        <v>4141</v>
      </c>
      <c r="C3587" t="s">
        <v>356</v>
      </c>
      <c r="D3587">
        <v>10</v>
      </c>
      <c r="E3587">
        <v>9</v>
      </c>
      <c r="F3587" t="s">
        <v>814</v>
      </c>
      <c r="G3587" t="s">
        <v>4035</v>
      </c>
    </row>
    <row r="3588" spans="1:7" x14ac:dyDescent="0.3">
      <c r="A3588">
        <v>3586</v>
      </c>
      <c r="B3588" t="s">
        <v>4064</v>
      </c>
      <c r="C3588" t="s">
        <v>4065</v>
      </c>
      <c r="D3588">
        <v>40</v>
      </c>
      <c r="E3588">
        <v>37</v>
      </c>
      <c r="F3588" t="s">
        <v>11</v>
      </c>
      <c r="G3588" t="s">
        <v>4035</v>
      </c>
    </row>
    <row r="3589" spans="1:7" x14ac:dyDescent="0.3">
      <c r="A3589">
        <v>3587</v>
      </c>
      <c r="B3589" t="s">
        <v>4048</v>
      </c>
      <c r="C3589" t="s">
        <v>4049</v>
      </c>
      <c r="D3589">
        <v>260</v>
      </c>
      <c r="E3589">
        <v>235</v>
      </c>
      <c r="F3589" t="s">
        <v>4062</v>
      </c>
      <c r="G3589" t="s">
        <v>4035</v>
      </c>
    </row>
    <row r="3590" spans="1:7" x14ac:dyDescent="0.3">
      <c r="A3590">
        <v>3588</v>
      </c>
      <c r="B3590" t="s">
        <v>4052</v>
      </c>
      <c r="C3590" t="s">
        <v>4049</v>
      </c>
      <c r="D3590">
        <v>260</v>
      </c>
      <c r="E3590">
        <v>239</v>
      </c>
      <c r="F3590" t="s">
        <v>4062</v>
      </c>
      <c r="G3590" t="s">
        <v>4035</v>
      </c>
    </row>
    <row r="3591" spans="1:7" x14ac:dyDescent="0.3">
      <c r="A3591">
        <v>3589</v>
      </c>
      <c r="B3591" t="s">
        <v>4142</v>
      </c>
      <c r="C3591" t="s">
        <v>4143</v>
      </c>
      <c r="D3591">
        <v>450</v>
      </c>
      <c r="E3591">
        <v>225</v>
      </c>
      <c r="F3591" t="s">
        <v>9</v>
      </c>
      <c r="G3591" t="s">
        <v>4035</v>
      </c>
    </row>
    <row r="3592" spans="1:7" x14ac:dyDescent="0.3">
      <c r="A3592">
        <v>3590</v>
      </c>
      <c r="B3592" t="s">
        <v>4144</v>
      </c>
      <c r="C3592" t="s">
        <v>4145</v>
      </c>
      <c r="D3592">
        <v>335</v>
      </c>
      <c r="E3592">
        <v>295</v>
      </c>
      <c r="F3592" t="s">
        <v>2981</v>
      </c>
      <c r="G3592" t="s">
        <v>4035</v>
      </c>
    </row>
    <row r="3593" spans="1:7" x14ac:dyDescent="0.3">
      <c r="A3593">
        <v>3591</v>
      </c>
      <c r="B3593" t="s">
        <v>4144</v>
      </c>
      <c r="C3593" t="s">
        <v>4145</v>
      </c>
      <c r="D3593">
        <v>499</v>
      </c>
      <c r="E3593">
        <v>459</v>
      </c>
      <c r="F3593" t="s">
        <v>1182</v>
      </c>
      <c r="G3593" t="s">
        <v>4035</v>
      </c>
    </row>
    <row r="3594" spans="1:7" x14ac:dyDescent="0.3">
      <c r="A3594">
        <v>3592</v>
      </c>
      <c r="B3594" t="s">
        <v>4146</v>
      </c>
      <c r="C3594" t="s">
        <v>4147</v>
      </c>
      <c r="D3594">
        <v>399</v>
      </c>
      <c r="E3594">
        <v>289</v>
      </c>
      <c r="F3594" t="s">
        <v>2981</v>
      </c>
      <c r="G3594" t="s">
        <v>4035</v>
      </c>
    </row>
    <row r="3595" spans="1:7" x14ac:dyDescent="0.3">
      <c r="A3595">
        <v>3593</v>
      </c>
      <c r="B3595" t="s">
        <v>4148</v>
      </c>
      <c r="C3595" t="s">
        <v>4147</v>
      </c>
      <c r="D3595">
        <v>429</v>
      </c>
      <c r="E3595">
        <v>329</v>
      </c>
      <c r="F3595" t="s">
        <v>1200</v>
      </c>
      <c r="G3595" t="s">
        <v>4149</v>
      </c>
    </row>
    <row r="3596" spans="1:7" x14ac:dyDescent="0.3">
      <c r="A3596">
        <v>3594</v>
      </c>
      <c r="B3596" t="s">
        <v>4150</v>
      </c>
      <c r="C3596" t="s">
        <v>4147</v>
      </c>
      <c r="D3596">
        <v>559</v>
      </c>
      <c r="E3596">
        <v>349</v>
      </c>
      <c r="F3596" t="s">
        <v>1182</v>
      </c>
      <c r="G3596" t="s">
        <v>4035</v>
      </c>
    </row>
    <row r="3597" spans="1:7" x14ac:dyDescent="0.3">
      <c r="A3597">
        <v>3595</v>
      </c>
      <c r="B3597" t="s">
        <v>4150</v>
      </c>
      <c r="C3597" t="s">
        <v>4147</v>
      </c>
      <c r="D3597">
        <v>425</v>
      </c>
      <c r="E3597">
        <v>315</v>
      </c>
      <c r="F3597" t="s">
        <v>2981</v>
      </c>
      <c r="G3597" t="s">
        <v>4035</v>
      </c>
    </row>
    <row r="3598" spans="1:7" x14ac:dyDescent="0.3">
      <c r="A3598">
        <v>3596</v>
      </c>
      <c r="B3598" t="s">
        <v>4150</v>
      </c>
      <c r="C3598" t="s">
        <v>4147</v>
      </c>
      <c r="D3598">
        <v>275</v>
      </c>
      <c r="E3598">
        <v>245</v>
      </c>
      <c r="F3598" t="s">
        <v>399</v>
      </c>
      <c r="G3598" t="s">
        <v>4035</v>
      </c>
    </row>
    <row r="3599" spans="1:7" x14ac:dyDescent="0.3">
      <c r="A3599">
        <v>3597</v>
      </c>
      <c r="B3599" t="s">
        <v>4151</v>
      </c>
      <c r="C3599" t="s">
        <v>4145</v>
      </c>
      <c r="D3599">
        <v>460</v>
      </c>
      <c r="E3599">
        <v>299</v>
      </c>
      <c r="F3599" t="s">
        <v>2981</v>
      </c>
      <c r="G3599" t="s">
        <v>4035</v>
      </c>
    </row>
    <row r="3600" spans="1:7" x14ac:dyDescent="0.3">
      <c r="A3600">
        <v>3598</v>
      </c>
      <c r="B3600" t="s">
        <v>4152</v>
      </c>
      <c r="C3600" t="s">
        <v>4147</v>
      </c>
      <c r="D3600">
        <v>425</v>
      </c>
      <c r="E3600">
        <v>375</v>
      </c>
      <c r="F3600" t="s">
        <v>2981</v>
      </c>
      <c r="G3600" t="s">
        <v>4035</v>
      </c>
    </row>
    <row r="3601" spans="1:7" x14ac:dyDescent="0.3">
      <c r="A3601">
        <v>3599</v>
      </c>
      <c r="B3601" t="s">
        <v>4153</v>
      </c>
      <c r="C3601" t="s">
        <v>4154</v>
      </c>
      <c r="D3601">
        <v>198</v>
      </c>
      <c r="E3601">
        <v>173</v>
      </c>
      <c r="F3601" t="s">
        <v>216</v>
      </c>
      <c r="G3601" t="s">
        <v>4149</v>
      </c>
    </row>
    <row r="3602" spans="1:7" x14ac:dyDescent="0.3">
      <c r="A3602">
        <v>3600</v>
      </c>
      <c r="B3602" t="s">
        <v>4153</v>
      </c>
      <c r="C3602" t="s">
        <v>4154</v>
      </c>
      <c r="D3602">
        <v>245</v>
      </c>
      <c r="E3602">
        <v>215</v>
      </c>
      <c r="F3602" t="s">
        <v>1697</v>
      </c>
      <c r="G3602" t="s">
        <v>4149</v>
      </c>
    </row>
    <row r="3603" spans="1:7" x14ac:dyDescent="0.3">
      <c r="A3603">
        <v>3601</v>
      </c>
      <c r="B3603" t="s">
        <v>4155</v>
      </c>
      <c r="C3603" t="s">
        <v>2234</v>
      </c>
      <c r="D3603">
        <v>465</v>
      </c>
      <c r="E3603">
        <v>330</v>
      </c>
      <c r="F3603" t="s">
        <v>11</v>
      </c>
      <c r="G3603" t="s">
        <v>4035</v>
      </c>
    </row>
    <row r="3604" spans="1:7" x14ac:dyDescent="0.3">
      <c r="A3604">
        <v>3602</v>
      </c>
      <c r="B3604" t="s">
        <v>4156</v>
      </c>
      <c r="C3604" t="s">
        <v>4145</v>
      </c>
      <c r="D3604">
        <v>435</v>
      </c>
      <c r="E3604">
        <v>357</v>
      </c>
      <c r="F3604" t="s">
        <v>2981</v>
      </c>
      <c r="G3604" t="s">
        <v>4035</v>
      </c>
    </row>
    <row r="3605" spans="1:7" x14ac:dyDescent="0.3">
      <c r="A3605">
        <v>3603</v>
      </c>
      <c r="B3605" t="s">
        <v>4157</v>
      </c>
      <c r="C3605" t="s">
        <v>2234</v>
      </c>
      <c r="D3605">
        <v>395</v>
      </c>
      <c r="E3605">
        <v>245</v>
      </c>
      <c r="F3605" t="s">
        <v>11</v>
      </c>
      <c r="G3605" t="s">
        <v>4035</v>
      </c>
    </row>
    <row r="3606" spans="1:7" x14ac:dyDescent="0.3">
      <c r="A3606">
        <v>3604</v>
      </c>
      <c r="B3606" t="s">
        <v>4158</v>
      </c>
      <c r="C3606" t="s">
        <v>4159</v>
      </c>
      <c r="D3606">
        <v>299</v>
      </c>
      <c r="E3606">
        <v>260</v>
      </c>
      <c r="F3606" t="s">
        <v>4160</v>
      </c>
      <c r="G3606" t="s">
        <v>4035</v>
      </c>
    </row>
    <row r="3607" spans="1:7" x14ac:dyDescent="0.3">
      <c r="A3607">
        <v>3605</v>
      </c>
      <c r="B3607" t="s">
        <v>4161</v>
      </c>
      <c r="C3607" t="s">
        <v>4154</v>
      </c>
      <c r="D3607">
        <v>130</v>
      </c>
      <c r="E3607">
        <v>115</v>
      </c>
      <c r="F3607" t="s">
        <v>1725</v>
      </c>
      <c r="G3607" t="s">
        <v>4035</v>
      </c>
    </row>
    <row r="3608" spans="1:7" x14ac:dyDescent="0.3">
      <c r="A3608">
        <v>3606</v>
      </c>
      <c r="B3608" t="s">
        <v>4162</v>
      </c>
      <c r="C3608" t="s">
        <v>4147</v>
      </c>
      <c r="D3608">
        <v>199</v>
      </c>
      <c r="E3608">
        <v>165</v>
      </c>
      <c r="F3608" t="s">
        <v>4163</v>
      </c>
      <c r="G3608" t="s">
        <v>4149</v>
      </c>
    </row>
    <row r="3609" spans="1:7" x14ac:dyDescent="0.3">
      <c r="A3609">
        <v>3607</v>
      </c>
      <c r="B3609" t="s">
        <v>4164</v>
      </c>
      <c r="C3609" t="s">
        <v>4159</v>
      </c>
      <c r="D3609">
        <v>90</v>
      </c>
      <c r="E3609">
        <v>75</v>
      </c>
      <c r="F3609" t="s">
        <v>4165</v>
      </c>
      <c r="G3609" t="s">
        <v>4035</v>
      </c>
    </row>
    <row r="3610" spans="1:7" x14ac:dyDescent="0.3">
      <c r="A3610">
        <v>3608</v>
      </c>
      <c r="B3610" t="s">
        <v>4166</v>
      </c>
      <c r="C3610" t="s">
        <v>4167</v>
      </c>
      <c r="D3610">
        <v>230</v>
      </c>
      <c r="E3610">
        <v>115</v>
      </c>
      <c r="F3610" t="s">
        <v>1200</v>
      </c>
      <c r="G3610" t="s">
        <v>4035</v>
      </c>
    </row>
    <row r="3611" spans="1:7" x14ac:dyDescent="0.3">
      <c r="A3611">
        <v>3609</v>
      </c>
      <c r="B3611" t="s">
        <v>4168</v>
      </c>
      <c r="C3611" t="s">
        <v>4169</v>
      </c>
      <c r="D3611">
        <v>225</v>
      </c>
      <c r="E3611">
        <v>205</v>
      </c>
      <c r="F3611" t="s">
        <v>2599</v>
      </c>
      <c r="G3611" t="s">
        <v>4035</v>
      </c>
    </row>
    <row r="3612" spans="1:7" x14ac:dyDescent="0.3">
      <c r="A3612">
        <v>3610</v>
      </c>
      <c r="B3612" t="s">
        <v>4170</v>
      </c>
      <c r="C3612" t="s">
        <v>4167</v>
      </c>
      <c r="D3612">
        <v>230</v>
      </c>
      <c r="E3612">
        <v>115</v>
      </c>
      <c r="F3612" t="s">
        <v>1200</v>
      </c>
      <c r="G3612" t="s">
        <v>4035</v>
      </c>
    </row>
    <row r="3613" spans="1:7" x14ac:dyDescent="0.3">
      <c r="A3613">
        <v>3611</v>
      </c>
      <c r="B3613" t="s">
        <v>4171</v>
      </c>
      <c r="C3613" t="s">
        <v>4147</v>
      </c>
      <c r="D3613">
        <v>99</v>
      </c>
      <c r="E3613">
        <v>79</v>
      </c>
      <c r="F3613" t="s">
        <v>4172</v>
      </c>
      <c r="G3613" t="s">
        <v>4035</v>
      </c>
    </row>
    <row r="3614" spans="1:7" x14ac:dyDescent="0.3">
      <c r="A3614">
        <v>3612</v>
      </c>
      <c r="B3614" t="s">
        <v>4173</v>
      </c>
      <c r="C3614" t="s">
        <v>4174</v>
      </c>
      <c r="D3614">
        <v>220</v>
      </c>
      <c r="E3614">
        <v>195</v>
      </c>
      <c r="F3614" t="s">
        <v>4172</v>
      </c>
      <c r="G3614" t="s">
        <v>4035</v>
      </c>
    </row>
    <row r="3615" spans="1:7" x14ac:dyDescent="0.3">
      <c r="A3615">
        <v>3613</v>
      </c>
      <c r="B3615" t="s">
        <v>4175</v>
      </c>
      <c r="C3615" t="s">
        <v>4147</v>
      </c>
      <c r="D3615">
        <v>325</v>
      </c>
      <c r="E3615">
        <v>249</v>
      </c>
      <c r="F3615" t="s">
        <v>399</v>
      </c>
      <c r="G3615" t="s">
        <v>4035</v>
      </c>
    </row>
    <row r="3616" spans="1:7" x14ac:dyDescent="0.3">
      <c r="A3616">
        <v>3614</v>
      </c>
      <c r="B3616" t="s">
        <v>4176</v>
      </c>
      <c r="C3616" t="s">
        <v>4167</v>
      </c>
      <c r="D3616">
        <v>175</v>
      </c>
      <c r="E3616">
        <v>74</v>
      </c>
      <c r="F3616" t="s">
        <v>399</v>
      </c>
      <c r="G3616" t="s">
        <v>4035</v>
      </c>
    </row>
    <row r="3617" spans="1:7" x14ac:dyDescent="0.3">
      <c r="A3617">
        <v>3615</v>
      </c>
      <c r="B3617" t="s">
        <v>4177</v>
      </c>
      <c r="C3617" t="s">
        <v>4167</v>
      </c>
      <c r="D3617">
        <v>185</v>
      </c>
      <c r="E3617">
        <v>92</v>
      </c>
      <c r="F3617" t="s">
        <v>399</v>
      </c>
      <c r="G3617" t="s">
        <v>4035</v>
      </c>
    </row>
    <row r="3618" spans="1:7" x14ac:dyDescent="0.3">
      <c r="A3618">
        <v>3616</v>
      </c>
      <c r="B3618" t="s">
        <v>4178</v>
      </c>
      <c r="C3618" t="s">
        <v>2234</v>
      </c>
      <c r="D3618">
        <v>375</v>
      </c>
      <c r="E3618">
        <v>285</v>
      </c>
      <c r="F3618" t="s">
        <v>11</v>
      </c>
      <c r="G3618" t="s">
        <v>4035</v>
      </c>
    </row>
    <row r="3619" spans="1:7" x14ac:dyDescent="0.3">
      <c r="A3619">
        <v>3617</v>
      </c>
      <c r="B3619" t="s">
        <v>4179</v>
      </c>
      <c r="C3619" t="s">
        <v>4180</v>
      </c>
      <c r="D3619">
        <v>120</v>
      </c>
      <c r="E3619">
        <v>74</v>
      </c>
      <c r="F3619" t="s">
        <v>715</v>
      </c>
      <c r="G3619" t="s">
        <v>4035</v>
      </c>
    </row>
    <row r="3620" spans="1:7" x14ac:dyDescent="0.3">
      <c r="A3620">
        <v>3618</v>
      </c>
      <c r="B3620" t="s">
        <v>4181</v>
      </c>
      <c r="C3620" t="s">
        <v>2234</v>
      </c>
      <c r="D3620">
        <v>315</v>
      </c>
      <c r="E3620">
        <v>225</v>
      </c>
      <c r="F3620" t="s">
        <v>11</v>
      </c>
      <c r="G3620" t="s">
        <v>4035</v>
      </c>
    </row>
    <row r="3621" spans="1:7" x14ac:dyDescent="0.3">
      <c r="A3621">
        <v>3619</v>
      </c>
      <c r="B3621" t="s">
        <v>4182</v>
      </c>
      <c r="C3621" t="s">
        <v>4183</v>
      </c>
      <c r="D3621">
        <v>490</v>
      </c>
      <c r="E3621">
        <v>415</v>
      </c>
      <c r="F3621" t="s">
        <v>2151</v>
      </c>
      <c r="G3621" t="s">
        <v>4035</v>
      </c>
    </row>
    <row r="3622" spans="1:7" x14ac:dyDescent="0.3">
      <c r="A3622">
        <v>3620</v>
      </c>
      <c r="B3622" t="s">
        <v>4184</v>
      </c>
      <c r="C3622" t="s">
        <v>4185</v>
      </c>
      <c r="D3622">
        <v>249</v>
      </c>
      <c r="E3622">
        <v>218</v>
      </c>
      <c r="F3622" t="s">
        <v>814</v>
      </c>
      <c r="G3622" t="s">
        <v>4035</v>
      </c>
    </row>
    <row r="3623" spans="1:7" x14ac:dyDescent="0.3">
      <c r="A3623">
        <v>3621</v>
      </c>
      <c r="B3623" t="s">
        <v>4186</v>
      </c>
      <c r="C3623" t="s">
        <v>4167</v>
      </c>
      <c r="D3623">
        <v>175</v>
      </c>
      <c r="E3623">
        <v>87</v>
      </c>
      <c r="F3623" t="s">
        <v>399</v>
      </c>
      <c r="G3623" t="s">
        <v>4035</v>
      </c>
    </row>
    <row r="3624" spans="1:7" x14ac:dyDescent="0.3">
      <c r="A3624">
        <v>3622</v>
      </c>
      <c r="B3624" t="s">
        <v>4187</v>
      </c>
      <c r="C3624" t="s">
        <v>4147</v>
      </c>
      <c r="D3624">
        <v>299</v>
      </c>
      <c r="E3624">
        <v>239</v>
      </c>
      <c r="F3624" t="s">
        <v>399</v>
      </c>
      <c r="G3624" t="s">
        <v>4035</v>
      </c>
    </row>
    <row r="3625" spans="1:7" x14ac:dyDescent="0.3">
      <c r="A3625">
        <v>3623</v>
      </c>
      <c r="B3625" t="s">
        <v>4188</v>
      </c>
      <c r="C3625" t="s">
        <v>4189</v>
      </c>
      <c r="D3625">
        <v>349</v>
      </c>
      <c r="E3625">
        <v>279</v>
      </c>
      <c r="F3625" t="s">
        <v>12</v>
      </c>
      <c r="G3625" t="s">
        <v>4035</v>
      </c>
    </row>
    <row r="3626" spans="1:7" x14ac:dyDescent="0.3">
      <c r="A3626">
        <v>3624</v>
      </c>
      <c r="B3626" t="s">
        <v>4190</v>
      </c>
      <c r="C3626" t="s">
        <v>2234</v>
      </c>
      <c r="D3626">
        <v>680</v>
      </c>
      <c r="E3626">
        <v>544</v>
      </c>
      <c r="F3626" t="s">
        <v>709</v>
      </c>
      <c r="G3626" t="s">
        <v>4149</v>
      </c>
    </row>
    <row r="3627" spans="1:7" x14ac:dyDescent="0.3">
      <c r="A3627">
        <v>3625</v>
      </c>
      <c r="B3627" t="s">
        <v>4191</v>
      </c>
      <c r="C3627" t="s">
        <v>4189</v>
      </c>
      <c r="D3627">
        <v>349</v>
      </c>
      <c r="E3627">
        <v>279</v>
      </c>
      <c r="F3627" t="s">
        <v>12</v>
      </c>
      <c r="G3627" t="s">
        <v>4035</v>
      </c>
    </row>
    <row r="3628" spans="1:7" x14ac:dyDescent="0.3">
      <c r="A3628">
        <v>3626</v>
      </c>
      <c r="B3628" t="s">
        <v>4192</v>
      </c>
      <c r="C3628" t="s">
        <v>4193</v>
      </c>
      <c r="D3628">
        <v>299</v>
      </c>
      <c r="E3628">
        <v>199</v>
      </c>
      <c r="F3628" t="s">
        <v>399</v>
      </c>
      <c r="G3628" t="s">
        <v>4035</v>
      </c>
    </row>
    <row r="3629" spans="1:7" x14ac:dyDescent="0.3">
      <c r="A3629">
        <v>3627</v>
      </c>
      <c r="B3629" t="s">
        <v>4194</v>
      </c>
      <c r="C3629" t="s">
        <v>4185</v>
      </c>
      <c r="D3629">
        <v>275</v>
      </c>
      <c r="E3629">
        <v>175</v>
      </c>
      <c r="F3629" t="s">
        <v>401</v>
      </c>
      <c r="G3629" t="s">
        <v>4035</v>
      </c>
    </row>
    <row r="3630" spans="1:7" x14ac:dyDescent="0.3">
      <c r="A3630">
        <v>3628</v>
      </c>
      <c r="B3630" t="s">
        <v>4195</v>
      </c>
      <c r="C3630" t="s">
        <v>4193</v>
      </c>
      <c r="D3630">
        <v>299</v>
      </c>
      <c r="E3630">
        <v>199</v>
      </c>
      <c r="F3630" t="s">
        <v>399</v>
      </c>
      <c r="G3630" t="s">
        <v>4035</v>
      </c>
    </row>
    <row r="3631" spans="1:7" x14ac:dyDescent="0.3">
      <c r="A3631">
        <v>3629</v>
      </c>
      <c r="B3631" t="s">
        <v>4196</v>
      </c>
      <c r="C3631" t="s">
        <v>4197</v>
      </c>
      <c r="D3631">
        <v>90</v>
      </c>
      <c r="E3631">
        <v>80</v>
      </c>
      <c r="F3631" t="s">
        <v>613</v>
      </c>
      <c r="G3631" t="s">
        <v>4035</v>
      </c>
    </row>
    <row r="3632" spans="1:7" x14ac:dyDescent="0.3">
      <c r="A3632">
        <v>3630</v>
      </c>
      <c r="B3632" t="s">
        <v>4198</v>
      </c>
      <c r="C3632" t="s">
        <v>4199</v>
      </c>
      <c r="D3632">
        <v>455</v>
      </c>
      <c r="E3632">
        <v>360</v>
      </c>
      <c r="F3632" t="s">
        <v>709</v>
      </c>
      <c r="G3632" t="s">
        <v>4035</v>
      </c>
    </row>
    <row r="3633" spans="1:7" x14ac:dyDescent="0.3">
      <c r="A3633">
        <v>3631</v>
      </c>
      <c r="B3633" t="s">
        <v>4200</v>
      </c>
      <c r="C3633" t="s">
        <v>4167</v>
      </c>
      <c r="D3633">
        <v>220</v>
      </c>
      <c r="E3633">
        <v>110</v>
      </c>
      <c r="F3633" t="s">
        <v>1200</v>
      </c>
      <c r="G3633" t="s">
        <v>4035</v>
      </c>
    </row>
    <row r="3634" spans="1:7" x14ac:dyDescent="0.3">
      <c r="A3634">
        <v>3632</v>
      </c>
      <c r="B3634" t="s">
        <v>4201</v>
      </c>
      <c r="C3634" t="s">
        <v>4167</v>
      </c>
      <c r="D3634">
        <v>270</v>
      </c>
      <c r="E3634">
        <v>135</v>
      </c>
      <c r="F3634" t="s">
        <v>1200</v>
      </c>
      <c r="G3634" t="s">
        <v>4035</v>
      </c>
    </row>
    <row r="3635" spans="1:7" x14ac:dyDescent="0.3">
      <c r="A3635">
        <v>3633</v>
      </c>
      <c r="B3635" t="s">
        <v>4202</v>
      </c>
      <c r="C3635" t="s">
        <v>4159</v>
      </c>
      <c r="D3635">
        <v>699</v>
      </c>
      <c r="E3635">
        <v>519</v>
      </c>
      <c r="F3635" t="s">
        <v>216</v>
      </c>
      <c r="G3635" t="s">
        <v>4149</v>
      </c>
    </row>
    <row r="3636" spans="1:7" x14ac:dyDescent="0.3">
      <c r="A3636">
        <v>3634</v>
      </c>
      <c r="B3636" t="s">
        <v>4203</v>
      </c>
      <c r="C3636" t="s">
        <v>4180</v>
      </c>
      <c r="D3636">
        <v>120</v>
      </c>
      <c r="E3636">
        <v>74</v>
      </c>
      <c r="F3636" t="s">
        <v>715</v>
      </c>
      <c r="G3636" t="s">
        <v>4035</v>
      </c>
    </row>
    <row r="3637" spans="1:7" x14ac:dyDescent="0.3">
      <c r="A3637">
        <v>3635</v>
      </c>
      <c r="B3637" t="s">
        <v>4204</v>
      </c>
      <c r="C3637" t="s">
        <v>410</v>
      </c>
      <c r="D3637">
        <v>110</v>
      </c>
      <c r="E3637">
        <v>95</v>
      </c>
      <c r="F3637" t="s">
        <v>1109</v>
      </c>
      <c r="G3637" t="s">
        <v>4035</v>
      </c>
    </row>
    <row r="3638" spans="1:7" x14ac:dyDescent="0.3">
      <c r="A3638">
        <v>3636</v>
      </c>
      <c r="B3638" t="s">
        <v>4205</v>
      </c>
      <c r="C3638" t="s">
        <v>4206</v>
      </c>
      <c r="D3638">
        <v>80</v>
      </c>
      <c r="E3638">
        <v>68</v>
      </c>
      <c r="F3638" t="s">
        <v>11</v>
      </c>
      <c r="G3638" t="s">
        <v>4035</v>
      </c>
    </row>
    <row r="3639" spans="1:7" x14ac:dyDescent="0.3">
      <c r="A3639">
        <v>3637</v>
      </c>
      <c r="B3639" t="s">
        <v>4207</v>
      </c>
      <c r="C3639" t="s">
        <v>4147</v>
      </c>
      <c r="D3639">
        <v>130</v>
      </c>
      <c r="E3639">
        <v>89</v>
      </c>
      <c r="F3639" t="s">
        <v>4172</v>
      </c>
      <c r="G3639" t="s">
        <v>4035</v>
      </c>
    </row>
    <row r="3640" spans="1:7" x14ac:dyDescent="0.3">
      <c r="A3640">
        <v>3638</v>
      </c>
      <c r="B3640" t="s">
        <v>4208</v>
      </c>
      <c r="C3640" t="s">
        <v>4209</v>
      </c>
      <c r="D3640">
        <v>599</v>
      </c>
      <c r="E3640">
        <v>399</v>
      </c>
      <c r="F3640" t="s">
        <v>691</v>
      </c>
      <c r="G3640" t="s">
        <v>4149</v>
      </c>
    </row>
    <row r="3641" spans="1:7" x14ac:dyDescent="0.3">
      <c r="A3641">
        <v>3639</v>
      </c>
      <c r="B3641" t="s">
        <v>4210</v>
      </c>
      <c r="C3641" t="s">
        <v>2234</v>
      </c>
      <c r="D3641">
        <v>455</v>
      </c>
      <c r="E3641">
        <v>341</v>
      </c>
      <c r="F3641" t="s">
        <v>216</v>
      </c>
      <c r="G3641" t="s">
        <v>4035</v>
      </c>
    </row>
    <row r="3642" spans="1:7" x14ac:dyDescent="0.3">
      <c r="A3642">
        <v>3640</v>
      </c>
      <c r="B3642" t="s">
        <v>4211</v>
      </c>
      <c r="C3642" t="s">
        <v>4169</v>
      </c>
      <c r="D3642">
        <v>749</v>
      </c>
      <c r="E3642">
        <v>599</v>
      </c>
      <c r="F3642" t="s">
        <v>216</v>
      </c>
      <c r="G3642" t="s">
        <v>4035</v>
      </c>
    </row>
    <row r="3643" spans="1:7" x14ac:dyDescent="0.3">
      <c r="A3643">
        <v>3641</v>
      </c>
      <c r="B3643" t="s">
        <v>4212</v>
      </c>
      <c r="C3643" t="s">
        <v>4209</v>
      </c>
      <c r="D3643">
        <v>599</v>
      </c>
      <c r="E3643">
        <v>335</v>
      </c>
      <c r="F3643" t="s">
        <v>4163</v>
      </c>
      <c r="G3643" t="s">
        <v>4149</v>
      </c>
    </row>
    <row r="3644" spans="1:7" x14ac:dyDescent="0.3">
      <c r="A3644">
        <v>3642</v>
      </c>
      <c r="B3644" t="s">
        <v>4213</v>
      </c>
      <c r="C3644" t="s">
        <v>4159</v>
      </c>
      <c r="D3644">
        <v>530</v>
      </c>
      <c r="E3644">
        <v>344</v>
      </c>
      <c r="F3644" t="s">
        <v>4214</v>
      </c>
      <c r="G3644" t="s">
        <v>4035</v>
      </c>
    </row>
    <row r="3645" spans="1:7" x14ac:dyDescent="0.3">
      <c r="A3645">
        <v>3643</v>
      </c>
      <c r="B3645" t="s">
        <v>4215</v>
      </c>
      <c r="C3645" t="s">
        <v>4169</v>
      </c>
      <c r="D3645">
        <v>999</v>
      </c>
      <c r="E3645">
        <v>643</v>
      </c>
      <c r="F3645" t="s">
        <v>216</v>
      </c>
      <c r="G3645" t="s">
        <v>4035</v>
      </c>
    </row>
    <row r="3646" spans="1:7" x14ac:dyDescent="0.3">
      <c r="A3646">
        <v>3644</v>
      </c>
      <c r="B3646" t="s">
        <v>4216</v>
      </c>
      <c r="C3646" t="s">
        <v>4217</v>
      </c>
      <c r="D3646">
        <v>189</v>
      </c>
      <c r="E3646">
        <v>170</v>
      </c>
      <c r="F3646" t="s">
        <v>740</v>
      </c>
      <c r="G3646" t="s">
        <v>4149</v>
      </c>
    </row>
    <row r="3647" spans="1:7" x14ac:dyDescent="0.3">
      <c r="A3647">
        <v>3645</v>
      </c>
      <c r="B3647" t="s">
        <v>4218</v>
      </c>
      <c r="C3647" t="s">
        <v>4217</v>
      </c>
      <c r="D3647">
        <v>899</v>
      </c>
      <c r="E3647">
        <v>825</v>
      </c>
      <c r="F3647" t="s">
        <v>216</v>
      </c>
      <c r="G3647" t="s">
        <v>4149</v>
      </c>
    </row>
    <row r="3648" spans="1:7" x14ac:dyDescent="0.3">
      <c r="A3648">
        <v>3646</v>
      </c>
      <c r="B3648" t="s">
        <v>4219</v>
      </c>
      <c r="C3648" t="s">
        <v>4217</v>
      </c>
      <c r="D3648">
        <v>899</v>
      </c>
      <c r="E3648">
        <v>719</v>
      </c>
      <c r="F3648" t="s">
        <v>216</v>
      </c>
      <c r="G3648" t="s">
        <v>4035</v>
      </c>
    </row>
    <row r="3649" spans="1:7" x14ac:dyDescent="0.3">
      <c r="A3649">
        <v>3647</v>
      </c>
      <c r="B3649" t="s">
        <v>4220</v>
      </c>
      <c r="C3649" t="s">
        <v>4090</v>
      </c>
      <c r="D3649">
        <v>210</v>
      </c>
      <c r="E3649">
        <v>129</v>
      </c>
      <c r="F3649" t="s">
        <v>4221</v>
      </c>
      <c r="G3649" t="s">
        <v>4035</v>
      </c>
    </row>
    <row r="3650" spans="1:7" x14ac:dyDescent="0.3">
      <c r="A3650">
        <v>3648</v>
      </c>
      <c r="B3650" t="s">
        <v>4222</v>
      </c>
      <c r="C3650" t="s">
        <v>4090</v>
      </c>
      <c r="D3650">
        <v>275</v>
      </c>
      <c r="E3650">
        <v>209</v>
      </c>
      <c r="F3650" t="s">
        <v>4221</v>
      </c>
      <c r="G3650" t="s">
        <v>4035</v>
      </c>
    </row>
    <row r="3651" spans="1:7" x14ac:dyDescent="0.3">
      <c r="A3651">
        <v>3649</v>
      </c>
      <c r="B3651" t="s">
        <v>4223</v>
      </c>
      <c r="C3651" t="s">
        <v>4143</v>
      </c>
      <c r="D3651">
        <v>700</v>
      </c>
      <c r="E3651">
        <v>350</v>
      </c>
      <c r="F3651" t="s">
        <v>216</v>
      </c>
      <c r="G3651" t="s">
        <v>4035</v>
      </c>
    </row>
    <row r="3652" spans="1:7" x14ac:dyDescent="0.3">
      <c r="A3652">
        <v>3650</v>
      </c>
      <c r="B3652" t="s">
        <v>4224</v>
      </c>
      <c r="C3652" t="s">
        <v>4225</v>
      </c>
      <c r="D3652">
        <v>210</v>
      </c>
      <c r="E3652">
        <v>180</v>
      </c>
      <c r="F3652" t="s">
        <v>399</v>
      </c>
      <c r="G3652" t="s">
        <v>4149</v>
      </c>
    </row>
    <row r="3653" spans="1:7" x14ac:dyDescent="0.3">
      <c r="A3653">
        <v>3651</v>
      </c>
      <c r="B3653" t="s">
        <v>4224</v>
      </c>
      <c r="C3653" t="s">
        <v>4225</v>
      </c>
      <c r="D3653">
        <v>170</v>
      </c>
      <c r="E3653">
        <v>140</v>
      </c>
      <c r="F3653" t="s">
        <v>1109</v>
      </c>
      <c r="G3653" t="s">
        <v>4149</v>
      </c>
    </row>
    <row r="3654" spans="1:7" x14ac:dyDescent="0.3">
      <c r="A3654">
        <v>3652</v>
      </c>
      <c r="B3654" t="s">
        <v>4224</v>
      </c>
      <c r="C3654" t="s">
        <v>4225</v>
      </c>
      <c r="D3654">
        <v>130</v>
      </c>
      <c r="E3654">
        <v>115</v>
      </c>
      <c r="F3654" t="s">
        <v>4163</v>
      </c>
      <c r="G3654" t="s">
        <v>4149</v>
      </c>
    </row>
    <row r="3655" spans="1:7" x14ac:dyDescent="0.3">
      <c r="A3655">
        <v>3653</v>
      </c>
      <c r="B3655" t="s">
        <v>4226</v>
      </c>
      <c r="C3655" t="s">
        <v>4227</v>
      </c>
      <c r="D3655">
        <v>140</v>
      </c>
      <c r="E3655">
        <v>125</v>
      </c>
      <c r="F3655" t="s">
        <v>4163</v>
      </c>
      <c r="G3655" t="s">
        <v>4149</v>
      </c>
    </row>
    <row r="3656" spans="1:7" x14ac:dyDescent="0.3">
      <c r="A3656">
        <v>3654</v>
      </c>
      <c r="B3656" t="s">
        <v>4226</v>
      </c>
      <c r="C3656" t="s">
        <v>4227</v>
      </c>
      <c r="D3656">
        <v>195</v>
      </c>
      <c r="E3656">
        <v>165</v>
      </c>
      <c r="F3656" t="s">
        <v>1109</v>
      </c>
      <c r="G3656" t="s">
        <v>4149</v>
      </c>
    </row>
    <row r="3657" spans="1:7" x14ac:dyDescent="0.3">
      <c r="A3657">
        <v>3655</v>
      </c>
      <c r="B3657" t="s">
        <v>4228</v>
      </c>
      <c r="C3657" t="s">
        <v>4159</v>
      </c>
      <c r="D3657">
        <v>349</v>
      </c>
      <c r="E3657">
        <v>189</v>
      </c>
      <c r="F3657" t="s">
        <v>12</v>
      </c>
      <c r="G3657" t="s">
        <v>4149</v>
      </c>
    </row>
    <row r="3658" spans="1:7" x14ac:dyDescent="0.3">
      <c r="A3658">
        <v>3656</v>
      </c>
      <c r="B3658" t="s">
        <v>4229</v>
      </c>
      <c r="C3658" t="s">
        <v>410</v>
      </c>
      <c r="D3658">
        <v>90</v>
      </c>
      <c r="E3658">
        <v>83</v>
      </c>
      <c r="F3658" t="s">
        <v>1109</v>
      </c>
      <c r="G3658" t="s">
        <v>4035</v>
      </c>
    </row>
    <row r="3659" spans="1:7" x14ac:dyDescent="0.3">
      <c r="A3659">
        <v>3657</v>
      </c>
      <c r="B3659" t="s">
        <v>4230</v>
      </c>
      <c r="C3659" t="s">
        <v>4159</v>
      </c>
      <c r="D3659">
        <v>425</v>
      </c>
      <c r="E3659">
        <v>212</v>
      </c>
      <c r="F3659" t="s">
        <v>12</v>
      </c>
      <c r="G3659" t="s">
        <v>4149</v>
      </c>
    </row>
    <row r="3660" spans="1:7" x14ac:dyDescent="0.3">
      <c r="A3660">
        <v>3658</v>
      </c>
      <c r="B3660" t="s">
        <v>4231</v>
      </c>
      <c r="C3660" t="s">
        <v>4232</v>
      </c>
      <c r="D3660">
        <v>150</v>
      </c>
      <c r="E3660">
        <v>75</v>
      </c>
      <c r="F3660" t="s">
        <v>188</v>
      </c>
      <c r="G3660" t="s">
        <v>1510</v>
      </c>
    </row>
    <row r="3661" spans="1:7" x14ac:dyDescent="0.3">
      <c r="A3661">
        <v>3659</v>
      </c>
      <c r="B3661" t="s">
        <v>4233</v>
      </c>
      <c r="C3661" t="s">
        <v>4185</v>
      </c>
      <c r="D3661">
        <v>225</v>
      </c>
      <c r="E3661">
        <v>170</v>
      </c>
      <c r="F3661" t="s">
        <v>11</v>
      </c>
      <c r="G3661" t="s">
        <v>4149</v>
      </c>
    </row>
    <row r="3662" spans="1:7" x14ac:dyDescent="0.3">
      <c r="A3662">
        <v>3660</v>
      </c>
      <c r="B3662" t="s">
        <v>4234</v>
      </c>
      <c r="C3662" t="s">
        <v>4185</v>
      </c>
      <c r="D3662">
        <v>225</v>
      </c>
      <c r="E3662">
        <v>170</v>
      </c>
      <c r="F3662" t="s">
        <v>11</v>
      </c>
      <c r="G3662" t="s">
        <v>4149</v>
      </c>
    </row>
    <row r="3663" spans="1:7" x14ac:dyDescent="0.3">
      <c r="A3663">
        <v>3661</v>
      </c>
      <c r="B3663" t="s">
        <v>4235</v>
      </c>
      <c r="C3663" t="s">
        <v>4185</v>
      </c>
      <c r="D3663">
        <v>225</v>
      </c>
      <c r="E3663">
        <v>175</v>
      </c>
      <c r="F3663" t="s">
        <v>11</v>
      </c>
      <c r="G3663" t="s">
        <v>4149</v>
      </c>
    </row>
    <row r="3664" spans="1:7" x14ac:dyDescent="0.3">
      <c r="A3664">
        <v>3662</v>
      </c>
      <c r="B3664" t="s">
        <v>4236</v>
      </c>
      <c r="C3664" t="s">
        <v>4232</v>
      </c>
      <c r="D3664">
        <v>225</v>
      </c>
      <c r="E3664">
        <v>185</v>
      </c>
      <c r="F3664" t="s">
        <v>12</v>
      </c>
      <c r="G3664" t="s">
        <v>4035</v>
      </c>
    </row>
    <row r="3665" spans="1:7" x14ac:dyDescent="0.3">
      <c r="A3665">
        <v>3663</v>
      </c>
      <c r="B3665" t="s">
        <v>4237</v>
      </c>
      <c r="C3665" t="s">
        <v>4147</v>
      </c>
      <c r="D3665">
        <v>250</v>
      </c>
      <c r="E3665">
        <v>175</v>
      </c>
      <c r="F3665" t="s">
        <v>11</v>
      </c>
      <c r="G3665" t="s">
        <v>4149</v>
      </c>
    </row>
    <row r="3666" spans="1:7" x14ac:dyDescent="0.3">
      <c r="A3666">
        <v>3664</v>
      </c>
      <c r="B3666" t="s">
        <v>4238</v>
      </c>
      <c r="C3666" t="s">
        <v>4185</v>
      </c>
      <c r="D3666">
        <v>189</v>
      </c>
      <c r="E3666">
        <v>134</v>
      </c>
      <c r="F3666" t="s">
        <v>11</v>
      </c>
      <c r="G3666" t="s">
        <v>4149</v>
      </c>
    </row>
    <row r="3667" spans="1:7" x14ac:dyDescent="0.3">
      <c r="A3667">
        <v>3665</v>
      </c>
      <c r="B3667" t="s">
        <v>4239</v>
      </c>
      <c r="C3667" t="s">
        <v>4232</v>
      </c>
      <c r="D3667">
        <v>165</v>
      </c>
      <c r="E3667">
        <v>82</v>
      </c>
      <c r="F3667" t="s">
        <v>188</v>
      </c>
      <c r="G3667" t="s">
        <v>4149</v>
      </c>
    </row>
    <row r="3668" spans="1:7" x14ac:dyDescent="0.3">
      <c r="A3668">
        <v>3666</v>
      </c>
      <c r="B3668" t="s">
        <v>4240</v>
      </c>
      <c r="C3668" t="s">
        <v>4034</v>
      </c>
      <c r="D3668">
        <v>160</v>
      </c>
      <c r="E3668">
        <v>148</v>
      </c>
      <c r="F3668" t="s">
        <v>709</v>
      </c>
      <c r="G3668" t="s">
        <v>4149</v>
      </c>
    </row>
    <row r="3669" spans="1:7" x14ac:dyDescent="0.3">
      <c r="A3669">
        <v>3667</v>
      </c>
      <c r="B3669" t="s">
        <v>4241</v>
      </c>
      <c r="C3669" t="s">
        <v>4242</v>
      </c>
      <c r="D3669">
        <v>99</v>
      </c>
      <c r="E3669">
        <v>49</v>
      </c>
      <c r="F3669" t="s">
        <v>4243</v>
      </c>
      <c r="G3669" t="s">
        <v>4035</v>
      </c>
    </row>
    <row r="3670" spans="1:7" x14ac:dyDescent="0.3">
      <c r="A3670">
        <v>3668</v>
      </c>
      <c r="B3670" t="s">
        <v>4244</v>
      </c>
      <c r="C3670" t="s">
        <v>4147</v>
      </c>
      <c r="D3670">
        <v>225</v>
      </c>
      <c r="E3670">
        <v>144</v>
      </c>
      <c r="F3670" t="s">
        <v>11</v>
      </c>
      <c r="G3670" t="s">
        <v>4149</v>
      </c>
    </row>
    <row r="3671" spans="1:7" x14ac:dyDescent="0.3">
      <c r="A3671">
        <v>3669</v>
      </c>
      <c r="B3671" t="s">
        <v>4245</v>
      </c>
      <c r="C3671" t="s">
        <v>4185</v>
      </c>
      <c r="D3671">
        <v>99</v>
      </c>
      <c r="E3671">
        <v>66</v>
      </c>
      <c r="F3671" t="s">
        <v>1773</v>
      </c>
      <c r="G3671" t="s">
        <v>4035</v>
      </c>
    </row>
    <row r="3672" spans="1:7" x14ac:dyDescent="0.3">
      <c r="A3672">
        <v>3670</v>
      </c>
      <c r="B3672" t="s">
        <v>4246</v>
      </c>
      <c r="C3672" t="s">
        <v>4185</v>
      </c>
      <c r="D3672">
        <v>225</v>
      </c>
      <c r="E3672">
        <v>199</v>
      </c>
      <c r="F3672" t="s">
        <v>11</v>
      </c>
      <c r="G3672" t="s">
        <v>4149</v>
      </c>
    </row>
    <row r="3673" spans="1:7" x14ac:dyDescent="0.3">
      <c r="A3673">
        <v>3671</v>
      </c>
      <c r="B3673" t="s">
        <v>4247</v>
      </c>
      <c r="C3673" t="s">
        <v>4248</v>
      </c>
      <c r="D3673">
        <v>155</v>
      </c>
      <c r="E3673">
        <v>135</v>
      </c>
      <c r="F3673" t="s">
        <v>709</v>
      </c>
      <c r="G3673" t="s">
        <v>4149</v>
      </c>
    </row>
    <row r="3674" spans="1:7" x14ac:dyDescent="0.3">
      <c r="A3674">
        <v>3672</v>
      </c>
      <c r="B3674" t="s">
        <v>4249</v>
      </c>
      <c r="C3674" t="s">
        <v>2237</v>
      </c>
      <c r="D3674">
        <v>50</v>
      </c>
      <c r="E3674">
        <v>46</v>
      </c>
      <c r="F3674" t="s">
        <v>4172</v>
      </c>
      <c r="G3674" t="s">
        <v>4035</v>
      </c>
    </row>
    <row r="3675" spans="1:7" x14ac:dyDescent="0.3">
      <c r="A3675">
        <v>3673</v>
      </c>
      <c r="B3675" t="s">
        <v>4250</v>
      </c>
      <c r="C3675" t="s">
        <v>4242</v>
      </c>
      <c r="D3675">
        <v>99</v>
      </c>
      <c r="E3675">
        <v>49</v>
      </c>
      <c r="F3675" t="s">
        <v>4243</v>
      </c>
      <c r="G3675" t="s">
        <v>4035</v>
      </c>
    </row>
    <row r="3676" spans="1:7" x14ac:dyDescent="0.3">
      <c r="A3676">
        <v>3674</v>
      </c>
      <c r="B3676" t="s">
        <v>4251</v>
      </c>
      <c r="C3676" t="s">
        <v>4147</v>
      </c>
      <c r="D3676">
        <v>199</v>
      </c>
      <c r="E3676">
        <v>144</v>
      </c>
      <c r="F3676" t="s">
        <v>11</v>
      </c>
      <c r="G3676" t="s">
        <v>4149</v>
      </c>
    </row>
    <row r="3677" spans="1:7" x14ac:dyDescent="0.3">
      <c r="A3677">
        <v>3675</v>
      </c>
      <c r="B3677" t="s">
        <v>4252</v>
      </c>
      <c r="C3677" t="s">
        <v>4185</v>
      </c>
      <c r="D3677">
        <v>99</v>
      </c>
      <c r="E3677">
        <v>66</v>
      </c>
      <c r="F3677" t="s">
        <v>1773</v>
      </c>
      <c r="G3677" t="s">
        <v>4035</v>
      </c>
    </row>
    <row r="3678" spans="1:7" x14ac:dyDescent="0.3">
      <c r="A3678">
        <v>3676</v>
      </c>
      <c r="B3678" t="s">
        <v>4253</v>
      </c>
      <c r="C3678" t="s">
        <v>4242</v>
      </c>
      <c r="D3678">
        <v>99</v>
      </c>
      <c r="E3678">
        <v>49</v>
      </c>
      <c r="F3678" t="s">
        <v>4243</v>
      </c>
      <c r="G3678" t="s">
        <v>4035</v>
      </c>
    </row>
    <row r="3679" spans="1:7" x14ac:dyDescent="0.3">
      <c r="A3679">
        <v>3677</v>
      </c>
      <c r="B3679" t="s">
        <v>4254</v>
      </c>
      <c r="C3679" t="s">
        <v>4185</v>
      </c>
      <c r="D3679">
        <v>99</v>
      </c>
      <c r="E3679">
        <v>66</v>
      </c>
      <c r="F3679" t="s">
        <v>1773</v>
      </c>
      <c r="G3679" t="s">
        <v>4035</v>
      </c>
    </row>
    <row r="3680" spans="1:7" x14ac:dyDescent="0.3">
      <c r="A3680">
        <v>3678</v>
      </c>
      <c r="B3680" t="s">
        <v>4255</v>
      </c>
      <c r="C3680" t="s">
        <v>4189</v>
      </c>
      <c r="D3680">
        <v>599</v>
      </c>
      <c r="E3680">
        <v>479</v>
      </c>
      <c r="F3680" t="s">
        <v>1725</v>
      </c>
      <c r="G3680" t="s">
        <v>4035</v>
      </c>
    </row>
    <row r="3681" spans="1:7" x14ac:dyDescent="0.3">
      <c r="A3681">
        <v>3679</v>
      </c>
      <c r="B3681" t="s">
        <v>4256</v>
      </c>
      <c r="C3681" t="s">
        <v>4242</v>
      </c>
      <c r="D3681">
        <v>129</v>
      </c>
      <c r="E3681">
        <v>64</v>
      </c>
      <c r="F3681" t="s">
        <v>4243</v>
      </c>
      <c r="G3681" t="s">
        <v>4035</v>
      </c>
    </row>
    <row r="3682" spans="1:7" x14ac:dyDescent="0.3">
      <c r="A3682">
        <v>3680</v>
      </c>
      <c r="B3682" t="s">
        <v>4257</v>
      </c>
      <c r="C3682" t="s">
        <v>4159</v>
      </c>
      <c r="D3682">
        <v>225</v>
      </c>
      <c r="E3682">
        <v>155</v>
      </c>
      <c r="F3682" t="s">
        <v>11</v>
      </c>
      <c r="G3682" t="s">
        <v>4035</v>
      </c>
    </row>
    <row r="3683" spans="1:7" x14ac:dyDescent="0.3">
      <c r="A3683">
        <v>3681</v>
      </c>
      <c r="B3683" t="s">
        <v>4258</v>
      </c>
      <c r="C3683" t="s">
        <v>2234</v>
      </c>
      <c r="D3683">
        <v>165</v>
      </c>
      <c r="E3683">
        <v>125</v>
      </c>
      <c r="F3683" t="s">
        <v>216</v>
      </c>
      <c r="G3683" t="s">
        <v>4035</v>
      </c>
    </row>
    <row r="3684" spans="1:7" x14ac:dyDescent="0.3">
      <c r="A3684">
        <v>3682</v>
      </c>
      <c r="B3684" t="s">
        <v>4259</v>
      </c>
      <c r="C3684" t="s">
        <v>2234</v>
      </c>
      <c r="D3684">
        <v>270</v>
      </c>
      <c r="E3684">
        <v>220</v>
      </c>
      <c r="F3684" t="s">
        <v>11</v>
      </c>
      <c r="G3684" t="s">
        <v>4035</v>
      </c>
    </row>
    <row r="3685" spans="1:7" x14ac:dyDescent="0.3">
      <c r="A3685">
        <v>3683</v>
      </c>
      <c r="B3685" t="s">
        <v>4260</v>
      </c>
      <c r="C3685" t="s">
        <v>4242</v>
      </c>
      <c r="D3685">
        <v>149</v>
      </c>
      <c r="E3685">
        <v>74</v>
      </c>
      <c r="F3685" t="s">
        <v>4243</v>
      </c>
      <c r="G3685" t="s">
        <v>4035</v>
      </c>
    </row>
    <row r="3686" spans="1:7" x14ac:dyDescent="0.3">
      <c r="A3686">
        <v>3684</v>
      </c>
      <c r="B3686" t="s">
        <v>4261</v>
      </c>
      <c r="C3686" t="s">
        <v>4199</v>
      </c>
      <c r="D3686">
        <v>205</v>
      </c>
      <c r="E3686">
        <v>142</v>
      </c>
      <c r="F3686" t="s">
        <v>11</v>
      </c>
      <c r="G3686" t="s">
        <v>4035</v>
      </c>
    </row>
    <row r="3687" spans="1:7" x14ac:dyDescent="0.3">
      <c r="A3687">
        <v>3685</v>
      </c>
      <c r="B3687" t="s">
        <v>4262</v>
      </c>
      <c r="C3687" t="s">
        <v>4242</v>
      </c>
      <c r="D3687">
        <v>99</v>
      </c>
      <c r="E3687">
        <v>49</v>
      </c>
      <c r="F3687" t="s">
        <v>4243</v>
      </c>
      <c r="G3687" t="s">
        <v>4035</v>
      </c>
    </row>
    <row r="3688" spans="1:7" x14ac:dyDescent="0.3">
      <c r="A3688">
        <v>3686</v>
      </c>
      <c r="B3688" t="s">
        <v>4263</v>
      </c>
      <c r="C3688" t="s">
        <v>4264</v>
      </c>
      <c r="D3688">
        <v>330</v>
      </c>
      <c r="E3688">
        <v>210</v>
      </c>
      <c r="F3688" t="s">
        <v>4160</v>
      </c>
      <c r="G3688" t="s">
        <v>4149</v>
      </c>
    </row>
    <row r="3689" spans="1:7" x14ac:dyDescent="0.3">
      <c r="A3689">
        <v>3687</v>
      </c>
      <c r="B3689" t="s">
        <v>4265</v>
      </c>
      <c r="C3689" t="s">
        <v>4217</v>
      </c>
      <c r="D3689">
        <v>399</v>
      </c>
      <c r="E3689">
        <v>355</v>
      </c>
      <c r="F3689" t="s">
        <v>216</v>
      </c>
      <c r="G3689" t="s">
        <v>4149</v>
      </c>
    </row>
    <row r="3690" spans="1:7" x14ac:dyDescent="0.3">
      <c r="A3690">
        <v>3688</v>
      </c>
      <c r="B3690" t="s">
        <v>4266</v>
      </c>
      <c r="C3690" t="s">
        <v>4267</v>
      </c>
      <c r="D3690">
        <v>275</v>
      </c>
      <c r="E3690">
        <v>220</v>
      </c>
      <c r="F3690" t="s">
        <v>4163</v>
      </c>
      <c r="G3690" t="s">
        <v>4149</v>
      </c>
    </row>
    <row r="3691" spans="1:7" x14ac:dyDescent="0.3">
      <c r="A3691">
        <v>3689</v>
      </c>
      <c r="B3691" t="s">
        <v>4268</v>
      </c>
      <c r="C3691" t="s">
        <v>4159</v>
      </c>
      <c r="D3691">
        <v>110</v>
      </c>
      <c r="E3691">
        <v>97</v>
      </c>
      <c r="F3691" t="s">
        <v>11</v>
      </c>
      <c r="G3691" t="s">
        <v>4035</v>
      </c>
    </row>
    <row r="3692" spans="1:7" x14ac:dyDescent="0.3">
      <c r="A3692">
        <v>3690</v>
      </c>
      <c r="B3692" t="s">
        <v>4268</v>
      </c>
      <c r="C3692" t="s">
        <v>4159</v>
      </c>
      <c r="D3692">
        <v>215</v>
      </c>
      <c r="E3692">
        <v>175</v>
      </c>
      <c r="F3692" t="s">
        <v>12</v>
      </c>
      <c r="G3692" t="s">
        <v>4035</v>
      </c>
    </row>
    <row r="3693" spans="1:7" x14ac:dyDescent="0.3">
      <c r="A3693">
        <v>3691</v>
      </c>
      <c r="B3693" t="s">
        <v>4268</v>
      </c>
      <c r="C3693" t="s">
        <v>4159</v>
      </c>
      <c r="D3693">
        <v>340</v>
      </c>
      <c r="E3693">
        <v>279</v>
      </c>
      <c r="F3693" t="s">
        <v>76</v>
      </c>
      <c r="G3693" t="s">
        <v>4035</v>
      </c>
    </row>
    <row r="3694" spans="1:7" x14ac:dyDescent="0.3">
      <c r="A3694">
        <v>3692</v>
      </c>
      <c r="B3694" t="s">
        <v>4269</v>
      </c>
      <c r="C3694" t="s">
        <v>4051</v>
      </c>
      <c r="D3694">
        <v>179</v>
      </c>
      <c r="E3694">
        <v>89</v>
      </c>
      <c r="F3694" t="s">
        <v>76</v>
      </c>
      <c r="G3694" t="s">
        <v>4035</v>
      </c>
    </row>
    <row r="3695" spans="1:7" x14ac:dyDescent="0.3">
      <c r="A3695">
        <v>3693</v>
      </c>
      <c r="B3695" t="s">
        <v>4269</v>
      </c>
      <c r="C3695" t="s">
        <v>4051</v>
      </c>
      <c r="D3695">
        <v>109</v>
      </c>
      <c r="E3695">
        <v>54</v>
      </c>
      <c r="F3695" t="s">
        <v>12</v>
      </c>
      <c r="G3695" t="s">
        <v>4035</v>
      </c>
    </row>
    <row r="3696" spans="1:7" x14ac:dyDescent="0.3">
      <c r="A3696">
        <v>3694</v>
      </c>
      <c r="B3696" t="s">
        <v>4270</v>
      </c>
      <c r="C3696" t="s">
        <v>4159</v>
      </c>
      <c r="D3696">
        <v>135</v>
      </c>
      <c r="E3696">
        <v>115</v>
      </c>
      <c r="F3696" t="s">
        <v>11</v>
      </c>
      <c r="G3696" t="s">
        <v>4035</v>
      </c>
    </row>
    <row r="3697" spans="1:7" x14ac:dyDescent="0.3">
      <c r="A3697">
        <v>3695</v>
      </c>
      <c r="B3697" t="s">
        <v>4271</v>
      </c>
      <c r="C3697" t="s">
        <v>17</v>
      </c>
      <c r="D3697">
        <v>125</v>
      </c>
      <c r="E3697">
        <v>85</v>
      </c>
      <c r="F3697" t="s">
        <v>834</v>
      </c>
      <c r="G3697" t="s">
        <v>4035</v>
      </c>
    </row>
    <row r="3698" spans="1:7" x14ac:dyDescent="0.3">
      <c r="A3698">
        <v>3696</v>
      </c>
      <c r="B3698" t="s">
        <v>4272</v>
      </c>
      <c r="C3698" t="s">
        <v>4273</v>
      </c>
      <c r="D3698">
        <v>230</v>
      </c>
      <c r="E3698">
        <v>165</v>
      </c>
      <c r="F3698" t="s">
        <v>107</v>
      </c>
      <c r="G3698" t="s">
        <v>4035</v>
      </c>
    </row>
    <row r="3699" spans="1:7" x14ac:dyDescent="0.3">
      <c r="A3699">
        <v>3697</v>
      </c>
      <c r="B3699" t="s">
        <v>4274</v>
      </c>
      <c r="C3699" t="s">
        <v>4273</v>
      </c>
      <c r="D3699">
        <v>230</v>
      </c>
      <c r="E3699">
        <v>165</v>
      </c>
      <c r="F3699" t="s">
        <v>107</v>
      </c>
      <c r="G3699" t="s">
        <v>4035</v>
      </c>
    </row>
    <row r="3700" spans="1:7" x14ac:dyDescent="0.3">
      <c r="A3700">
        <v>3698</v>
      </c>
      <c r="B3700" t="s">
        <v>4275</v>
      </c>
      <c r="C3700" t="s">
        <v>4159</v>
      </c>
      <c r="D3700">
        <v>135</v>
      </c>
      <c r="E3700">
        <v>123</v>
      </c>
      <c r="F3700" t="s">
        <v>11</v>
      </c>
      <c r="G3700" t="s">
        <v>4035</v>
      </c>
    </row>
    <row r="3701" spans="1:7" x14ac:dyDescent="0.3">
      <c r="A3701">
        <v>3699</v>
      </c>
      <c r="B3701" t="s">
        <v>4276</v>
      </c>
      <c r="C3701" t="s">
        <v>4051</v>
      </c>
      <c r="D3701">
        <v>109</v>
      </c>
      <c r="E3701">
        <v>54</v>
      </c>
      <c r="F3701" t="s">
        <v>12</v>
      </c>
      <c r="G3701" t="s">
        <v>4035</v>
      </c>
    </row>
    <row r="3702" spans="1:7" x14ac:dyDescent="0.3">
      <c r="A3702">
        <v>3700</v>
      </c>
      <c r="B3702" t="s">
        <v>4277</v>
      </c>
      <c r="C3702" t="s">
        <v>4051</v>
      </c>
      <c r="D3702">
        <v>109</v>
      </c>
      <c r="E3702">
        <v>54</v>
      </c>
      <c r="F3702" t="s">
        <v>12</v>
      </c>
      <c r="G3702" t="s">
        <v>4035</v>
      </c>
    </row>
    <row r="3703" spans="1:7" x14ac:dyDescent="0.3">
      <c r="A3703">
        <v>3701</v>
      </c>
      <c r="B3703" t="s">
        <v>4278</v>
      </c>
      <c r="C3703" t="s">
        <v>4279</v>
      </c>
      <c r="D3703">
        <v>129</v>
      </c>
      <c r="E3703">
        <v>64</v>
      </c>
      <c r="F3703" t="s">
        <v>11</v>
      </c>
      <c r="G3703" t="s">
        <v>4035</v>
      </c>
    </row>
    <row r="3704" spans="1:7" x14ac:dyDescent="0.3">
      <c r="A3704">
        <v>3702</v>
      </c>
      <c r="B3704" t="s">
        <v>4280</v>
      </c>
      <c r="C3704" t="s">
        <v>4147</v>
      </c>
      <c r="D3704">
        <v>499</v>
      </c>
      <c r="E3704">
        <v>309</v>
      </c>
      <c r="F3704" t="s">
        <v>391</v>
      </c>
      <c r="G3704" t="s">
        <v>4035</v>
      </c>
    </row>
    <row r="3705" spans="1:7" x14ac:dyDescent="0.3">
      <c r="A3705">
        <v>3703</v>
      </c>
      <c r="B3705" t="s">
        <v>4281</v>
      </c>
      <c r="C3705" t="s">
        <v>4282</v>
      </c>
      <c r="D3705">
        <v>449</v>
      </c>
      <c r="E3705">
        <v>289</v>
      </c>
      <c r="F3705" t="s">
        <v>391</v>
      </c>
      <c r="G3705" t="s">
        <v>4035</v>
      </c>
    </row>
    <row r="3706" spans="1:7" x14ac:dyDescent="0.3">
      <c r="A3706">
        <v>3704</v>
      </c>
      <c r="B3706" t="s">
        <v>4283</v>
      </c>
      <c r="C3706" t="s">
        <v>4147</v>
      </c>
      <c r="D3706">
        <v>199</v>
      </c>
      <c r="E3706">
        <v>134</v>
      </c>
      <c r="F3706" t="s">
        <v>401</v>
      </c>
      <c r="G3706" t="s">
        <v>4035</v>
      </c>
    </row>
    <row r="3707" spans="1:7" x14ac:dyDescent="0.3">
      <c r="A3707">
        <v>3705</v>
      </c>
      <c r="B3707" t="s">
        <v>4284</v>
      </c>
      <c r="C3707" t="s">
        <v>4147</v>
      </c>
      <c r="D3707">
        <v>499</v>
      </c>
      <c r="E3707">
        <v>374</v>
      </c>
      <c r="F3707" t="s">
        <v>391</v>
      </c>
      <c r="G3707" t="s">
        <v>4035</v>
      </c>
    </row>
    <row r="3708" spans="1:7" x14ac:dyDescent="0.3">
      <c r="A3708">
        <v>3706</v>
      </c>
      <c r="B3708" t="s">
        <v>4285</v>
      </c>
      <c r="C3708" t="s">
        <v>4282</v>
      </c>
      <c r="D3708">
        <v>449</v>
      </c>
      <c r="E3708">
        <v>249</v>
      </c>
      <c r="F3708" t="s">
        <v>391</v>
      </c>
      <c r="G3708" t="s">
        <v>4035</v>
      </c>
    </row>
    <row r="3709" spans="1:7" x14ac:dyDescent="0.3">
      <c r="A3709">
        <v>3707</v>
      </c>
      <c r="B3709" t="s">
        <v>4286</v>
      </c>
      <c r="C3709" t="s">
        <v>4287</v>
      </c>
      <c r="D3709">
        <v>539</v>
      </c>
      <c r="E3709">
        <v>324</v>
      </c>
      <c r="F3709" t="s">
        <v>1194</v>
      </c>
      <c r="G3709" t="s">
        <v>4035</v>
      </c>
    </row>
    <row r="3710" spans="1:7" x14ac:dyDescent="0.3">
      <c r="A3710">
        <v>3708</v>
      </c>
      <c r="B3710" t="s">
        <v>4288</v>
      </c>
      <c r="C3710" t="s">
        <v>4189</v>
      </c>
      <c r="D3710">
        <v>349</v>
      </c>
      <c r="E3710">
        <v>239</v>
      </c>
      <c r="F3710" t="s">
        <v>1200</v>
      </c>
      <c r="G3710" t="s">
        <v>4035</v>
      </c>
    </row>
    <row r="3711" spans="1:7" x14ac:dyDescent="0.3">
      <c r="A3711">
        <v>3709</v>
      </c>
      <c r="B3711" t="s">
        <v>4289</v>
      </c>
      <c r="C3711" t="s">
        <v>4147</v>
      </c>
      <c r="D3711">
        <v>225</v>
      </c>
      <c r="E3711">
        <v>139</v>
      </c>
      <c r="F3711" t="s">
        <v>401</v>
      </c>
      <c r="G3711" t="s">
        <v>4035</v>
      </c>
    </row>
    <row r="3712" spans="1:7" x14ac:dyDescent="0.3">
      <c r="A3712">
        <v>3710</v>
      </c>
      <c r="B3712" t="s">
        <v>4290</v>
      </c>
      <c r="C3712" t="s">
        <v>4147</v>
      </c>
      <c r="D3712">
        <v>225</v>
      </c>
      <c r="E3712">
        <v>139</v>
      </c>
      <c r="F3712" t="s">
        <v>401</v>
      </c>
      <c r="G3712" t="s">
        <v>4035</v>
      </c>
    </row>
    <row r="3713" spans="1:7" x14ac:dyDescent="0.3">
      <c r="A3713">
        <v>3711</v>
      </c>
      <c r="B3713" t="s">
        <v>4291</v>
      </c>
      <c r="C3713" t="s">
        <v>4051</v>
      </c>
      <c r="D3713">
        <v>150</v>
      </c>
      <c r="E3713">
        <v>89</v>
      </c>
      <c r="F3713" t="s">
        <v>401</v>
      </c>
      <c r="G3713" t="s">
        <v>4035</v>
      </c>
    </row>
    <row r="3714" spans="1:7" x14ac:dyDescent="0.3">
      <c r="A3714">
        <v>3712</v>
      </c>
      <c r="B3714" t="s">
        <v>4292</v>
      </c>
      <c r="C3714" t="s">
        <v>4147</v>
      </c>
      <c r="D3714">
        <v>259</v>
      </c>
      <c r="E3714">
        <v>155</v>
      </c>
      <c r="F3714" t="s">
        <v>401</v>
      </c>
      <c r="G3714" t="s">
        <v>4035</v>
      </c>
    </row>
    <row r="3715" spans="1:7" x14ac:dyDescent="0.3">
      <c r="A3715">
        <v>3713</v>
      </c>
      <c r="B3715" t="s">
        <v>4293</v>
      </c>
      <c r="C3715" t="s">
        <v>4147</v>
      </c>
      <c r="D3715">
        <v>199</v>
      </c>
      <c r="E3715">
        <v>144</v>
      </c>
      <c r="F3715" t="s">
        <v>401</v>
      </c>
      <c r="G3715" t="s">
        <v>4035</v>
      </c>
    </row>
    <row r="3716" spans="1:7" x14ac:dyDescent="0.3">
      <c r="A3716">
        <v>3714</v>
      </c>
      <c r="B3716" t="s">
        <v>4294</v>
      </c>
      <c r="C3716" t="s">
        <v>4051</v>
      </c>
      <c r="D3716">
        <v>150</v>
      </c>
      <c r="E3716">
        <v>89</v>
      </c>
      <c r="F3716" t="s">
        <v>401</v>
      </c>
      <c r="G3716" t="s">
        <v>4035</v>
      </c>
    </row>
    <row r="3717" spans="1:7" x14ac:dyDescent="0.3">
      <c r="A3717">
        <v>3715</v>
      </c>
      <c r="B3717" t="s">
        <v>4295</v>
      </c>
      <c r="C3717" t="s">
        <v>4287</v>
      </c>
      <c r="D3717">
        <v>539</v>
      </c>
      <c r="E3717">
        <v>350</v>
      </c>
      <c r="F3717" t="s">
        <v>1194</v>
      </c>
      <c r="G3717" t="s">
        <v>4035</v>
      </c>
    </row>
    <row r="3718" spans="1:7" x14ac:dyDescent="0.3">
      <c r="A3718">
        <v>3716</v>
      </c>
      <c r="B3718" t="s">
        <v>4296</v>
      </c>
      <c r="C3718" t="s">
        <v>4189</v>
      </c>
      <c r="D3718">
        <v>299</v>
      </c>
      <c r="E3718">
        <v>239</v>
      </c>
      <c r="F3718" t="s">
        <v>1200</v>
      </c>
      <c r="G3718" t="s">
        <v>4035</v>
      </c>
    </row>
    <row r="3719" spans="1:7" x14ac:dyDescent="0.3">
      <c r="A3719">
        <v>3717</v>
      </c>
      <c r="B3719" t="s">
        <v>4290</v>
      </c>
      <c r="C3719" t="s">
        <v>4147</v>
      </c>
      <c r="D3719">
        <v>499</v>
      </c>
      <c r="E3719">
        <v>309</v>
      </c>
      <c r="F3719" t="s">
        <v>391</v>
      </c>
      <c r="G3719" t="s">
        <v>4035</v>
      </c>
    </row>
    <row r="3720" spans="1:7" x14ac:dyDescent="0.3">
      <c r="A3720">
        <v>3718</v>
      </c>
      <c r="B3720" t="s">
        <v>4297</v>
      </c>
      <c r="C3720" t="s">
        <v>4287</v>
      </c>
      <c r="D3720">
        <v>279</v>
      </c>
      <c r="E3720">
        <v>174</v>
      </c>
      <c r="F3720" t="s">
        <v>401</v>
      </c>
      <c r="G3720" t="s">
        <v>4035</v>
      </c>
    </row>
    <row r="3721" spans="1:7" x14ac:dyDescent="0.3">
      <c r="A3721">
        <v>3719</v>
      </c>
      <c r="B3721" t="s">
        <v>4298</v>
      </c>
      <c r="C3721" t="s">
        <v>4287</v>
      </c>
      <c r="D3721">
        <v>249</v>
      </c>
      <c r="E3721">
        <v>174</v>
      </c>
      <c r="F3721" t="s">
        <v>401</v>
      </c>
      <c r="G3721" t="s">
        <v>4035</v>
      </c>
    </row>
    <row r="3722" spans="1:7" x14ac:dyDescent="0.3">
      <c r="A3722">
        <v>3720</v>
      </c>
      <c r="B3722" t="s">
        <v>4299</v>
      </c>
      <c r="C3722" t="s">
        <v>4300</v>
      </c>
      <c r="D3722">
        <v>850</v>
      </c>
      <c r="E3722">
        <v>680</v>
      </c>
      <c r="F3722" t="s">
        <v>2199</v>
      </c>
      <c r="G3722" t="s">
        <v>4035</v>
      </c>
    </row>
    <row r="3723" spans="1:7" x14ac:dyDescent="0.3">
      <c r="A3723">
        <v>3721</v>
      </c>
      <c r="B3723" t="s">
        <v>4301</v>
      </c>
      <c r="C3723" t="s">
        <v>4090</v>
      </c>
      <c r="D3723">
        <v>210</v>
      </c>
      <c r="E3723">
        <v>145</v>
      </c>
      <c r="F3723" t="s">
        <v>4221</v>
      </c>
      <c r="G3723" t="s">
        <v>4035</v>
      </c>
    </row>
    <row r="3724" spans="1:7" x14ac:dyDescent="0.3">
      <c r="A3724">
        <v>3722</v>
      </c>
      <c r="B3724" t="s">
        <v>4302</v>
      </c>
      <c r="C3724" t="s">
        <v>4303</v>
      </c>
      <c r="D3724">
        <v>380</v>
      </c>
      <c r="E3724">
        <v>266</v>
      </c>
      <c r="F3724" t="s">
        <v>3060</v>
      </c>
      <c r="G3724" t="s">
        <v>4035</v>
      </c>
    </row>
    <row r="3725" spans="1:7" x14ac:dyDescent="0.3">
      <c r="A3725">
        <v>3723</v>
      </c>
      <c r="B3725" t="s">
        <v>4304</v>
      </c>
      <c r="C3725" t="s">
        <v>4303</v>
      </c>
      <c r="D3725">
        <v>380</v>
      </c>
      <c r="E3725">
        <v>266</v>
      </c>
      <c r="F3725" t="s">
        <v>3060</v>
      </c>
      <c r="G3725" t="s">
        <v>4035</v>
      </c>
    </row>
    <row r="3726" spans="1:7" x14ac:dyDescent="0.3">
      <c r="A3726">
        <v>3724</v>
      </c>
      <c r="B3726" t="s">
        <v>4305</v>
      </c>
      <c r="C3726" t="s">
        <v>4306</v>
      </c>
      <c r="D3726">
        <v>450</v>
      </c>
      <c r="E3726">
        <v>315</v>
      </c>
      <c r="F3726" t="s">
        <v>1200</v>
      </c>
      <c r="G3726" t="s">
        <v>4035</v>
      </c>
    </row>
    <row r="3727" spans="1:7" x14ac:dyDescent="0.3">
      <c r="A3727">
        <v>3725</v>
      </c>
      <c r="B3727" t="s">
        <v>4307</v>
      </c>
      <c r="C3727" t="s">
        <v>4267</v>
      </c>
      <c r="D3727">
        <v>299</v>
      </c>
      <c r="E3727">
        <v>239</v>
      </c>
      <c r="F3727" t="s">
        <v>399</v>
      </c>
      <c r="G3727" t="s">
        <v>4035</v>
      </c>
    </row>
    <row r="3728" spans="1:7" x14ac:dyDescent="0.3">
      <c r="A3728">
        <v>3726</v>
      </c>
      <c r="B3728" t="s">
        <v>4308</v>
      </c>
      <c r="C3728" t="s">
        <v>4034</v>
      </c>
      <c r="D3728">
        <v>425</v>
      </c>
      <c r="E3728">
        <v>325</v>
      </c>
      <c r="F3728" t="s">
        <v>1194</v>
      </c>
      <c r="G3728" t="s">
        <v>4035</v>
      </c>
    </row>
    <row r="3729" spans="1:7" x14ac:dyDescent="0.3">
      <c r="A3729">
        <v>3727</v>
      </c>
      <c r="B3729" t="s">
        <v>4308</v>
      </c>
      <c r="C3729" t="s">
        <v>4034</v>
      </c>
      <c r="D3729">
        <v>135</v>
      </c>
      <c r="E3729">
        <v>119</v>
      </c>
      <c r="F3729" t="s">
        <v>401</v>
      </c>
      <c r="G3729" t="s">
        <v>4035</v>
      </c>
    </row>
    <row r="3730" spans="1:7" x14ac:dyDescent="0.3">
      <c r="A3730">
        <v>3728</v>
      </c>
      <c r="B3730" t="s">
        <v>4309</v>
      </c>
      <c r="C3730" t="s">
        <v>4034</v>
      </c>
      <c r="D3730">
        <v>410</v>
      </c>
      <c r="E3730">
        <v>310</v>
      </c>
      <c r="F3730" t="s">
        <v>1194</v>
      </c>
      <c r="G3730" t="s">
        <v>4035</v>
      </c>
    </row>
    <row r="3731" spans="1:7" x14ac:dyDescent="0.3">
      <c r="A3731">
        <v>3729</v>
      </c>
      <c r="B3731" t="s">
        <v>4310</v>
      </c>
      <c r="C3731" t="s">
        <v>4287</v>
      </c>
      <c r="D3731">
        <v>599</v>
      </c>
      <c r="E3731">
        <v>369</v>
      </c>
      <c r="F3731" t="s">
        <v>1194</v>
      </c>
      <c r="G3731" t="s">
        <v>4035</v>
      </c>
    </row>
    <row r="3732" spans="1:7" x14ac:dyDescent="0.3">
      <c r="A3732">
        <v>3730</v>
      </c>
      <c r="B3732" t="s">
        <v>4311</v>
      </c>
      <c r="C3732" t="s">
        <v>4287</v>
      </c>
      <c r="D3732">
        <v>629</v>
      </c>
      <c r="E3732">
        <v>389</v>
      </c>
      <c r="F3732" t="s">
        <v>1194</v>
      </c>
      <c r="G3732" t="s">
        <v>4035</v>
      </c>
    </row>
    <row r="3733" spans="1:7" x14ac:dyDescent="0.3">
      <c r="A3733">
        <v>3731</v>
      </c>
      <c r="B3733" t="s">
        <v>4312</v>
      </c>
      <c r="C3733" t="s">
        <v>4042</v>
      </c>
      <c r="D3733">
        <v>125</v>
      </c>
      <c r="E3733">
        <v>112</v>
      </c>
      <c r="F3733" t="s">
        <v>401</v>
      </c>
      <c r="G3733" t="s">
        <v>4035</v>
      </c>
    </row>
    <row r="3734" spans="1:7" x14ac:dyDescent="0.3">
      <c r="A3734">
        <v>3732</v>
      </c>
      <c r="B3734" t="s">
        <v>4313</v>
      </c>
      <c r="C3734" t="s">
        <v>2234</v>
      </c>
      <c r="D3734">
        <v>315</v>
      </c>
      <c r="E3734">
        <v>195</v>
      </c>
      <c r="F3734" t="s">
        <v>216</v>
      </c>
      <c r="G3734" t="s">
        <v>4035</v>
      </c>
    </row>
    <row r="3735" spans="1:7" x14ac:dyDescent="0.3">
      <c r="A3735">
        <v>3733</v>
      </c>
      <c r="B3735" t="s">
        <v>4314</v>
      </c>
      <c r="C3735" t="s">
        <v>2234</v>
      </c>
      <c r="D3735">
        <v>415</v>
      </c>
      <c r="E3735">
        <v>279</v>
      </c>
      <c r="F3735" t="s">
        <v>709</v>
      </c>
      <c r="G3735" t="s">
        <v>4035</v>
      </c>
    </row>
    <row r="3736" spans="1:7" x14ac:dyDescent="0.3">
      <c r="A3736">
        <v>3734</v>
      </c>
      <c r="B3736" t="s">
        <v>4315</v>
      </c>
      <c r="C3736" t="s">
        <v>4169</v>
      </c>
      <c r="D3736">
        <v>449</v>
      </c>
      <c r="E3736">
        <v>399</v>
      </c>
      <c r="F3736" t="s">
        <v>4163</v>
      </c>
      <c r="G3736" t="s">
        <v>4035</v>
      </c>
    </row>
    <row r="3737" spans="1:7" x14ac:dyDescent="0.3">
      <c r="A3737">
        <v>3735</v>
      </c>
      <c r="B3737" t="s">
        <v>4316</v>
      </c>
      <c r="C3737" t="s">
        <v>2234</v>
      </c>
      <c r="D3737">
        <v>360</v>
      </c>
      <c r="E3737">
        <v>251</v>
      </c>
      <c r="F3737" t="s">
        <v>216</v>
      </c>
      <c r="G3737" t="s">
        <v>4035</v>
      </c>
    </row>
    <row r="3738" spans="1:7" x14ac:dyDescent="0.3">
      <c r="A3738">
        <v>3736</v>
      </c>
      <c r="B3738" t="s">
        <v>4317</v>
      </c>
      <c r="C3738" t="s">
        <v>4169</v>
      </c>
      <c r="D3738">
        <v>275</v>
      </c>
      <c r="E3738">
        <v>255</v>
      </c>
      <c r="F3738" t="s">
        <v>2599</v>
      </c>
      <c r="G3738" t="s">
        <v>4035</v>
      </c>
    </row>
    <row r="3739" spans="1:7" x14ac:dyDescent="0.3">
      <c r="A3739">
        <v>3737</v>
      </c>
      <c r="B3739" t="s">
        <v>4318</v>
      </c>
      <c r="C3739" t="s">
        <v>2234</v>
      </c>
      <c r="D3739">
        <v>265</v>
      </c>
      <c r="E3739">
        <v>205</v>
      </c>
      <c r="F3739" t="s">
        <v>216</v>
      </c>
      <c r="G3739" t="s">
        <v>4035</v>
      </c>
    </row>
    <row r="3740" spans="1:7" x14ac:dyDescent="0.3">
      <c r="A3740">
        <v>3738</v>
      </c>
      <c r="B3740" t="s">
        <v>4319</v>
      </c>
      <c r="C3740" t="s">
        <v>4159</v>
      </c>
      <c r="D3740">
        <v>525</v>
      </c>
      <c r="E3740">
        <v>399</v>
      </c>
      <c r="F3740" t="s">
        <v>4163</v>
      </c>
      <c r="G3740" t="s">
        <v>4035</v>
      </c>
    </row>
    <row r="3741" spans="1:7" x14ac:dyDescent="0.3">
      <c r="A3741">
        <v>3739</v>
      </c>
      <c r="B3741" t="s">
        <v>4320</v>
      </c>
      <c r="C3741" t="s">
        <v>4147</v>
      </c>
      <c r="D3741">
        <v>140</v>
      </c>
      <c r="E3741">
        <v>110</v>
      </c>
      <c r="F3741" t="s">
        <v>4321</v>
      </c>
      <c r="G3741" t="s">
        <v>4035</v>
      </c>
    </row>
    <row r="3742" spans="1:7" x14ac:dyDescent="0.3">
      <c r="A3742">
        <v>3740</v>
      </c>
      <c r="B3742" t="s">
        <v>4322</v>
      </c>
      <c r="C3742" t="s">
        <v>4189</v>
      </c>
      <c r="D3742">
        <v>299</v>
      </c>
      <c r="E3742">
        <v>239</v>
      </c>
      <c r="F3742" t="s">
        <v>4323</v>
      </c>
      <c r="G3742" t="s">
        <v>4035</v>
      </c>
    </row>
    <row r="3743" spans="1:7" x14ac:dyDescent="0.3">
      <c r="A3743">
        <v>3741</v>
      </c>
      <c r="B3743" t="s">
        <v>4324</v>
      </c>
      <c r="C3743" t="s">
        <v>4225</v>
      </c>
      <c r="D3743">
        <v>150</v>
      </c>
      <c r="E3743">
        <v>130</v>
      </c>
      <c r="F3743" t="s">
        <v>4325</v>
      </c>
      <c r="G3743" t="s">
        <v>4035</v>
      </c>
    </row>
    <row r="3744" spans="1:7" x14ac:dyDescent="0.3">
      <c r="A3744">
        <v>3742</v>
      </c>
      <c r="B3744" t="s">
        <v>4326</v>
      </c>
      <c r="C3744" t="s">
        <v>4225</v>
      </c>
      <c r="D3744">
        <v>150</v>
      </c>
      <c r="E3744">
        <v>125</v>
      </c>
      <c r="F3744" t="s">
        <v>4325</v>
      </c>
      <c r="G3744" t="s">
        <v>4035</v>
      </c>
    </row>
    <row r="3745" spans="1:7" x14ac:dyDescent="0.3">
      <c r="A3745">
        <v>3743</v>
      </c>
      <c r="B3745" t="s">
        <v>4327</v>
      </c>
      <c r="C3745" t="s">
        <v>4147</v>
      </c>
      <c r="D3745">
        <v>425</v>
      </c>
      <c r="E3745">
        <v>304</v>
      </c>
      <c r="F3745" t="s">
        <v>2981</v>
      </c>
      <c r="G3745" t="s">
        <v>4035</v>
      </c>
    </row>
    <row r="3746" spans="1:7" x14ac:dyDescent="0.3">
      <c r="A3746">
        <v>3744</v>
      </c>
      <c r="B3746" t="s">
        <v>4328</v>
      </c>
      <c r="C3746" t="s">
        <v>4217</v>
      </c>
      <c r="D3746">
        <v>1699</v>
      </c>
      <c r="E3746">
        <v>1390</v>
      </c>
      <c r="F3746" t="s">
        <v>216</v>
      </c>
      <c r="G3746" t="s">
        <v>4035</v>
      </c>
    </row>
    <row r="3747" spans="1:7" x14ac:dyDescent="0.3">
      <c r="A3747">
        <v>3745</v>
      </c>
      <c r="B3747" t="s">
        <v>4329</v>
      </c>
      <c r="C3747" t="s">
        <v>2234</v>
      </c>
      <c r="D3747">
        <v>285</v>
      </c>
      <c r="E3747">
        <v>215</v>
      </c>
      <c r="F3747" t="s">
        <v>2712</v>
      </c>
      <c r="G3747" t="s">
        <v>4035</v>
      </c>
    </row>
    <row r="3748" spans="1:7" x14ac:dyDescent="0.3">
      <c r="A3748">
        <v>3746</v>
      </c>
      <c r="B3748" t="s">
        <v>4330</v>
      </c>
      <c r="C3748" t="s">
        <v>2234</v>
      </c>
      <c r="D3748">
        <v>325</v>
      </c>
      <c r="E3748">
        <v>244</v>
      </c>
      <c r="F3748" t="s">
        <v>2712</v>
      </c>
      <c r="G3748" t="s">
        <v>4035</v>
      </c>
    </row>
    <row r="3749" spans="1:7" x14ac:dyDescent="0.3">
      <c r="A3749">
        <v>3747</v>
      </c>
      <c r="B3749" t="s">
        <v>4331</v>
      </c>
      <c r="C3749" t="s">
        <v>2234</v>
      </c>
      <c r="D3749">
        <v>735</v>
      </c>
      <c r="E3749">
        <v>521</v>
      </c>
      <c r="F3749" t="s">
        <v>216</v>
      </c>
      <c r="G3749" t="s">
        <v>4035</v>
      </c>
    </row>
    <row r="3750" spans="1:7" x14ac:dyDescent="0.3">
      <c r="A3750">
        <v>3748</v>
      </c>
      <c r="B3750" t="s">
        <v>4332</v>
      </c>
      <c r="C3750" t="s">
        <v>2234</v>
      </c>
      <c r="D3750">
        <v>260</v>
      </c>
      <c r="E3750">
        <v>180</v>
      </c>
      <c r="F3750" t="s">
        <v>11</v>
      </c>
      <c r="G3750" t="s">
        <v>4035</v>
      </c>
    </row>
    <row r="3751" spans="1:7" x14ac:dyDescent="0.3">
      <c r="A3751">
        <v>3749</v>
      </c>
      <c r="B3751" t="s">
        <v>4333</v>
      </c>
      <c r="C3751" t="s">
        <v>2234</v>
      </c>
      <c r="D3751">
        <v>775</v>
      </c>
      <c r="E3751">
        <v>543</v>
      </c>
      <c r="F3751" t="s">
        <v>216</v>
      </c>
      <c r="G3751" t="s">
        <v>4035</v>
      </c>
    </row>
    <row r="3752" spans="1:7" x14ac:dyDescent="0.3">
      <c r="A3752">
        <v>3750</v>
      </c>
      <c r="B3752" t="s">
        <v>4334</v>
      </c>
      <c r="C3752" t="s">
        <v>4217</v>
      </c>
      <c r="D3752">
        <v>999</v>
      </c>
      <c r="E3752">
        <v>889</v>
      </c>
      <c r="F3752" t="s">
        <v>2599</v>
      </c>
      <c r="G3752" t="s">
        <v>4035</v>
      </c>
    </row>
    <row r="3753" spans="1:7" x14ac:dyDescent="0.3">
      <c r="A3753">
        <v>3751</v>
      </c>
      <c r="B3753" t="s">
        <v>4335</v>
      </c>
      <c r="C3753" t="s">
        <v>4169</v>
      </c>
      <c r="D3753">
        <v>349</v>
      </c>
      <c r="E3753">
        <v>279</v>
      </c>
      <c r="F3753" t="s">
        <v>216</v>
      </c>
      <c r="G3753" t="s">
        <v>4035</v>
      </c>
    </row>
    <row r="3754" spans="1:7" x14ac:dyDescent="0.3">
      <c r="A3754">
        <v>3752</v>
      </c>
      <c r="B3754" t="s">
        <v>4336</v>
      </c>
      <c r="C3754" t="s">
        <v>2234</v>
      </c>
      <c r="D3754">
        <v>315</v>
      </c>
      <c r="E3754">
        <v>270</v>
      </c>
      <c r="F3754" t="s">
        <v>4163</v>
      </c>
      <c r="G3754" t="s">
        <v>4035</v>
      </c>
    </row>
    <row r="3755" spans="1:7" x14ac:dyDescent="0.3">
      <c r="A3755">
        <v>3753</v>
      </c>
      <c r="B3755" t="s">
        <v>4337</v>
      </c>
      <c r="C3755" t="s">
        <v>4217</v>
      </c>
      <c r="D3755">
        <v>1399</v>
      </c>
      <c r="E3755">
        <v>999</v>
      </c>
      <c r="F3755" t="s">
        <v>216</v>
      </c>
      <c r="G3755" t="s">
        <v>4035</v>
      </c>
    </row>
    <row r="3756" spans="1:7" x14ac:dyDescent="0.3">
      <c r="A3756">
        <v>3754</v>
      </c>
      <c r="B3756" t="s">
        <v>4338</v>
      </c>
      <c r="C3756" t="s">
        <v>4339</v>
      </c>
      <c r="D3756">
        <v>499</v>
      </c>
      <c r="E3756">
        <v>399</v>
      </c>
      <c r="F3756" t="s">
        <v>4340</v>
      </c>
      <c r="G3756" t="s">
        <v>4035</v>
      </c>
    </row>
    <row r="3757" spans="1:7" x14ac:dyDescent="0.3">
      <c r="A3757">
        <v>3755</v>
      </c>
      <c r="B3757" t="s">
        <v>4341</v>
      </c>
      <c r="C3757" t="s">
        <v>2234</v>
      </c>
      <c r="D3757">
        <v>390</v>
      </c>
      <c r="E3757">
        <v>289</v>
      </c>
      <c r="F3757" t="s">
        <v>1725</v>
      </c>
      <c r="G3757" t="s">
        <v>4035</v>
      </c>
    </row>
    <row r="3758" spans="1:7" x14ac:dyDescent="0.3">
      <c r="A3758">
        <v>3756</v>
      </c>
      <c r="B3758" t="s">
        <v>4342</v>
      </c>
      <c r="C3758" t="s">
        <v>4145</v>
      </c>
      <c r="D3758">
        <v>349</v>
      </c>
      <c r="E3758">
        <v>249</v>
      </c>
      <c r="F3758" t="s">
        <v>959</v>
      </c>
      <c r="G3758" t="s">
        <v>4035</v>
      </c>
    </row>
    <row r="3759" spans="1:7" x14ac:dyDescent="0.3">
      <c r="A3759">
        <v>3757</v>
      </c>
      <c r="B3759" t="s">
        <v>4343</v>
      </c>
      <c r="C3759" t="s">
        <v>4145</v>
      </c>
      <c r="D3759">
        <v>299</v>
      </c>
      <c r="E3759">
        <v>199</v>
      </c>
      <c r="F3759" t="s">
        <v>959</v>
      </c>
      <c r="G3759" t="s">
        <v>4035</v>
      </c>
    </row>
    <row r="3760" spans="1:7" x14ac:dyDescent="0.3">
      <c r="A3760">
        <v>3758</v>
      </c>
      <c r="B3760" t="s">
        <v>4338</v>
      </c>
      <c r="C3760" t="s">
        <v>4339</v>
      </c>
      <c r="D3760">
        <v>999</v>
      </c>
      <c r="E3760">
        <v>723</v>
      </c>
      <c r="F3760" t="s">
        <v>2599</v>
      </c>
      <c r="G3760" t="s">
        <v>4035</v>
      </c>
    </row>
    <row r="3761" spans="1:7" x14ac:dyDescent="0.3">
      <c r="A3761">
        <v>3759</v>
      </c>
      <c r="B3761" t="s">
        <v>4344</v>
      </c>
      <c r="C3761" t="s">
        <v>2234</v>
      </c>
      <c r="D3761">
        <v>825</v>
      </c>
      <c r="E3761">
        <v>468</v>
      </c>
      <c r="F3761" t="s">
        <v>4345</v>
      </c>
      <c r="G3761" t="s">
        <v>4035</v>
      </c>
    </row>
    <row r="3762" spans="1:7" x14ac:dyDescent="0.3">
      <c r="A3762">
        <v>3760</v>
      </c>
      <c r="B3762" t="s">
        <v>4346</v>
      </c>
      <c r="C3762" t="s">
        <v>4217</v>
      </c>
      <c r="D3762">
        <v>1299</v>
      </c>
      <c r="E3762">
        <v>949</v>
      </c>
      <c r="F3762" t="s">
        <v>4345</v>
      </c>
      <c r="G3762" t="s">
        <v>4035</v>
      </c>
    </row>
    <row r="3763" spans="1:7" x14ac:dyDescent="0.3">
      <c r="A3763">
        <v>3761</v>
      </c>
      <c r="B3763" t="s">
        <v>4347</v>
      </c>
      <c r="C3763" t="s">
        <v>2234</v>
      </c>
      <c r="D3763">
        <v>390</v>
      </c>
      <c r="E3763">
        <v>275</v>
      </c>
      <c r="F3763" t="s">
        <v>1725</v>
      </c>
      <c r="G3763" t="s">
        <v>4035</v>
      </c>
    </row>
    <row r="3764" spans="1:7" x14ac:dyDescent="0.3">
      <c r="A3764">
        <v>3762</v>
      </c>
      <c r="B3764" t="s">
        <v>4348</v>
      </c>
      <c r="C3764" t="s">
        <v>2234</v>
      </c>
      <c r="D3764">
        <v>475</v>
      </c>
      <c r="E3764">
        <v>269</v>
      </c>
      <c r="F3764" t="s">
        <v>2599</v>
      </c>
      <c r="G3764" t="s">
        <v>4035</v>
      </c>
    </row>
    <row r="3765" spans="1:7" x14ac:dyDescent="0.3">
      <c r="A3765">
        <v>3763</v>
      </c>
      <c r="B3765" t="s">
        <v>4349</v>
      </c>
      <c r="C3765" t="s">
        <v>4217</v>
      </c>
      <c r="D3765">
        <v>899</v>
      </c>
      <c r="E3765">
        <v>719</v>
      </c>
      <c r="F3765" t="s">
        <v>216</v>
      </c>
      <c r="G3765" t="s">
        <v>4035</v>
      </c>
    </row>
    <row r="3766" spans="1:7" x14ac:dyDescent="0.3">
      <c r="A3766">
        <v>3764</v>
      </c>
      <c r="B3766" t="s">
        <v>4350</v>
      </c>
      <c r="C3766" t="s">
        <v>4217</v>
      </c>
      <c r="D3766">
        <v>399</v>
      </c>
      <c r="E3766">
        <v>365</v>
      </c>
      <c r="F3766" t="s">
        <v>216</v>
      </c>
      <c r="G3766" t="s">
        <v>4035</v>
      </c>
    </row>
    <row r="3767" spans="1:7" x14ac:dyDescent="0.3">
      <c r="A3767">
        <v>3765</v>
      </c>
      <c r="B3767" t="s">
        <v>4351</v>
      </c>
      <c r="C3767" t="s">
        <v>4352</v>
      </c>
      <c r="D3767">
        <v>299</v>
      </c>
      <c r="E3767">
        <v>209</v>
      </c>
      <c r="F3767" t="s">
        <v>4214</v>
      </c>
      <c r="G3767" t="s">
        <v>4035</v>
      </c>
    </row>
    <row r="3768" spans="1:7" x14ac:dyDescent="0.3">
      <c r="A3768">
        <v>3766</v>
      </c>
      <c r="B3768" t="s">
        <v>4353</v>
      </c>
      <c r="C3768" t="s">
        <v>4303</v>
      </c>
      <c r="D3768">
        <v>490</v>
      </c>
      <c r="E3768">
        <v>367</v>
      </c>
      <c r="F3768" t="s">
        <v>709</v>
      </c>
      <c r="G3768" t="s">
        <v>4035</v>
      </c>
    </row>
    <row r="3769" spans="1:7" x14ac:dyDescent="0.3">
      <c r="A3769">
        <v>3767</v>
      </c>
      <c r="B3769" t="s">
        <v>4354</v>
      </c>
      <c r="C3769" t="s">
        <v>4189</v>
      </c>
      <c r="D3769">
        <v>249</v>
      </c>
      <c r="E3769">
        <v>199</v>
      </c>
      <c r="F3769" t="s">
        <v>4163</v>
      </c>
      <c r="G3769" t="s">
        <v>4149</v>
      </c>
    </row>
    <row r="3770" spans="1:7" x14ac:dyDescent="0.3">
      <c r="A3770">
        <v>3768</v>
      </c>
      <c r="B3770" t="s">
        <v>4355</v>
      </c>
      <c r="C3770" t="s">
        <v>4189</v>
      </c>
      <c r="D3770">
        <v>249</v>
      </c>
      <c r="E3770">
        <v>199</v>
      </c>
      <c r="F3770" t="s">
        <v>4163</v>
      </c>
      <c r="G3770" t="s">
        <v>4149</v>
      </c>
    </row>
    <row r="3771" spans="1:7" x14ac:dyDescent="0.3">
      <c r="A3771">
        <v>3769</v>
      </c>
      <c r="B3771" t="s">
        <v>4356</v>
      </c>
      <c r="C3771" t="s">
        <v>4189</v>
      </c>
      <c r="D3771">
        <v>259</v>
      </c>
      <c r="E3771">
        <v>209</v>
      </c>
      <c r="F3771" t="s">
        <v>4163</v>
      </c>
      <c r="G3771" t="s">
        <v>4149</v>
      </c>
    </row>
    <row r="3772" spans="1:7" x14ac:dyDescent="0.3">
      <c r="A3772">
        <v>3770</v>
      </c>
      <c r="B3772" t="s">
        <v>4357</v>
      </c>
      <c r="C3772" t="s">
        <v>4232</v>
      </c>
      <c r="D3772">
        <v>165</v>
      </c>
      <c r="E3772">
        <v>82</v>
      </c>
      <c r="F3772" t="s">
        <v>188</v>
      </c>
      <c r="G3772" t="s">
        <v>4149</v>
      </c>
    </row>
    <row r="3773" spans="1:7" x14ac:dyDescent="0.3">
      <c r="A3773">
        <v>3771</v>
      </c>
      <c r="B3773" t="s">
        <v>4358</v>
      </c>
      <c r="C3773" t="s">
        <v>4147</v>
      </c>
      <c r="D3773">
        <v>185</v>
      </c>
      <c r="E3773">
        <v>108</v>
      </c>
      <c r="F3773" t="s">
        <v>4163</v>
      </c>
      <c r="G3773" t="s">
        <v>4149</v>
      </c>
    </row>
    <row r="3774" spans="1:7" x14ac:dyDescent="0.3">
      <c r="A3774">
        <v>3772</v>
      </c>
      <c r="B3774" t="s">
        <v>4359</v>
      </c>
      <c r="C3774" t="s">
        <v>4147</v>
      </c>
      <c r="D3774">
        <v>185</v>
      </c>
      <c r="E3774">
        <v>115</v>
      </c>
      <c r="F3774" t="s">
        <v>4163</v>
      </c>
      <c r="G3774" t="s">
        <v>4149</v>
      </c>
    </row>
    <row r="3775" spans="1:7" x14ac:dyDescent="0.3">
      <c r="A3775">
        <v>3773</v>
      </c>
      <c r="B3775" t="s">
        <v>4360</v>
      </c>
      <c r="C3775" t="s">
        <v>4361</v>
      </c>
      <c r="D3775">
        <v>140</v>
      </c>
      <c r="E3775">
        <v>125</v>
      </c>
      <c r="F3775" t="s">
        <v>11</v>
      </c>
      <c r="G3775" t="s">
        <v>4149</v>
      </c>
    </row>
    <row r="3776" spans="1:7" x14ac:dyDescent="0.3">
      <c r="A3776">
        <v>3774</v>
      </c>
      <c r="B3776" t="s">
        <v>4362</v>
      </c>
      <c r="C3776" t="s">
        <v>4189</v>
      </c>
      <c r="D3776">
        <v>259</v>
      </c>
      <c r="E3776">
        <v>199</v>
      </c>
      <c r="F3776" t="s">
        <v>4163</v>
      </c>
      <c r="G3776" t="s">
        <v>4149</v>
      </c>
    </row>
    <row r="3777" spans="1:7" x14ac:dyDescent="0.3">
      <c r="A3777">
        <v>3775</v>
      </c>
      <c r="B3777" t="s">
        <v>4363</v>
      </c>
      <c r="C3777" t="s">
        <v>4189</v>
      </c>
      <c r="D3777">
        <v>399</v>
      </c>
      <c r="E3777">
        <v>319</v>
      </c>
      <c r="F3777" t="s">
        <v>1109</v>
      </c>
      <c r="G3777" t="s">
        <v>4149</v>
      </c>
    </row>
    <row r="3778" spans="1:7" x14ac:dyDescent="0.3">
      <c r="A3778">
        <v>3776</v>
      </c>
      <c r="B3778" t="s">
        <v>4364</v>
      </c>
      <c r="C3778" t="s">
        <v>4227</v>
      </c>
      <c r="D3778">
        <v>200</v>
      </c>
      <c r="E3778">
        <v>175</v>
      </c>
      <c r="F3778" t="s">
        <v>1109</v>
      </c>
      <c r="G3778" t="s">
        <v>4149</v>
      </c>
    </row>
    <row r="3779" spans="1:7" x14ac:dyDescent="0.3">
      <c r="A3779">
        <v>3777</v>
      </c>
      <c r="B3779" t="s">
        <v>4365</v>
      </c>
      <c r="C3779" t="s">
        <v>4227</v>
      </c>
      <c r="D3779">
        <v>200</v>
      </c>
      <c r="E3779">
        <v>185</v>
      </c>
      <c r="F3779" t="s">
        <v>1109</v>
      </c>
      <c r="G3779" t="s">
        <v>4149</v>
      </c>
    </row>
    <row r="3780" spans="1:7" x14ac:dyDescent="0.3">
      <c r="A3780">
        <v>3778</v>
      </c>
      <c r="B3780" t="s">
        <v>4366</v>
      </c>
      <c r="C3780" t="s">
        <v>4147</v>
      </c>
      <c r="D3780">
        <v>225</v>
      </c>
      <c r="E3780">
        <v>130</v>
      </c>
      <c r="F3780" t="s">
        <v>4163</v>
      </c>
      <c r="G3780" t="s">
        <v>4149</v>
      </c>
    </row>
    <row r="3781" spans="1:7" x14ac:dyDescent="0.3">
      <c r="A3781">
        <v>3779</v>
      </c>
      <c r="B3781" t="s">
        <v>4367</v>
      </c>
      <c r="C3781" t="s">
        <v>4227</v>
      </c>
      <c r="D3781">
        <v>200</v>
      </c>
      <c r="E3781">
        <v>165</v>
      </c>
      <c r="F3781" t="s">
        <v>1109</v>
      </c>
      <c r="G3781" t="s">
        <v>4149</v>
      </c>
    </row>
    <row r="3782" spans="1:7" x14ac:dyDescent="0.3">
      <c r="A3782">
        <v>3780</v>
      </c>
      <c r="B3782" t="s">
        <v>4368</v>
      </c>
      <c r="C3782" t="s">
        <v>4147</v>
      </c>
      <c r="D3782">
        <v>199</v>
      </c>
      <c r="E3782">
        <v>144</v>
      </c>
      <c r="F3782" t="s">
        <v>11</v>
      </c>
      <c r="G3782" t="s">
        <v>4149</v>
      </c>
    </row>
    <row r="3783" spans="1:7" x14ac:dyDescent="0.3">
      <c r="A3783">
        <v>3781</v>
      </c>
      <c r="B3783" t="s">
        <v>4369</v>
      </c>
      <c r="C3783" t="s">
        <v>2234</v>
      </c>
      <c r="D3783">
        <v>210</v>
      </c>
      <c r="E3783">
        <v>149</v>
      </c>
      <c r="F3783" t="s">
        <v>715</v>
      </c>
      <c r="G3783" t="s">
        <v>4149</v>
      </c>
    </row>
    <row r="3784" spans="1:7" x14ac:dyDescent="0.3">
      <c r="A3784">
        <v>3782</v>
      </c>
      <c r="B3784" t="s">
        <v>4370</v>
      </c>
      <c r="C3784" t="s">
        <v>2234</v>
      </c>
      <c r="D3784">
        <v>210</v>
      </c>
      <c r="E3784">
        <v>149</v>
      </c>
      <c r="F3784" t="s">
        <v>715</v>
      </c>
      <c r="G3784" t="s">
        <v>4149</v>
      </c>
    </row>
    <row r="3785" spans="1:7" x14ac:dyDescent="0.3">
      <c r="A3785">
        <v>3783</v>
      </c>
      <c r="B3785" t="s">
        <v>4371</v>
      </c>
      <c r="C3785" t="s">
        <v>4300</v>
      </c>
      <c r="D3785">
        <v>475</v>
      </c>
      <c r="E3785">
        <v>380</v>
      </c>
      <c r="F3785" t="s">
        <v>399</v>
      </c>
      <c r="G3785" t="s">
        <v>4035</v>
      </c>
    </row>
    <row r="3786" spans="1:7" x14ac:dyDescent="0.3">
      <c r="A3786">
        <v>3784</v>
      </c>
      <c r="B3786" t="s">
        <v>4372</v>
      </c>
      <c r="C3786" t="s">
        <v>4300</v>
      </c>
      <c r="D3786">
        <v>1050</v>
      </c>
      <c r="E3786">
        <v>840</v>
      </c>
      <c r="F3786" t="s">
        <v>216</v>
      </c>
      <c r="G3786" t="s">
        <v>4149</v>
      </c>
    </row>
    <row r="3787" spans="1:7" x14ac:dyDescent="0.3">
      <c r="A3787">
        <v>3785</v>
      </c>
      <c r="B3787" t="s">
        <v>4372</v>
      </c>
      <c r="C3787" t="s">
        <v>4300</v>
      </c>
      <c r="D3787">
        <v>450</v>
      </c>
      <c r="E3787">
        <v>360</v>
      </c>
      <c r="F3787" t="s">
        <v>2649</v>
      </c>
      <c r="G3787" t="s">
        <v>4149</v>
      </c>
    </row>
    <row r="3788" spans="1:7" x14ac:dyDescent="0.3">
      <c r="A3788">
        <v>3786</v>
      </c>
      <c r="B3788" t="s">
        <v>4373</v>
      </c>
      <c r="C3788" t="s">
        <v>2234</v>
      </c>
      <c r="D3788">
        <v>210</v>
      </c>
      <c r="E3788">
        <v>149</v>
      </c>
      <c r="F3788" t="s">
        <v>715</v>
      </c>
      <c r="G3788" t="s">
        <v>4149</v>
      </c>
    </row>
    <row r="3789" spans="1:7" x14ac:dyDescent="0.3">
      <c r="A3789">
        <v>3787</v>
      </c>
      <c r="B3789" t="s">
        <v>4374</v>
      </c>
      <c r="C3789" t="s">
        <v>4375</v>
      </c>
      <c r="D3789">
        <v>98</v>
      </c>
      <c r="E3789">
        <v>70</v>
      </c>
      <c r="F3789" t="s">
        <v>4376</v>
      </c>
      <c r="G3789" t="s">
        <v>4149</v>
      </c>
    </row>
    <row r="3790" spans="1:7" x14ac:dyDescent="0.3">
      <c r="A3790">
        <v>3788</v>
      </c>
      <c r="B3790" t="s">
        <v>4377</v>
      </c>
      <c r="C3790" t="s">
        <v>4375</v>
      </c>
      <c r="D3790">
        <v>98</v>
      </c>
      <c r="E3790">
        <v>70</v>
      </c>
      <c r="F3790" t="s">
        <v>4376</v>
      </c>
      <c r="G3790" t="s">
        <v>4149</v>
      </c>
    </row>
    <row r="3791" spans="1:7" x14ac:dyDescent="0.3">
      <c r="A3791">
        <v>3789</v>
      </c>
      <c r="B3791" t="s">
        <v>4378</v>
      </c>
      <c r="C3791" t="s">
        <v>4300</v>
      </c>
      <c r="D3791">
        <v>675</v>
      </c>
      <c r="E3791">
        <v>540</v>
      </c>
      <c r="F3791" t="s">
        <v>4379</v>
      </c>
      <c r="G3791" t="s">
        <v>4149</v>
      </c>
    </row>
    <row r="3792" spans="1:7" x14ac:dyDescent="0.3">
      <c r="A3792">
        <v>3790</v>
      </c>
      <c r="B3792" t="s">
        <v>4380</v>
      </c>
      <c r="C3792" t="s">
        <v>4300</v>
      </c>
      <c r="D3792">
        <v>700</v>
      </c>
      <c r="E3792">
        <v>560</v>
      </c>
      <c r="F3792" t="s">
        <v>4379</v>
      </c>
      <c r="G3792" t="s">
        <v>4149</v>
      </c>
    </row>
    <row r="3793" spans="1:7" x14ac:dyDescent="0.3">
      <c r="A3793">
        <v>3791</v>
      </c>
      <c r="B3793" t="s">
        <v>4381</v>
      </c>
      <c r="C3793" t="s">
        <v>4352</v>
      </c>
      <c r="D3793">
        <v>249</v>
      </c>
      <c r="E3793">
        <v>174</v>
      </c>
      <c r="F3793" t="s">
        <v>4163</v>
      </c>
      <c r="G3793" t="s">
        <v>4149</v>
      </c>
    </row>
    <row r="3794" spans="1:7" x14ac:dyDescent="0.3">
      <c r="A3794">
        <v>3792</v>
      </c>
      <c r="B3794" t="s">
        <v>4382</v>
      </c>
      <c r="C3794" t="s">
        <v>4090</v>
      </c>
      <c r="D3794">
        <v>299</v>
      </c>
      <c r="E3794">
        <v>192</v>
      </c>
      <c r="F3794" t="s">
        <v>4221</v>
      </c>
      <c r="G3794" t="s">
        <v>4149</v>
      </c>
    </row>
    <row r="3795" spans="1:7" x14ac:dyDescent="0.3">
      <c r="A3795">
        <v>3793</v>
      </c>
      <c r="B3795" t="s">
        <v>4383</v>
      </c>
      <c r="C3795" t="s">
        <v>4352</v>
      </c>
      <c r="D3795">
        <v>249</v>
      </c>
      <c r="E3795">
        <v>174</v>
      </c>
      <c r="F3795" t="s">
        <v>4163</v>
      </c>
      <c r="G3795" t="s">
        <v>4149</v>
      </c>
    </row>
    <row r="3796" spans="1:7" x14ac:dyDescent="0.3">
      <c r="A3796">
        <v>3794</v>
      </c>
      <c r="B3796" t="s">
        <v>4384</v>
      </c>
      <c r="C3796" t="s">
        <v>4385</v>
      </c>
      <c r="D3796">
        <v>95</v>
      </c>
      <c r="E3796">
        <v>80</v>
      </c>
      <c r="F3796" t="s">
        <v>1109</v>
      </c>
      <c r="G3796" t="s">
        <v>4149</v>
      </c>
    </row>
    <row r="3797" spans="1:7" x14ac:dyDescent="0.3">
      <c r="A3797">
        <v>3795</v>
      </c>
      <c r="B3797" t="s">
        <v>4386</v>
      </c>
      <c r="C3797" t="s">
        <v>4303</v>
      </c>
      <c r="D3797">
        <v>345</v>
      </c>
      <c r="E3797">
        <v>241</v>
      </c>
      <c r="F3797" t="s">
        <v>4387</v>
      </c>
      <c r="G3797" t="s">
        <v>4149</v>
      </c>
    </row>
    <row r="3798" spans="1:7" x14ac:dyDescent="0.3">
      <c r="A3798">
        <v>3796</v>
      </c>
      <c r="B3798" t="s">
        <v>4388</v>
      </c>
      <c r="C3798" t="s">
        <v>4143</v>
      </c>
      <c r="D3798">
        <v>450</v>
      </c>
      <c r="E3798">
        <v>225</v>
      </c>
      <c r="F3798" t="s">
        <v>4163</v>
      </c>
      <c r="G3798" t="s">
        <v>4149</v>
      </c>
    </row>
    <row r="3799" spans="1:7" x14ac:dyDescent="0.3">
      <c r="A3799">
        <v>3797</v>
      </c>
      <c r="B3799" t="s">
        <v>4389</v>
      </c>
      <c r="C3799" t="s">
        <v>4143</v>
      </c>
      <c r="D3799">
        <v>350</v>
      </c>
      <c r="E3799">
        <v>175</v>
      </c>
      <c r="F3799" t="s">
        <v>4163</v>
      </c>
      <c r="G3799" t="s">
        <v>4149</v>
      </c>
    </row>
    <row r="3800" spans="1:7" x14ac:dyDescent="0.3">
      <c r="A3800">
        <v>3798</v>
      </c>
      <c r="B3800" t="s">
        <v>4390</v>
      </c>
      <c r="C3800" t="s">
        <v>4189</v>
      </c>
      <c r="D3800">
        <v>349</v>
      </c>
      <c r="E3800">
        <v>279</v>
      </c>
      <c r="F3800" t="s">
        <v>11</v>
      </c>
      <c r="G3800" t="s">
        <v>4149</v>
      </c>
    </row>
    <row r="3801" spans="1:7" x14ac:dyDescent="0.3">
      <c r="A3801">
        <v>3799</v>
      </c>
      <c r="B3801" t="s">
        <v>4391</v>
      </c>
      <c r="C3801" t="s">
        <v>4361</v>
      </c>
      <c r="D3801">
        <v>246</v>
      </c>
      <c r="E3801">
        <v>206</v>
      </c>
      <c r="F3801" t="s">
        <v>1673</v>
      </c>
      <c r="G3801" t="s">
        <v>4149</v>
      </c>
    </row>
    <row r="3802" spans="1:7" x14ac:dyDescent="0.3">
      <c r="A3802">
        <v>3800</v>
      </c>
      <c r="B3802" t="s">
        <v>4391</v>
      </c>
      <c r="C3802" t="s">
        <v>4361</v>
      </c>
      <c r="D3802">
        <v>186</v>
      </c>
      <c r="E3802">
        <v>171</v>
      </c>
      <c r="F3802" t="s">
        <v>720</v>
      </c>
      <c r="G3802" t="s">
        <v>4149</v>
      </c>
    </row>
    <row r="3803" spans="1:7" x14ac:dyDescent="0.3">
      <c r="A3803">
        <v>3801</v>
      </c>
      <c r="B3803" t="s">
        <v>4391</v>
      </c>
      <c r="C3803" t="s">
        <v>4361</v>
      </c>
      <c r="D3803">
        <v>122</v>
      </c>
      <c r="E3803">
        <v>112</v>
      </c>
      <c r="F3803" t="s">
        <v>216</v>
      </c>
      <c r="G3803" t="s">
        <v>4149</v>
      </c>
    </row>
    <row r="3804" spans="1:7" x14ac:dyDescent="0.3">
      <c r="A3804">
        <v>3802</v>
      </c>
      <c r="B3804" t="s">
        <v>4391</v>
      </c>
      <c r="C3804" t="s">
        <v>4361</v>
      </c>
      <c r="D3804">
        <v>62</v>
      </c>
      <c r="E3804">
        <v>56</v>
      </c>
      <c r="F3804" t="s">
        <v>613</v>
      </c>
      <c r="G3804" t="s">
        <v>4149</v>
      </c>
    </row>
    <row r="3805" spans="1:7" x14ac:dyDescent="0.3">
      <c r="A3805">
        <v>3803</v>
      </c>
      <c r="B3805" t="s">
        <v>4392</v>
      </c>
      <c r="C3805" t="s">
        <v>4189</v>
      </c>
      <c r="D3805">
        <v>449</v>
      </c>
      <c r="E3805">
        <v>359</v>
      </c>
      <c r="F3805" t="s">
        <v>1725</v>
      </c>
      <c r="G3805" t="s">
        <v>4149</v>
      </c>
    </row>
    <row r="3806" spans="1:7" x14ac:dyDescent="0.3">
      <c r="A3806">
        <v>3804</v>
      </c>
      <c r="B3806" t="s">
        <v>4393</v>
      </c>
      <c r="C3806" t="s">
        <v>4185</v>
      </c>
      <c r="D3806">
        <v>249</v>
      </c>
      <c r="E3806">
        <v>195</v>
      </c>
      <c r="F3806" t="s">
        <v>4340</v>
      </c>
      <c r="G3806" t="s">
        <v>4035</v>
      </c>
    </row>
    <row r="3807" spans="1:7" x14ac:dyDescent="0.3">
      <c r="A3807">
        <v>3805</v>
      </c>
      <c r="B3807" t="s">
        <v>4393</v>
      </c>
      <c r="C3807" t="s">
        <v>4185</v>
      </c>
      <c r="D3807">
        <v>449</v>
      </c>
      <c r="E3807">
        <v>371</v>
      </c>
      <c r="F3807" t="s">
        <v>4345</v>
      </c>
      <c r="G3807" t="s">
        <v>4035</v>
      </c>
    </row>
    <row r="3808" spans="1:7" x14ac:dyDescent="0.3">
      <c r="A3808">
        <v>3806</v>
      </c>
      <c r="B3808" t="s">
        <v>4394</v>
      </c>
      <c r="C3808" t="s">
        <v>4189</v>
      </c>
      <c r="D3808">
        <v>599</v>
      </c>
      <c r="E3808">
        <v>479</v>
      </c>
      <c r="F3808" t="s">
        <v>216</v>
      </c>
      <c r="G3808" t="s">
        <v>4149</v>
      </c>
    </row>
    <row r="3809" spans="1:7" x14ac:dyDescent="0.3">
      <c r="A3809">
        <v>3807</v>
      </c>
      <c r="B3809" t="s">
        <v>4395</v>
      </c>
      <c r="C3809" t="s">
        <v>4185</v>
      </c>
      <c r="D3809">
        <v>179</v>
      </c>
      <c r="E3809">
        <v>138</v>
      </c>
      <c r="F3809" t="s">
        <v>814</v>
      </c>
      <c r="G3809" t="s">
        <v>4149</v>
      </c>
    </row>
    <row r="3810" spans="1:7" x14ac:dyDescent="0.3">
      <c r="A3810">
        <v>3808</v>
      </c>
      <c r="B3810" t="s">
        <v>4396</v>
      </c>
      <c r="C3810" t="s">
        <v>4397</v>
      </c>
      <c r="D3810">
        <v>499</v>
      </c>
      <c r="E3810">
        <v>399</v>
      </c>
      <c r="F3810" t="s">
        <v>4340</v>
      </c>
      <c r="G3810" t="s">
        <v>4035</v>
      </c>
    </row>
    <row r="3811" spans="1:7" x14ac:dyDescent="0.3">
      <c r="A3811">
        <v>3809</v>
      </c>
      <c r="B3811" t="s">
        <v>4398</v>
      </c>
      <c r="C3811" t="s">
        <v>4300</v>
      </c>
      <c r="D3811">
        <v>675</v>
      </c>
      <c r="E3811">
        <v>540</v>
      </c>
      <c r="F3811" t="s">
        <v>4399</v>
      </c>
      <c r="G3811" t="s">
        <v>4035</v>
      </c>
    </row>
    <row r="3812" spans="1:7" x14ac:dyDescent="0.3">
      <c r="A3812">
        <v>3810</v>
      </c>
      <c r="B3812" t="s">
        <v>4400</v>
      </c>
      <c r="C3812" t="s">
        <v>4185</v>
      </c>
      <c r="D3812">
        <v>89</v>
      </c>
      <c r="E3812">
        <v>78</v>
      </c>
      <c r="F3812" t="s">
        <v>4165</v>
      </c>
      <c r="G3812" t="s">
        <v>4035</v>
      </c>
    </row>
    <row r="3813" spans="1:7" x14ac:dyDescent="0.3">
      <c r="A3813">
        <v>3811</v>
      </c>
      <c r="B3813" t="s">
        <v>4401</v>
      </c>
      <c r="C3813" t="s">
        <v>4339</v>
      </c>
      <c r="D3813">
        <v>699</v>
      </c>
      <c r="E3813">
        <v>508</v>
      </c>
      <c r="F3813" t="s">
        <v>2599</v>
      </c>
      <c r="G3813" t="s">
        <v>4149</v>
      </c>
    </row>
    <row r="3814" spans="1:7" x14ac:dyDescent="0.3">
      <c r="A3814">
        <v>3812</v>
      </c>
      <c r="B3814" t="s">
        <v>4401</v>
      </c>
      <c r="C3814" t="s">
        <v>4339</v>
      </c>
      <c r="D3814">
        <v>299</v>
      </c>
      <c r="E3814">
        <v>239</v>
      </c>
      <c r="F3814" t="s">
        <v>4340</v>
      </c>
      <c r="G3814" t="s">
        <v>4149</v>
      </c>
    </row>
    <row r="3815" spans="1:7" x14ac:dyDescent="0.3">
      <c r="A3815">
        <v>3813</v>
      </c>
      <c r="B3815" t="s">
        <v>4402</v>
      </c>
      <c r="C3815" t="s">
        <v>4397</v>
      </c>
      <c r="D3815">
        <v>299</v>
      </c>
      <c r="E3815">
        <v>229</v>
      </c>
      <c r="F3815" t="s">
        <v>4403</v>
      </c>
      <c r="G3815" t="s">
        <v>4035</v>
      </c>
    </row>
    <row r="3816" spans="1:7" x14ac:dyDescent="0.3">
      <c r="A3816">
        <v>3814</v>
      </c>
      <c r="B3816" t="s">
        <v>4402</v>
      </c>
      <c r="C3816" t="s">
        <v>4397</v>
      </c>
      <c r="D3816">
        <v>799</v>
      </c>
      <c r="E3816">
        <v>579</v>
      </c>
      <c r="F3816" t="s">
        <v>4404</v>
      </c>
      <c r="G3816" t="s">
        <v>4035</v>
      </c>
    </row>
    <row r="3817" spans="1:7" x14ac:dyDescent="0.3">
      <c r="A3817">
        <v>3815</v>
      </c>
      <c r="B3817" t="s">
        <v>4405</v>
      </c>
      <c r="C3817" t="s">
        <v>4303</v>
      </c>
      <c r="D3817">
        <v>395</v>
      </c>
      <c r="E3817">
        <v>296</v>
      </c>
      <c r="F3817" t="s">
        <v>107</v>
      </c>
      <c r="G3817" t="s">
        <v>4149</v>
      </c>
    </row>
    <row r="3818" spans="1:7" x14ac:dyDescent="0.3">
      <c r="A3818">
        <v>3816</v>
      </c>
      <c r="B3818" t="s">
        <v>4406</v>
      </c>
      <c r="C3818" t="s">
        <v>4303</v>
      </c>
      <c r="D3818">
        <v>470</v>
      </c>
      <c r="E3818">
        <v>376</v>
      </c>
      <c r="F3818" t="s">
        <v>2599</v>
      </c>
      <c r="G3818" t="s">
        <v>4149</v>
      </c>
    </row>
    <row r="3819" spans="1:7" x14ac:dyDescent="0.3">
      <c r="A3819">
        <v>3817</v>
      </c>
      <c r="B3819" t="s">
        <v>4407</v>
      </c>
      <c r="C3819" t="s">
        <v>4169</v>
      </c>
      <c r="D3819">
        <v>349</v>
      </c>
      <c r="E3819">
        <v>249</v>
      </c>
      <c r="F3819" t="s">
        <v>216</v>
      </c>
      <c r="G3819" t="s">
        <v>4149</v>
      </c>
    </row>
    <row r="3820" spans="1:7" x14ac:dyDescent="0.3">
      <c r="A3820">
        <v>3818</v>
      </c>
      <c r="B3820" t="s">
        <v>4408</v>
      </c>
      <c r="C3820" t="s">
        <v>4159</v>
      </c>
      <c r="D3820">
        <v>200</v>
      </c>
      <c r="E3820">
        <v>139</v>
      </c>
      <c r="F3820" t="s">
        <v>4409</v>
      </c>
      <c r="G3820" t="s">
        <v>4149</v>
      </c>
    </row>
    <row r="3821" spans="1:7" x14ac:dyDescent="0.3">
      <c r="A3821">
        <v>3819</v>
      </c>
      <c r="B3821" t="s">
        <v>4410</v>
      </c>
      <c r="C3821" t="s">
        <v>4159</v>
      </c>
      <c r="D3821">
        <v>360</v>
      </c>
      <c r="E3821">
        <v>240</v>
      </c>
      <c r="F3821" t="s">
        <v>399</v>
      </c>
      <c r="G3821" t="s">
        <v>4149</v>
      </c>
    </row>
    <row r="3822" spans="1:7" x14ac:dyDescent="0.3">
      <c r="A3822">
        <v>3820</v>
      </c>
      <c r="B3822" t="s">
        <v>4411</v>
      </c>
      <c r="C3822" t="s">
        <v>4185</v>
      </c>
      <c r="D3822">
        <v>99</v>
      </c>
      <c r="E3822">
        <v>66</v>
      </c>
      <c r="F3822" t="s">
        <v>2712</v>
      </c>
      <c r="G3822" t="s">
        <v>4149</v>
      </c>
    </row>
    <row r="3823" spans="1:7" x14ac:dyDescent="0.3">
      <c r="A3823">
        <v>3821</v>
      </c>
      <c r="B3823" t="s">
        <v>4412</v>
      </c>
      <c r="C3823" t="s">
        <v>4189</v>
      </c>
      <c r="D3823">
        <v>499</v>
      </c>
      <c r="E3823">
        <v>399</v>
      </c>
      <c r="F3823" t="s">
        <v>11</v>
      </c>
      <c r="G3823" t="s">
        <v>4149</v>
      </c>
    </row>
    <row r="3824" spans="1:7" x14ac:dyDescent="0.3">
      <c r="A3824">
        <v>3822</v>
      </c>
      <c r="B3824" t="s">
        <v>4413</v>
      </c>
      <c r="C3824" t="s">
        <v>4242</v>
      </c>
      <c r="D3824">
        <v>159</v>
      </c>
      <c r="E3824">
        <v>79</v>
      </c>
      <c r="F3824" t="s">
        <v>2712</v>
      </c>
      <c r="G3824" t="s">
        <v>4035</v>
      </c>
    </row>
    <row r="3825" spans="1:7" x14ac:dyDescent="0.3">
      <c r="A3825">
        <v>3823</v>
      </c>
      <c r="B3825" t="s">
        <v>4414</v>
      </c>
      <c r="C3825" t="s">
        <v>4242</v>
      </c>
      <c r="D3825">
        <v>159</v>
      </c>
      <c r="E3825">
        <v>79</v>
      </c>
      <c r="F3825" t="s">
        <v>4243</v>
      </c>
      <c r="G3825" t="s">
        <v>4035</v>
      </c>
    </row>
    <row r="3826" spans="1:7" x14ac:dyDescent="0.3">
      <c r="A3826">
        <v>3824</v>
      </c>
      <c r="B3826" t="s">
        <v>4415</v>
      </c>
      <c r="C3826" t="s">
        <v>4189</v>
      </c>
      <c r="D3826">
        <v>599</v>
      </c>
      <c r="E3826">
        <v>479</v>
      </c>
      <c r="F3826" t="s">
        <v>11</v>
      </c>
      <c r="G3826" t="s">
        <v>4149</v>
      </c>
    </row>
    <row r="3827" spans="1:7" x14ac:dyDescent="0.3">
      <c r="A3827">
        <v>3825</v>
      </c>
      <c r="B3827" t="s">
        <v>4416</v>
      </c>
      <c r="C3827" t="s">
        <v>4169</v>
      </c>
      <c r="D3827">
        <v>100</v>
      </c>
      <c r="E3827">
        <v>50</v>
      </c>
      <c r="F3827" t="s">
        <v>845</v>
      </c>
      <c r="G3827" t="s">
        <v>4035</v>
      </c>
    </row>
    <row r="3828" spans="1:7" x14ac:dyDescent="0.3">
      <c r="A3828">
        <v>3826</v>
      </c>
      <c r="B3828" t="s">
        <v>4417</v>
      </c>
      <c r="C3828" t="s">
        <v>4397</v>
      </c>
      <c r="D3828">
        <v>150</v>
      </c>
      <c r="E3828">
        <v>120</v>
      </c>
      <c r="F3828" t="s">
        <v>613</v>
      </c>
      <c r="G3828" t="s">
        <v>4035</v>
      </c>
    </row>
    <row r="3829" spans="1:7" x14ac:dyDescent="0.3">
      <c r="A3829">
        <v>3827</v>
      </c>
      <c r="B3829" t="s">
        <v>4418</v>
      </c>
      <c r="C3829" t="s">
        <v>4185</v>
      </c>
      <c r="D3829">
        <v>150</v>
      </c>
      <c r="E3829">
        <v>125</v>
      </c>
      <c r="F3829" t="s">
        <v>1773</v>
      </c>
      <c r="G3829" t="s">
        <v>4035</v>
      </c>
    </row>
    <row r="3830" spans="1:7" x14ac:dyDescent="0.3">
      <c r="A3830">
        <v>3828</v>
      </c>
      <c r="B3830" t="s">
        <v>4419</v>
      </c>
      <c r="C3830" t="s">
        <v>4397</v>
      </c>
      <c r="D3830">
        <v>199</v>
      </c>
      <c r="E3830">
        <v>159</v>
      </c>
      <c r="F3830" t="s">
        <v>4420</v>
      </c>
      <c r="G3830" t="s">
        <v>4035</v>
      </c>
    </row>
    <row r="3831" spans="1:7" x14ac:dyDescent="0.3">
      <c r="A3831">
        <v>3829</v>
      </c>
      <c r="B3831" t="s">
        <v>4421</v>
      </c>
      <c r="C3831" t="s">
        <v>4159</v>
      </c>
      <c r="D3831">
        <v>75</v>
      </c>
      <c r="E3831">
        <v>45</v>
      </c>
      <c r="F3831" t="s">
        <v>2712</v>
      </c>
      <c r="G3831" t="s">
        <v>4035</v>
      </c>
    </row>
    <row r="3832" spans="1:7" x14ac:dyDescent="0.3">
      <c r="A3832">
        <v>3830</v>
      </c>
      <c r="B3832" t="s">
        <v>4422</v>
      </c>
      <c r="C3832" t="s">
        <v>4159</v>
      </c>
      <c r="D3832">
        <v>75</v>
      </c>
      <c r="E3832">
        <v>45</v>
      </c>
      <c r="F3832" t="s">
        <v>2712</v>
      </c>
      <c r="G3832" t="s">
        <v>4035</v>
      </c>
    </row>
    <row r="3833" spans="1:7" x14ac:dyDescent="0.3">
      <c r="A3833">
        <v>3831</v>
      </c>
      <c r="B3833" t="s">
        <v>4423</v>
      </c>
      <c r="C3833" t="s">
        <v>4424</v>
      </c>
      <c r="D3833">
        <v>249</v>
      </c>
      <c r="E3833">
        <v>199</v>
      </c>
      <c r="F3833" t="s">
        <v>4425</v>
      </c>
      <c r="G3833" t="s">
        <v>4149</v>
      </c>
    </row>
    <row r="3834" spans="1:7" x14ac:dyDescent="0.3">
      <c r="A3834">
        <v>3832</v>
      </c>
      <c r="B3834" t="s">
        <v>4426</v>
      </c>
      <c r="C3834" t="s">
        <v>4209</v>
      </c>
      <c r="D3834">
        <v>199</v>
      </c>
      <c r="E3834">
        <v>150</v>
      </c>
      <c r="F3834" t="s">
        <v>4427</v>
      </c>
      <c r="G3834" t="s">
        <v>4149</v>
      </c>
    </row>
    <row r="3835" spans="1:7" x14ac:dyDescent="0.3">
      <c r="A3835">
        <v>3833</v>
      </c>
      <c r="B3835" t="s">
        <v>4428</v>
      </c>
      <c r="C3835" t="s">
        <v>4209</v>
      </c>
      <c r="D3835">
        <v>199</v>
      </c>
      <c r="E3835">
        <v>150</v>
      </c>
      <c r="F3835" t="s">
        <v>4427</v>
      </c>
      <c r="G3835" t="s">
        <v>4149</v>
      </c>
    </row>
    <row r="3836" spans="1:7" x14ac:dyDescent="0.3">
      <c r="A3836">
        <v>3834</v>
      </c>
      <c r="B3836" t="s">
        <v>4429</v>
      </c>
      <c r="C3836" t="s">
        <v>4169</v>
      </c>
      <c r="D3836">
        <v>185</v>
      </c>
      <c r="E3836">
        <v>135</v>
      </c>
      <c r="F3836" t="s">
        <v>4425</v>
      </c>
      <c r="G3836" t="s">
        <v>4149</v>
      </c>
    </row>
    <row r="3837" spans="1:7" x14ac:dyDescent="0.3">
      <c r="A3837">
        <v>3835</v>
      </c>
      <c r="B3837" t="s">
        <v>4430</v>
      </c>
      <c r="C3837" t="s">
        <v>4424</v>
      </c>
      <c r="D3837">
        <v>249</v>
      </c>
      <c r="E3837">
        <v>199</v>
      </c>
      <c r="F3837" t="s">
        <v>4425</v>
      </c>
      <c r="G3837" t="s">
        <v>4149</v>
      </c>
    </row>
    <row r="3838" spans="1:7" x14ac:dyDescent="0.3">
      <c r="A3838">
        <v>3836</v>
      </c>
      <c r="B3838" t="s">
        <v>4431</v>
      </c>
      <c r="C3838" t="s">
        <v>4209</v>
      </c>
      <c r="D3838">
        <v>199</v>
      </c>
      <c r="E3838">
        <v>150</v>
      </c>
      <c r="F3838" t="s">
        <v>4427</v>
      </c>
      <c r="G3838" t="s">
        <v>4149</v>
      </c>
    </row>
    <row r="3839" spans="1:7" x14ac:dyDescent="0.3">
      <c r="A3839">
        <v>3837</v>
      </c>
      <c r="B3839" t="s">
        <v>4432</v>
      </c>
      <c r="C3839" t="s">
        <v>4424</v>
      </c>
      <c r="D3839">
        <v>249</v>
      </c>
      <c r="E3839">
        <v>180</v>
      </c>
      <c r="F3839" t="s">
        <v>4425</v>
      </c>
      <c r="G3839" t="s">
        <v>4149</v>
      </c>
    </row>
    <row r="3840" spans="1:7" x14ac:dyDescent="0.3">
      <c r="A3840">
        <v>3838</v>
      </c>
      <c r="B3840" t="s">
        <v>4433</v>
      </c>
      <c r="C3840" t="s">
        <v>4424</v>
      </c>
      <c r="D3840">
        <v>249</v>
      </c>
      <c r="E3840">
        <v>228</v>
      </c>
      <c r="F3840" t="s">
        <v>4425</v>
      </c>
      <c r="G3840" t="s">
        <v>4149</v>
      </c>
    </row>
    <row r="3841" spans="1:7" x14ac:dyDescent="0.3">
      <c r="A3841">
        <v>3839</v>
      </c>
      <c r="B3841" t="s">
        <v>4434</v>
      </c>
      <c r="C3841" t="s">
        <v>4424</v>
      </c>
      <c r="D3841">
        <v>249</v>
      </c>
      <c r="E3841">
        <v>179</v>
      </c>
      <c r="F3841" t="s">
        <v>4425</v>
      </c>
      <c r="G3841" t="s">
        <v>4149</v>
      </c>
    </row>
    <row r="3842" spans="1:7" x14ac:dyDescent="0.3">
      <c r="A3842">
        <v>3840</v>
      </c>
      <c r="B3842" t="s">
        <v>4435</v>
      </c>
      <c r="C3842" t="s">
        <v>4209</v>
      </c>
      <c r="D3842">
        <v>199</v>
      </c>
      <c r="E3842">
        <v>115</v>
      </c>
      <c r="F3842" t="s">
        <v>4427</v>
      </c>
      <c r="G3842" t="s">
        <v>4149</v>
      </c>
    </row>
    <row r="3843" spans="1:7" x14ac:dyDescent="0.3">
      <c r="A3843">
        <v>3841</v>
      </c>
      <c r="B3843" t="s">
        <v>4436</v>
      </c>
      <c r="C3843" t="s">
        <v>2234</v>
      </c>
      <c r="D3843">
        <v>475</v>
      </c>
      <c r="E3843">
        <v>272</v>
      </c>
      <c r="F3843" t="s">
        <v>280</v>
      </c>
      <c r="G3843" t="s">
        <v>4149</v>
      </c>
    </row>
    <row r="3844" spans="1:7" x14ac:dyDescent="0.3">
      <c r="A3844">
        <v>3842</v>
      </c>
      <c r="B3844" t="s">
        <v>4437</v>
      </c>
      <c r="C3844" t="s">
        <v>2234</v>
      </c>
      <c r="D3844">
        <v>475</v>
      </c>
      <c r="E3844">
        <v>272</v>
      </c>
      <c r="F3844" t="s">
        <v>280</v>
      </c>
      <c r="G3844" t="s">
        <v>4149</v>
      </c>
    </row>
    <row r="3845" spans="1:7" x14ac:dyDescent="0.3">
      <c r="A3845">
        <v>3843</v>
      </c>
      <c r="B3845" t="s">
        <v>4438</v>
      </c>
      <c r="C3845" t="s">
        <v>2234</v>
      </c>
      <c r="D3845">
        <v>475</v>
      </c>
      <c r="E3845">
        <v>269</v>
      </c>
      <c r="F3845" t="s">
        <v>280</v>
      </c>
      <c r="G3845" t="s">
        <v>4149</v>
      </c>
    </row>
    <row r="3846" spans="1:7" x14ac:dyDescent="0.3">
      <c r="A3846">
        <v>3844</v>
      </c>
      <c r="B3846" t="s">
        <v>4439</v>
      </c>
      <c r="C3846" t="s">
        <v>2234</v>
      </c>
      <c r="D3846">
        <v>399</v>
      </c>
      <c r="E3846">
        <v>319</v>
      </c>
      <c r="F3846" t="s">
        <v>4427</v>
      </c>
      <c r="G3846" t="s">
        <v>4149</v>
      </c>
    </row>
    <row r="3847" spans="1:7" x14ac:dyDescent="0.3">
      <c r="A3847">
        <v>3845</v>
      </c>
      <c r="B3847" t="s">
        <v>4440</v>
      </c>
      <c r="C3847" t="s">
        <v>4169</v>
      </c>
      <c r="D3847">
        <v>200</v>
      </c>
      <c r="E3847">
        <v>165</v>
      </c>
      <c r="F3847" t="s">
        <v>4425</v>
      </c>
      <c r="G3847" t="s">
        <v>4149</v>
      </c>
    </row>
    <row r="3848" spans="1:7" x14ac:dyDescent="0.3">
      <c r="A3848">
        <v>3846</v>
      </c>
      <c r="B3848" t="s">
        <v>4441</v>
      </c>
      <c r="C3848" t="s">
        <v>4424</v>
      </c>
      <c r="D3848">
        <v>299</v>
      </c>
      <c r="E3848">
        <v>239</v>
      </c>
      <c r="F3848" t="s">
        <v>4442</v>
      </c>
      <c r="G3848" t="s">
        <v>4149</v>
      </c>
    </row>
    <row r="3849" spans="1:7" x14ac:dyDescent="0.3">
      <c r="A3849">
        <v>3847</v>
      </c>
      <c r="B3849" t="s">
        <v>4443</v>
      </c>
      <c r="C3849" t="s">
        <v>4209</v>
      </c>
      <c r="D3849">
        <v>199</v>
      </c>
      <c r="E3849">
        <v>150</v>
      </c>
      <c r="F3849" t="s">
        <v>4442</v>
      </c>
      <c r="G3849" t="s">
        <v>4149</v>
      </c>
    </row>
    <row r="3850" spans="1:7" x14ac:dyDescent="0.3">
      <c r="A3850">
        <v>3848</v>
      </c>
      <c r="B3850" t="s">
        <v>4444</v>
      </c>
      <c r="C3850" t="s">
        <v>4424</v>
      </c>
      <c r="D3850">
        <v>299</v>
      </c>
      <c r="E3850">
        <v>239</v>
      </c>
      <c r="F3850" t="s">
        <v>4442</v>
      </c>
      <c r="G3850" t="s">
        <v>4149</v>
      </c>
    </row>
    <row r="3851" spans="1:7" x14ac:dyDescent="0.3">
      <c r="A3851">
        <v>3849</v>
      </c>
      <c r="B3851" t="s">
        <v>4445</v>
      </c>
      <c r="C3851" t="s">
        <v>4169</v>
      </c>
      <c r="D3851">
        <v>155</v>
      </c>
      <c r="E3851">
        <v>119</v>
      </c>
      <c r="F3851" t="s">
        <v>4446</v>
      </c>
      <c r="G3851" t="s">
        <v>4149</v>
      </c>
    </row>
    <row r="3852" spans="1:7" x14ac:dyDescent="0.3">
      <c r="A3852">
        <v>3850</v>
      </c>
      <c r="B3852" t="s">
        <v>4447</v>
      </c>
      <c r="C3852" t="s">
        <v>4209</v>
      </c>
      <c r="D3852">
        <v>199</v>
      </c>
      <c r="E3852">
        <v>150</v>
      </c>
      <c r="F3852" t="s">
        <v>4442</v>
      </c>
      <c r="G3852" t="s">
        <v>4149</v>
      </c>
    </row>
    <row r="3853" spans="1:7" x14ac:dyDescent="0.3">
      <c r="A3853">
        <v>3851</v>
      </c>
      <c r="B3853" t="s">
        <v>4448</v>
      </c>
      <c r="C3853" t="s">
        <v>4169</v>
      </c>
      <c r="D3853">
        <v>170</v>
      </c>
      <c r="E3853">
        <v>139</v>
      </c>
      <c r="F3853" t="s">
        <v>4446</v>
      </c>
      <c r="G3853" t="s">
        <v>4149</v>
      </c>
    </row>
    <row r="3854" spans="1:7" x14ac:dyDescent="0.3">
      <c r="A3854">
        <v>3852</v>
      </c>
      <c r="B3854" t="s">
        <v>4449</v>
      </c>
      <c r="C3854" t="s">
        <v>4424</v>
      </c>
      <c r="D3854">
        <v>299</v>
      </c>
      <c r="E3854">
        <v>239</v>
      </c>
      <c r="F3854" t="s">
        <v>4442</v>
      </c>
      <c r="G3854" t="s">
        <v>4149</v>
      </c>
    </row>
    <row r="3855" spans="1:7" x14ac:dyDescent="0.3">
      <c r="A3855">
        <v>3853</v>
      </c>
      <c r="B3855" t="s">
        <v>4450</v>
      </c>
      <c r="C3855" t="s">
        <v>4451</v>
      </c>
      <c r="D3855">
        <v>549</v>
      </c>
      <c r="E3855">
        <v>353</v>
      </c>
      <c r="F3855" t="s">
        <v>4345</v>
      </c>
      <c r="G3855" t="s">
        <v>4149</v>
      </c>
    </row>
    <row r="3856" spans="1:7" x14ac:dyDescent="0.3">
      <c r="A3856">
        <v>3854</v>
      </c>
      <c r="B3856" t="s">
        <v>4452</v>
      </c>
      <c r="C3856" t="s">
        <v>4209</v>
      </c>
      <c r="D3856">
        <v>199</v>
      </c>
      <c r="E3856">
        <v>139</v>
      </c>
      <c r="F3856" t="s">
        <v>4442</v>
      </c>
      <c r="G3856" t="s">
        <v>4149</v>
      </c>
    </row>
    <row r="3857" spans="1:7" x14ac:dyDescent="0.3">
      <c r="A3857">
        <v>3855</v>
      </c>
      <c r="B3857" t="s">
        <v>4453</v>
      </c>
      <c r="C3857" t="s">
        <v>4169</v>
      </c>
      <c r="D3857">
        <v>160</v>
      </c>
      <c r="E3857">
        <v>141</v>
      </c>
      <c r="F3857" t="s">
        <v>4446</v>
      </c>
      <c r="G3857" t="s">
        <v>4149</v>
      </c>
    </row>
    <row r="3858" spans="1:7" x14ac:dyDescent="0.3">
      <c r="A3858">
        <v>3856</v>
      </c>
      <c r="B3858" t="s">
        <v>4454</v>
      </c>
      <c r="C3858" t="s">
        <v>4424</v>
      </c>
      <c r="D3858">
        <v>299</v>
      </c>
      <c r="E3858">
        <v>239</v>
      </c>
      <c r="F3858" t="s">
        <v>4442</v>
      </c>
      <c r="G3858" t="s">
        <v>4149</v>
      </c>
    </row>
    <row r="3859" spans="1:7" x14ac:dyDescent="0.3">
      <c r="A3859">
        <v>3857</v>
      </c>
      <c r="B3859" t="s">
        <v>4455</v>
      </c>
      <c r="C3859" t="s">
        <v>4169</v>
      </c>
      <c r="D3859">
        <v>155</v>
      </c>
      <c r="E3859">
        <v>119</v>
      </c>
      <c r="F3859" t="s">
        <v>4446</v>
      </c>
      <c r="G3859" t="s">
        <v>4149</v>
      </c>
    </row>
    <row r="3860" spans="1:7" x14ac:dyDescent="0.3">
      <c r="A3860">
        <v>3858</v>
      </c>
      <c r="B3860" t="s">
        <v>4456</v>
      </c>
      <c r="C3860" t="s">
        <v>2234</v>
      </c>
      <c r="D3860">
        <v>695</v>
      </c>
      <c r="E3860">
        <v>449</v>
      </c>
      <c r="F3860" t="s">
        <v>4345</v>
      </c>
      <c r="G3860" t="s">
        <v>4149</v>
      </c>
    </row>
    <row r="3861" spans="1:7" x14ac:dyDescent="0.3">
      <c r="A3861">
        <v>3859</v>
      </c>
      <c r="B3861" t="s">
        <v>4457</v>
      </c>
      <c r="C3861" t="s">
        <v>4209</v>
      </c>
      <c r="D3861">
        <v>899</v>
      </c>
      <c r="E3861">
        <v>500</v>
      </c>
      <c r="F3861" t="s">
        <v>4340</v>
      </c>
      <c r="G3861" t="s">
        <v>4149</v>
      </c>
    </row>
    <row r="3862" spans="1:7" x14ac:dyDescent="0.3">
      <c r="A3862">
        <v>3860</v>
      </c>
      <c r="B3862" t="s">
        <v>4458</v>
      </c>
      <c r="C3862" t="s">
        <v>4459</v>
      </c>
      <c r="D3862">
        <v>235</v>
      </c>
      <c r="E3862">
        <v>135</v>
      </c>
      <c r="F3862" t="s">
        <v>845</v>
      </c>
      <c r="G3862" t="s">
        <v>4149</v>
      </c>
    </row>
    <row r="3863" spans="1:7" x14ac:dyDescent="0.3">
      <c r="A3863">
        <v>3861</v>
      </c>
      <c r="B3863" t="s">
        <v>4460</v>
      </c>
      <c r="C3863" t="s">
        <v>4459</v>
      </c>
      <c r="D3863">
        <v>185</v>
      </c>
      <c r="E3863">
        <v>107</v>
      </c>
      <c r="F3863" t="s">
        <v>845</v>
      </c>
      <c r="G3863" t="s">
        <v>4149</v>
      </c>
    </row>
    <row r="3864" spans="1:7" x14ac:dyDescent="0.3">
      <c r="A3864">
        <v>3862</v>
      </c>
      <c r="B3864" t="s">
        <v>4461</v>
      </c>
      <c r="C3864" t="s">
        <v>4209</v>
      </c>
      <c r="D3864">
        <v>899</v>
      </c>
      <c r="E3864">
        <v>500</v>
      </c>
      <c r="F3864" t="s">
        <v>4340</v>
      </c>
      <c r="G3864" t="s">
        <v>4149</v>
      </c>
    </row>
    <row r="3865" spans="1:7" x14ac:dyDescent="0.3">
      <c r="A3865">
        <v>3863</v>
      </c>
      <c r="B3865" t="s">
        <v>4462</v>
      </c>
      <c r="C3865" t="s">
        <v>2234</v>
      </c>
      <c r="D3865">
        <v>695</v>
      </c>
      <c r="E3865">
        <v>395</v>
      </c>
      <c r="F3865" t="s">
        <v>4345</v>
      </c>
      <c r="G3865" t="s">
        <v>4149</v>
      </c>
    </row>
    <row r="3866" spans="1:7" x14ac:dyDescent="0.3">
      <c r="A3866">
        <v>3864</v>
      </c>
      <c r="B3866" t="s">
        <v>4463</v>
      </c>
      <c r="C3866" t="s">
        <v>4459</v>
      </c>
      <c r="D3866">
        <v>235</v>
      </c>
      <c r="E3866">
        <v>135</v>
      </c>
      <c r="F3866" t="s">
        <v>845</v>
      </c>
      <c r="G3866" t="s">
        <v>4149</v>
      </c>
    </row>
    <row r="3867" spans="1:7" x14ac:dyDescent="0.3">
      <c r="A3867">
        <v>3865</v>
      </c>
      <c r="B3867" t="s">
        <v>4464</v>
      </c>
      <c r="C3867" t="s">
        <v>4459</v>
      </c>
      <c r="D3867">
        <v>185</v>
      </c>
      <c r="E3867">
        <v>107</v>
      </c>
      <c r="F3867" t="s">
        <v>845</v>
      </c>
      <c r="G3867" t="s">
        <v>4149</v>
      </c>
    </row>
    <row r="3868" spans="1:7" x14ac:dyDescent="0.3">
      <c r="A3868">
        <v>3866</v>
      </c>
      <c r="B3868" t="s">
        <v>4465</v>
      </c>
      <c r="C3868" t="s">
        <v>4459</v>
      </c>
      <c r="D3868">
        <v>185</v>
      </c>
      <c r="E3868">
        <v>107</v>
      </c>
      <c r="F3868" t="s">
        <v>845</v>
      </c>
      <c r="G3868" t="s">
        <v>4149</v>
      </c>
    </row>
    <row r="3869" spans="1:7" x14ac:dyDescent="0.3">
      <c r="A3869">
        <v>3867</v>
      </c>
      <c r="B3869" t="s">
        <v>4466</v>
      </c>
      <c r="C3869" t="s">
        <v>4459</v>
      </c>
      <c r="D3869">
        <v>235</v>
      </c>
      <c r="E3869">
        <v>135</v>
      </c>
      <c r="F3869" t="s">
        <v>845</v>
      </c>
      <c r="G3869" t="s">
        <v>4149</v>
      </c>
    </row>
    <row r="3870" spans="1:7" x14ac:dyDescent="0.3">
      <c r="A3870">
        <v>3868</v>
      </c>
      <c r="B3870" t="s">
        <v>4467</v>
      </c>
      <c r="C3870" t="s">
        <v>4169</v>
      </c>
      <c r="D3870">
        <v>500</v>
      </c>
      <c r="E3870">
        <v>296</v>
      </c>
      <c r="F3870" t="s">
        <v>4243</v>
      </c>
      <c r="G3870" t="s">
        <v>4149</v>
      </c>
    </row>
    <row r="3871" spans="1:7" x14ac:dyDescent="0.3">
      <c r="A3871">
        <v>3869</v>
      </c>
      <c r="B3871" t="s">
        <v>4468</v>
      </c>
      <c r="C3871" t="s">
        <v>4169</v>
      </c>
      <c r="D3871">
        <v>475</v>
      </c>
      <c r="E3871">
        <v>275</v>
      </c>
      <c r="F3871" t="s">
        <v>4243</v>
      </c>
      <c r="G3871" t="s">
        <v>4149</v>
      </c>
    </row>
    <row r="3872" spans="1:7" x14ac:dyDescent="0.3">
      <c r="A3872">
        <v>3870</v>
      </c>
      <c r="B3872" t="s">
        <v>4469</v>
      </c>
      <c r="C3872" t="s">
        <v>4169</v>
      </c>
      <c r="D3872">
        <v>500</v>
      </c>
      <c r="E3872">
        <v>296</v>
      </c>
      <c r="F3872" t="s">
        <v>4243</v>
      </c>
      <c r="G3872" t="s">
        <v>4149</v>
      </c>
    </row>
    <row r="3873" spans="1:7" x14ac:dyDescent="0.3">
      <c r="A3873">
        <v>3871</v>
      </c>
      <c r="B3873" t="s">
        <v>4470</v>
      </c>
      <c r="C3873" t="s">
        <v>4169</v>
      </c>
      <c r="D3873">
        <v>585</v>
      </c>
      <c r="E3873">
        <v>367</v>
      </c>
      <c r="F3873" t="s">
        <v>613</v>
      </c>
      <c r="G3873" t="s">
        <v>4149</v>
      </c>
    </row>
    <row r="3874" spans="1:7" x14ac:dyDescent="0.3">
      <c r="A3874">
        <v>3872</v>
      </c>
      <c r="B3874" t="s">
        <v>4471</v>
      </c>
      <c r="C3874" t="s">
        <v>4169</v>
      </c>
      <c r="D3874">
        <v>500</v>
      </c>
      <c r="E3874">
        <v>296</v>
      </c>
      <c r="F3874" t="s">
        <v>4243</v>
      </c>
      <c r="G3874" t="s">
        <v>4149</v>
      </c>
    </row>
    <row r="3875" spans="1:7" x14ac:dyDescent="0.3">
      <c r="A3875">
        <v>3873</v>
      </c>
      <c r="B3875" t="s">
        <v>4472</v>
      </c>
      <c r="C3875" t="s">
        <v>4169</v>
      </c>
      <c r="D3875">
        <v>500</v>
      </c>
      <c r="E3875">
        <v>399</v>
      </c>
      <c r="F3875" t="s">
        <v>4243</v>
      </c>
      <c r="G3875" t="s">
        <v>4149</v>
      </c>
    </row>
    <row r="3876" spans="1:7" x14ac:dyDescent="0.3">
      <c r="A3876">
        <v>3874</v>
      </c>
      <c r="B3876" t="s">
        <v>4473</v>
      </c>
      <c r="C3876" t="s">
        <v>4169</v>
      </c>
      <c r="D3876">
        <v>585</v>
      </c>
      <c r="E3876">
        <v>399</v>
      </c>
      <c r="F3876" t="s">
        <v>613</v>
      </c>
      <c r="G3876" t="s">
        <v>4149</v>
      </c>
    </row>
    <row r="3877" spans="1:7" x14ac:dyDescent="0.3">
      <c r="A3877">
        <v>3875</v>
      </c>
      <c r="B3877" t="s">
        <v>4474</v>
      </c>
      <c r="C3877" t="s">
        <v>4169</v>
      </c>
      <c r="D3877">
        <v>500</v>
      </c>
      <c r="E3877">
        <v>349</v>
      </c>
      <c r="F3877" t="s">
        <v>4243</v>
      </c>
      <c r="G3877" t="s">
        <v>4149</v>
      </c>
    </row>
    <row r="3878" spans="1:7" x14ac:dyDescent="0.3">
      <c r="A3878">
        <v>3876</v>
      </c>
      <c r="B3878" t="s">
        <v>4475</v>
      </c>
      <c r="C3878" t="s">
        <v>4169</v>
      </c>
      <c r="D3878">
        <v>500</v>
      </c>
      <c r="E3878">
        <v>365</v>
      </c>
      <c r="F3878" t="s">
        <v>4243</v>
      </c>
      <c r="G3878" t="s">
        <v>4149</v>
      </c>
    </row>
    <row r="3879" spans="1:7" x14ac:dyDescent="0.3">
      <c r="A3879">
        <v>3877</v>
      </c>
      <c r="B3879" t="s">
        <v>4476</v>
      </c>
      <c r="C3879" t="s">
        <v>4209</v>
      </c>
      <c r="D3879">
        <v>899</v>
      </c>
      <c r="E3879">
        <v>500</v>
      </c>
      <c r="F3879" t="s">
        <v>4340</v>
      </c>
      <c r="G3879" t="s">
        <v>4149</v>
      </c>
    </row>
    <row r="3880" spans="1:7" x14ac:dyDescent="0.3">
      <c r="A3880">
        <v>3878</v>
      </c>
      <c r="B3880" t="s">
        <v>4477</v>
      </c>
      <c r="C3880" t="s">
        <v>4169</v>
      </c>
      <c r="D3880">
        <v>299</v>
      </c>
      <c r="E3880">
        <v>255</v>
      </c>
      <c r="F3880" t="s">
        <v>280</v>
      </c>
      <c r="G3880" t="s">
        <v>4149</v>
      </c>
    </row>
    <row r="3881" spans="1:7" x14ac:dyDescent="0.3">
      <c r="A3881">
        <v>3879</v>
      </c>
      <c r="B3881" t="s">
        <v>4478</v>
      </c>
      <c r="C3881" t="s">
        <v>4459</v>
      </c>
      <c r="D3881">
        <v>260</v>
      </c>
      <c r="E3881">
        <v>208</v>
      </c>
      <c r="F3881" t="s">
        <v>4345</v>
      </c>
      <c r="G3881" t="s">
        <v>4149</v>
      </c>
    </row>
    <row r="3882" spans="1:7" x14ac:dyDescent="0.3">
      <c r="A3882">
        <v>3880</v>
      </c>
      <c r="B3882" t="s">
        <v>4479</v>
      </c>
      <c r="C3882" t="s">
        <v>4451</v>
      </c>
      <c r="D3882">
        <v>549</v>
      </c>
      <c r="E3882">
        <v>371</v>
      </c>
      <c r="F3882" t="s">
        <v>4345</v>
      </c>
      <c r="G3882" t="s">
        <v>4149</v>
      </c>
    </row>
    <row r="3883" spans="1:7" x14ac:dyDescent="0.3">
      <c r="A3883">
        <v>3881</v>
      </c>
      <c r="B3883" t="s">
        <v>4480</v>
      </c>
      <c r="C3883" t="s">
        <v>4209</v>
      </c>
      <c r="D3883">
        <v>799</v>
      </c>
      <c r="E3883">
        <v>640</v>
      </c>
      <c r="F3883" t="s">
        <v>1725</v>
      </c>
      <c r="G3883" t="s">
        <v>4149</v>
      </c>
    </row>
    <row r="3884" spans="1:7" x14ac:dyDescent="0.3">
      <c r="A3884">
        <v>3882</v>
      </c>
      <c r="B3884" t="s">
        <v>4481</v>
      </c>
      <c r="C3884" t="s">
        <v>2234</v>
      </c>
      <c r="D3884">
        <v>695</v>
      </c>
      <c r="E3884">
        <v>395</v>
      </c>
      <c r="F3884" t="s">
        <v>1725</v>
      </c>
      <c r="G3884" t="s">
        <v>4149</v>
      </c>
    </row>
    <row r="3885" spans="1:7" x14ac:dyDescent="0.3">
      <c r="A3885">
        <v>3883</v>
      </c>
      <c r="B3885" t="s">
        <v>4482</v>
      </c>
      <c r="C3885" t="s">
        <v>4209</v>
      </c>
      <c r="D3885">
        <v>899</v>
      </c>
      <c r="E3885">
        <v>500</v>
      </c>
      <c r="F3885" t="s">
        <v>4345</v>
      </c>
      <c r="G3885" t="s">
        <v>4149</v>
      </c>
    </row>
    <row r="3886" spans="1:7" x14ac:dyDescent="0.3">
      <c r="A3886">
        <v>3884</v>
      </c>
      <c r="B3886" t="s">
        <v>4483</v>
      </c>
      <c r="C3886" t="s">
        <v>4169</v>
      </c>
      <c r="D3886">
        <v>360</v>
      </c>
      <c r="E3886">
        <v>255</v>
      </c>
      <c r="F3886" t="s">
        <v>1725</v>
      </c>
      <c r="G3886" t="s">
        <v>4149</v>
      </c>
    </row>
    <row r="3887" spans="1:7" x14ac:dyDescent="0.3">
      <c r="A3887">
        <v>3885</v>
      </c>
      <c r="B3887" t="s">
        <v>4484</v>
      </c>
      <c r="C3887" t="s">
        <v>4209</v>
      </c>
      <c r="D3887">
        <v>479</v>
      </c>
      <c r="E3887">
        <v>336</v>
      </c>
      <c r="F3887" t="s">
        <v>4485</v>
      </c>
      <c r="G3887" t="s">
        <v>4149</v>
      </c>
    </row>
    <row r="3888" spans="1:7" x14ac:dyDescent="0.3">
      <c r="A3888">
        <v>3886</v>
      </c>
      <c r="B3888" t="s">
        <v>4486</v>
      </c>
      <c r="C3888" t="s">
        <v>4169</v>
      </c>
      <c r="D3888">
        <v>349</v>
      </c>
      <c r="E3888">
        <v>255</v>
      </c>
      <c r="F3888" t="s">
        <v>1725</v>
      </c>
      <c r="G3888" t="s">
        <v>4149</v>
      </c>
    </row>
    <row r="3889" spans="1:7" x14ac:dyDescent="0.3">
      <c r="A3889">
        <v>3887</v>
      </c>
      <c r="B3889" t="s">
        <v>4487</v>
      </c>
      <c r="C3889" t="s">
        <v>4185</v>
      </c>
      <c r="D3889">
        <v>199</v>
      </c>
      <c r="E3889">
        <v>169</v>
      </c>
      <c r="F3889" t="s">
        <v>4488</v>
      </c>
      <c r="G3889" t="s">
        <v>4149</v>
      </c>
    </row>
    <row r="3890" spans="1:7" x14ac:dyDescent="0.3">
      <c r="A3890">
        <v>3888</v>
      </c>
      <c r="B3890" t="s">
        <v>4487</v>
      </c>
      <c r="C3890" t="s">
        <v>4185</v>
      </c>
      <c r="D3890">
        <v>349</v>
      </c>
      <c r="E3890">
        <v>279</v>
      </c>
      <c r="F3890" t="s">
        <v>2981</v>
      </c>
      <c r="G3890" t="s">
        <v>4149</v>
      </c>
    </row>
    <row r="3891" spans="1:7" x14ac:dyDescent="0.3">
      <c r="A3891">
        <v>3889</v>
      </c>
      <c r="B3891" t="s">
        <v>4489</v>
      </c>
      <c r="C3891" t="s">
        <v>4185</v>
      </c>
      <c r="D3891">
        <v>249</v>
      </c>
      <c r="E3891">
        <v>209</v>
      </c>
      <c r="F3891" t="s">
        <v>4488</v>
      </c>
      <c r="G3891" t="s">
        <v>4149</v>
      </c>
    </row>
    <row r="3892" spans="1:7" x14ac:dyDescent="0.3">
      <c r="A3892">
        <v>3890</v>
      </c>
      <c r="B3892" t="s">
        <v>4490</v>
      </c>
      <c r="C3892" t="s">
        <v>4209</v>
      </c>
      <c r="D3892">
        <v>250</v>
      </c>
      <c r="E3892">
        <v>188</v>
      </c>
      <c r="F3892" t="s">
        <v>4491</v>
      </c>
      <c r="G3892" t="s">
        <v>4149</v>
      </c>
    </row>
    <row r="3893" spans="1:7" x14ac:dyDescent="0.3">
      <c r="A3893">
        <v>3891</v>
      </c>
      <c r="B3893" t="s">
        <v>4492</v>
      </c>
      <c r="C3893" t="s">
        <v>4209</v>
      </c>
      <c r="D3893">
        <v>99</v>
      </c>
      <c r="E3893">
        <v>80</v>
      </c>
      <c r="F3893" t="s">
        <v>4493</v>
      </c>
      <c r="G3893" t="s">
        <v>4149</v>
      </c>
    </row>
    <row r="3894" spans="1:7" x14ac:dyDescent="0.3">
      <c r="A3894">
        <v>3892</v>
      </c>
      <c r="B3894" t="s">
        <v>4492</v>
      </c>
      <c r="C3894" t="s">
        <v>4209</v>
      </c>
      <c r="D3894">
        <v>299</v>
      </c>
      <c r="E3894">
        <v>199</v>
      </c>
      <c r="F3894" t="s">
        <v>4491</v>
      </c>
      <c r="G3894" t="s">
        <v>4149</v>
      </c>
    </row>
    <row r="3895" spans="1:7" x14ac:dyDescent="0.3">
      <c r="A3895">
        <v>3893</v>
      </c>
      <c r="B3895" t="s">
        <v>4494</v>
      </c>
      <c r="C3895" t="s">
        <v>4209</v>
      </c>
      <c r="D3895">
        <v>479</v>
      </c>
      <c r="E3895">
        <v>360</v>
      </c>
      <c r="F3895" t="s">
        <v>4163</v>
      </c>
      <c r="G3895" t="s">
        <v>4149</v>
      </c>
    </row>
    <row r="3896" spans="1:7" x14ac:dyDescent="0.3">
      <c r="A3896">
        <v>3894</v>
      </c>
      <c r="B3896" t="s">
        <v>4495</v>
      </c>
      <c r="C3896" t="s">
        <v>4209</v>
      </c>
      <c r="D3896">
        <v>349</v>
      </c>
      <c r="E3896">
        <v>280</v>
      </c>
      <c r="F3896" t="s">
        <v>2599</v>
      </c>
      <c r="G3896" t="s">
        <v>4149</v>
      </c>
    </row>
    <row r="3897" spans="1:7" x14ac:dyDescent="0.3">
      <c r="A3897">
        <v>3895</v>
      </c>
      <c r="B3897" t="s">
        <v>4496</v>
      </c>
      <c r="C3897" t="s">
        <v>4459</v>
      </c>
      <c r="D3897">
        <v>199</v>
      </c>
      <c r="E3897">
        <v>159</v>
      </c>
      <c r="F3897" t="s">
        <v>2649</v>
      </c>
      <c r="G3897" t="s">
        <v>4149</v>
      </c>
    </row>
    <row r="3898" spans="1:7" x14ac:dyDescent="0.3">
      <c r="A3898">
        <v>3896</v>
      </c>
      <c r="B3898" t="s">
        <v>4497</v>
      </c>
      <c r="C3898" t="s">
        <v>4169</v>
      </c>
      <c r="D3898">
        <v>160</v>
      </c>
      <c r="E3898">
        <v>118</v>
      </c>
      <c r="F3898" t="s">
        <v>4498</v>
      </c>
      <c r="G3898" t="s">
        <v>4149</v>
      </c>
    </row>
    <row r="3899" spans="1:7" x14ac:dyDescent="0.3">
      <c r="A3899">
        <v>3897</v>
      </c>
      <c r="B3899" t="s">
        <v>4499</v>
      </c>
      <c r="C3899" t="s">
        <v>4459</v>
      </c>
      <c r="D3899">
        <v>125</v>
      </c>
      <c r="E3899">
        <v>100</v>
      </c>
      <c r="F3899" t="s">
        <v>2712</v>
      </c>
      <c r="G3899" t="s">
        <v>4149</v>
      </c>
    </row>
    <row r="3900" spans="1:7" x14ac:dyDescent="0.3">
      <c r="A3900">
        <v>3898</v>
      </c>
      <c r="B3900" t="s">
        <v>4500</v>
      </c>
      <c r="C3900" t="s">
        <v>4169</v>
      </c>
      <c r="D3900">
        <v>170</v>
      </c>
      <c r="E3900">
        <v>140</v>
      </c>
      <c r="F3900" t="s">
        <v>4498</v>
      </c>
      <c r="G3900" t="s">
        <v>4149</v>
      </c>
    </row>
    <row r="3901" spans="1:7" x14ac:dyDescent="0.3">
      <c r="A3901">
        <v>3899</v>
      </c>
      <c r="B3901" t="s">
        <v>4501</v>
      </c>
      <c r="C3901" t="s">
        <v>4451</v>
      </c>
      <c r="D3901">
        <v>499</v>
      </c>
      <c r="E3901">
        <v>322</v>
      </c>
      <c r="F3901" t="s">
        <v>4502</v>
      </c>
      <c r="G3901" t="s">
        <v>4149</v>
      </c>
    </row>
    <row r="3902" spans="1:7" x14ac:dyDescent="0.3">
      <c r="A3902">
        <v>3900</v>
      </c>
      <c r="B3902" t="s">
        <v>4503</v>
      </c>
      <c r="C3902" t="s">
        <v>2234</v>
      </c>
      <c r="D3902">
        <v>475</v>
      </c>
      <c r="E3902">
        <v>270</v>
      </c>
      <c r="F3902" t="s">
        <v>216</v>
      </c>
      <c r="G3902" t="s">
        <v>4149</v>
      </c>
    </row>
    <row r="3903" spans="1:7" x14ac:dyDescent="0.3">
      <c r="A3903">
        <v>3901</v>
      </c>
      <c r="B3903" t="s">
        <v>4504</v>
      </c>
      <c r="C3903" t="s">
        <v>4451</v>
      </c>
      <c r="D3903">
        <v>499</v>
      </c>
      <c r="E3903">
        <v>322</v>
      </c>
      <c r="F3903" t="s">
        <v>4502</v>
      </c>
      <c r="G3903" t="s">
        <v>4149</v>
      </c>
    </row>
    <row r="3904" spans="1:7" x14ac:dyDescent="0.3">
      <c r="A3904">
        <v>3902</v>
      </c>
      <c r="B3904" t="s">
        <v>4505</v>
      </c>
      <c r="C3904" t="s">
        <v>4209</v>
      </c>
      <c r="D3904">
        <v>349</v>
      </c>
      <c r="E3904">
        <v>280</v>
      </c>
      <c r="F3904" t="s">
        <v>4506</v>
      </c>
      <c r="G3904" t="s">
        <v>4149</v>
      </c>
    </row>
    <row r="3905" spans="1:7" x14ac:dyDescent="0.3">
      <c r="A3905">
        <v>3903</v>
      </c>
      <c r="B3905" t="s">
        <v>4507</v>
      </c>
      <c r="C3905" t="s">
        <v>4459</v>
      </c>
      <c r="D3905">
        <v>180</v>
      </c>
      <c r="E3905">
        <v>144</v>
      </c>
      <c r="F3905" t="s">
        <v>4387</v>
      </c>
      <c r="G3905" t="s">
        <v>4149</v>
      </c>
    </row>
    <row r="3906" spans="1:7" x14ac:dyDescent="0.3">
      <c r="A3906">
        <v>3904</v>
      </c>
      <c r="B3906" t="s">
        <v>4508</v>
      </c>
      <c r="C3906" t="s">
        <v>4451</v>
      </c>
      <c r="D3906">
        <v>499</v>
      </c>
      <c r="E3906">
        <v>322</v>
      </c>
      <c r="F3906" t="s">
        <v>4502</v>
      </c>
      <c r="G3906" t="s">
        <v>4149</v>
      </c>
    </row>
    <row r="3907" spans="1:7" x14ac:dyDescent="0.3">
      <c r="A3907">
        <v>3905</v>
      </c>
      <c r="B3907" t="s">
        <v>4509</v>
      </c>
      <c r="C3907" t="s">
        <v>4209</v>
      </c>
      <c r="D3907">
        <v>349</v>
      </c>
      <c r="E3907">
        <v>249</v>
      </c>
      <c r="F3907" t="s">
        <v>4506</v>
      </c>
      <c r="G3907" t="s">
        <v>4149</v>
      </c>
    </row>
    <row r="3908" spans="1:7" x14ac:dyDescent="0.3">
      <c r="A3908">
        <v>3906</v>
      </c>
      <c r="B3908" t="s">
        <v>4510</v>
      </c>
      <c r="C3908" t="s">
        <v>2234</v>
      </c>
      <c r="D3908">
        <v>315</v>
      </c>
      <c r="E3908">
        <v>239</v>
      </c>
      <c r="F3908" t="s">
        <v>4163</v>
      </c>
      <c r="G3908" t="s">
        <v>4149</v>
      </c>
    </row>
    <row r="3909" spans="1:7" x14ac:dyDescent="0.3">
      <c r="A3909">
        <v>3907</v>
      </c>
      <c r="B3909" t="s">
        <v>4511</v>
      </c>
      <c r="C3909" t="s">
        <v>4451</v>
      </c>
      <c r="D3909">
        <v>440</v>
      </c>
      <c r="E3909">
        <v>284</v>
      </c>
      <c r="F3909" t="s">
        <v>4325</v>
      </c>
      <c r="G3909" t="s">
        <v>4149</v>
      </c>
    </row>
    <row r="3910" spans="1:7" x14ac:dyDescent="0.3">
      <c r="A3910">
        <v>3908</v>
      </c>
      <c r="B3910" t="s">
        <v>4512</v>
      </c>
      <c r="C3910" t="s">
        <v>4451</v>
      </c>
      <c r="D3910">
        <v>599</v>
      </c>
      <c r="E3910">
        <v>385</v>
      </c>
      <c r="F3910" t="s">
        <v>4513</v>
      </c>
      <c r="G3910" t="s">
        <v>4149</v>
      </c>
    </row>
    <row r="3911" spans="1:7" x14ac:dyDescent="0.3">
      <c r="A3911">
        <v>3909</v>
      </c>
      <c r="B3911" t="s">
        <v>4514</v>
      </c>
      <c r="C3911" t="s">
        <v>4459</v>
      </c>
      <c r="D3911">
        <v>199</v>
      </c>
      <c r="E3911">
        <v>159</v>
      </c>
      <c r="F3911" t="s">
        <v>2649</v>
      </c>
      <c r="G3911" t="s">
        <v>4149</v>
      </c>
    </row>
    <row r="3912" spans="1:7" x14ac:dyDescent="0.3">
      <c r="A3912">
        <v>3910</v>
      </c>
      <c r="B3912" t="s">
        <v>4515</v>
      </c>
      <c r="C3912" t="s">
        <v>4451</v>
      </c>
      <c r="D3912">
        <v>599</v>
      </c>
      <c r="E3912">
        <v>385</v>
      </c>
      <c r="F3912" t="s">
        <v>4513</v>
      </c>
      <c r="G3912" t="s">
        <v>4149</v>
      </c>
    </row>
    <row r="3913" spans="1:7" x14ac:dyDescent="0.3">
      <c r="A3913">
        <v>3911</v>
      </c>
      <c r="B3913" t="s">
        <v>4516</v>
      </c>
      <c r="C3913" t="s">
        <v>4209</v>
      </c>
      <c r="D3913">
        <v>399</v>
      </c>
      <c r="E3913">
        <v>299</v>
      </c>
      <c r="F3913" t="s">
        <v>4506</v>
      </c>
      <c r="G3913" t="s">
        <v>4149</v>
      </c>
    </row>
    <row r="3914" spans="1:7" x14ac:dyDescent="0.3">
      <c r="A3914">
        <v>3912</v>
      </c>
      <c r="B3914" t="s">
        <v>4517</v>
      </c>
      <c r="C3914" t="s">
        <v>4209</v>
      </c>
      <c r="D3914">
        <v>899</v>
      </c>
      <c r="E3914">
        <v>500</v>
      </c>
      <c r="F3914" t="s">
        <v>2642</v>
      </c>
      <c r="G3914" t="s">
        <v>4149</v>
      </c>
    </row>
    <row r="3915" spans="1:7" x14ac:dyDescent="0.3">
      <c r="A3915">
        <v>3913</v>
      </c>
      <c r="B3915" t="s">
        <v>4518</v>
      </c>
      <c r="C3915" t="s">
        <v>4209</v>
      </c>
      <c r="D3915">
        <v>649</v>
      </c>
      <c r="E3915">
        <v>362</v>
      </c>
      <c r="F3915" t="s">
        <v>4163</v>
      </c>
      <c r="G3915" t="s">
        <v>4149</v>
      </c>
    </row>
    <row r="3916" spans="1:7" x14ac:dyDescent="0.3">
      <c r="A3916">
        <v>3914</v>
      </c>
      <c r="B3916" t="s">
        <v>4519</v>
      </c>
      <c r="C3916" t="s">
        <v>4459</v>
      </c>
      <c r="D3916">
        <v>60</v>
      </c>
      <c r="E3916">
        <v>48</v>
      </c>
      <c r="F3916" t="s">
        <v>4520</v>
      </c>
      <c r="G3916" t="s">
        <v>4149</v>
      </c>
    </row>
    <row r="3917" spans="1:7" x14ac:dyDescent="0.3">
      <c r="A3917">
        <v>3915</v>
      </c>
      <c r="B3917" t="s">
        <v>4521</v>
      </c>
      <c r="C3917" t="s">
        <v>4459</v>
      </c>
      <c r="D3917">
        <v>230</v>
      </c>
      <c r="E3917">
        <v>155</v>
      </c>
      <c r="F3917" t="s">
        <v>4427</v>
      </c>
      <c r="G3917" t="s">
        <v>4149</v>
      </c>
    </row>
    <row r="3918" spans="1:7" x14ac:dyDescent="0.3">
      <c r="A3918">
        <v>3916</v>
      </c>
      <c r="B3918" t="s">
        <v>4522</v>
      </c>
      <c r="C3918" t="s">
        <v>4459</v>
      </c>
      <c r="D3918">
        <v>60</v>
      </c>
      <c r="E3918">
        <v>48</v>
      </c>
      <c r="F3918" t="s">
        <v>4520</v>
      </c>
      <c r="G3918" t="s">
        <v>4149</v>
      </c>
    </row>
    <row r="3919" spans="1:7" x14ac:dyDescent="0.3">
      <c r="A3919">
        <v>3917</v>
      </c>
      <c r="B3919" t="s">
        <v>4523</v>
      </c>
      <c r="C3919" t="s">
        <v>4459</v>
      </c>
      <c r="D3919">
        <v>230</v>
      </c>
      <c r="E3919">
        <v>132</v>
      </c>
      <c r="F3919" t="s">
        <v>4427</v>
      </c>
      <c r="G3919" t="s">
        <v>4149</v>
      </c>
    </row>
    <row r="3920" spans="1:7" x14ac:dyDescent="0.3">
      <c r="A3920">
        <v>3918</v>
      </c>
      <c r="B3920" t="s">
        <v>4524</v>
      </c>
      <c r="C3920" t="s">
        <v>4459</v>
      </c>
      <c r="D3920">
        <v>185</v>
      </c>
      <c r="E3920">
        <v>125</v>
      </c>
      <c r="F3920" t="s">
        <v>4425</v>
      </c>
      <c r="G3920" t="s">
        <v>4149</v>
      </c>
    </row>
    <row r="3921" spans="1:7" x14ac:dyDescent="0.3">
      <c r="A3921">
        <v>3919</v>
      </c>
      <c r="B3921" t="s">
        <v>4525</v>
      </c>
      <c r="C3921" t="s">
        <v>4459</v>
      </c>
      <c r="D3921">
        <v>185</v>
      </c>
      <c r="E3921">
        <v>125</v>
      </c>
      <c r="F3921" t="s">
        <v>4425</v>
      </c>
      <c r="G3921" t="s">
        <v>4149</v>
      </c>
    </row>
    <row r="3922" spans="1:7" x14ac:dyDescent="0.3">
      <c r="A3922">
        <v>3920</v>
      </c>
      <c r="B3922" t="s">
        <v>4526</v>
      </c>
      <c r="C3922" t="s">
        <v>4459</v>
      </c>
      <c r="D3922">
        <v>185</v>
      </c>
      <c r="E3922">
        <v>125</v>
      </c>
      <c r="F3922" t="s">
        <v>4425</v>
      </c>
      <c r="G3922" t="s">
        <v>4149</v>
      </c>
    </row>
    <row r="3923" spans="1:7" x14ac:dyDescent="0.3">
      <c r="A3923">
        <v>3921</v>
      </c>
      <c r="B3923" t="s">
        <v>4527</v>
      </c>
      <c r="C3923" t="s">
        <v>4209</v>
      </c>
      <c r="D3923">
        <v>349</v>
      </c>
      <c r="E3923">
        <v>197</v>
      </c>
      <c r="F3923" t="s">
        <v>4506</v>
      </c>
      <c r="G3923" t="s">
        <v>4149</v>
      </c>
    </row>
    <row r="3924" spans="1:7" x14ac:dyDescent="0.3">
      <c r="A3924">
        <v>3922</v>
      </c>
      <c r="B3924" t="s">
        <v>4528</v>
      </c>
      <c r="C3924" t="s">
        <v>4459</v>
      </c>
      <c r="D3924">
        <v>185</v>
      </c>
      <c r="E3924">
        <v>148</v>
      </c>
      <c r="F3924" t="s">
        <v>4425</v>
      </c>
      <c r="G3924" t="s">
        <v>4149</v>
      </c>
    </row>
    <row r="3925" spans="1:7" x14ac:dyDescent="0.3">
      <c r="A3925">
        <v>3923</v>
      </c>
      <c r="B3925" t="s">
        <v>4529</v>
      </c>
      <c r="C3925" t="s">
        <v>4459</v>
      </c>
      <c r="D3925">
        <v>230</v>
      </c>
      <c r="E3925">
        <v>132</v>
      </c>
      <c r="F3925" t="s">
        <v>4427</v>
      </c>
      <c r="G3925" t="s">
        <v>4149</v>
      </c>
    </row>
    <row r="3926" spans="1:7" x14ac:dyDescent="0.3">
      <c r="A3926">
        <v>3924</v>
      </c>
      <c r="B3926" t="s">
        <v>4530</v>
      </c>
      <c r="C3926" t="s">
        <v>4143</v>
      </c>
      <c r="D3926">
        <v>450</v>
      </c>
      <c r="E3926">
        <v>225</v>
      </c>
      <c r="F3926" t="s">
        <v>4340</v>
      </c>
      <c r="G3926" t="s">
        <v>4149</v>
      </c>
    </row>
    <row r="3927" spans="1:7" x14ac:dyDescent="0.3">
      <c r="A3927">
        <v>3925</v>
      </c>
      <c r="B3927" t="s">
        <v>4531</v>
      </c>
      <c r="C3927" t="s">
        <v>4143</v>
      </c>
      <c r="D3927">
        <v>450</v>
      </c>
      <c r="E3927">
        <v>225</v>
      </c>
      <c r="F3927" t="s">
        <v>4340</v>
      </c>
      <c r="G3927" t="s">
        <v>4149</v>
      </c>
    </row>
    <row r="3928" spans="1:7" x14ac:dyDescent="0.3">
      <c r="A3928">
        <v>3926</v>
      </c>
      <c r="B3928" t="s">
        <v>4532</v>
      </c>
      <c r="C3928" t="s">
        <v>4533</v>
      </c>
      <c r="D3928">
        <v>81</v>
      </c>
      <c r="E3928">
        <v>69</v>
      </c>
      <c r="F3928" t="s">
        <v>399</v>
      </c>
      <c r="G3928" t="s">
        <v>432</v>
      </c>
    </row>
    <row r="3929" spans="1:7" x14ac:dyDescent="0.3">
      <c r="A3929">
        <v>3927</v>
      </c>
      <c r="B3929" t="s">
        <v>4532</v>
      </c>
      <c r="C3929" t="s">
        <v>4533</v>
      </c>
      <c r="D3929">
        <v>115</v>
      </c>
      <c r="E3929">
        <v>101</v>
      </c>
      <c r="F3929" t="s">
        <v>1200</v>
      </c>
      <c r="G3929" t="s">
        <v>432</v>
      </c>
    </row>
    <row r="3930" spans="1:7" x14ac:dyDescent="0.3">
      <c r="A3930">
        <v>3928</v>
      </c>
      <c r="B3930" t="s">
        <v>4532</v>
      </c>
      <c r="C3930" t="s">
        <v>4533</v>
      </c>
      <c r="D3930">
        <v>233</v>
      </c>
      <c r="E3930">
        <v>203</v>
      </c>
      <c r="F3930" t="s">
        <v>1182</v>
      </c>
      <c r="G3930" t="s">
        <v>432</v>
      </c>
    </row>
    <row r="3931" spans="1:7" x14ac:dyDescent="0.3">
      <c r="A3931">
        <v>3929</v>
      </c>
      <c r="B3931" t="s">
        <v>4532</v>
      </c>
      <c r="C3931" t="s">
        <v>4533</v>
      </c>
      <c r="D3931">
        <v>370</v>
      </c>
      <c r="E3931">
        <v>303</v>
      </c>
      <c r="F3931" t="s">
        <v>246</v>
      </c>
      <c r="G3931" t="s">
        <v>432</v>
      </c>
    </row>
    <row r="3932" spans="1:7" x14ac:dyDescent="0.3">
      <c r="A3932">
        <v>3930</v>
      </c>
      <c r="B3932" t="s">
        <v>4534</v>
      </c>
      <c r="C3932" t="s">
        <v>4535</v>
      </c>
      <c r="D3932">
        <v>350</v>
      </c>
      <c r="E3932">
        <v>195</v>
      </c>
      <c r="F3932" t="s">
        <v>246</v>
      </c>
      <c r="G3932" t="s">
        <v>432</v>
      </c>
    </row>
    <row r="3933" spans="1:7" x14ac:dyDescent="0.3">
      <c r="A3933">
        <v>3931</v>
      </c>
      <c r="B3933" t="s">
        <v>4534</v>
      </c>
      <c r="C3933" t="s">
        <v>4535</v>
      </c>
      <c r="D3933">
        <v>120</v>
      </c>
      <c r="E3933">
        <v>65</v>
      </c>
      <c r="F3933" t="s">
        <v>1200</v>
      </c>
      <c r="G3933" t="s">
        <v>432</v>
      </c>
    </row>
    <row r="3934" spans="1:7" x14ac:dyDescent="0.3">
      <c r="A3934">
        <v>3932</v>
      </c>
      <c r="B3934" t="s">
        <v>4534</v>
      </c>
      <c r="C3934" t="s">
        <v>4535</v>
      </c>
      <c r="D3934">
        <v>180</v>
      </c>
      <c r="E3934">
        <v>99</v>
      </c>
      <c r="F3934" t="s">
        <v>391</v>
      </c>
      <c r="G3934" t="s">
        <v>432</v>
      </c>
    </row>
    <row r="3935" spans="1:7" x14ac:dyDescent="0.3">
      <c r="A3935">
        <v>3933</v>
      </c>
      <c r="B3935" t="s">
        <v>4536</v>
      </c>
      <c r="C3935" t="s">
        <v>4537</v>
      </c>
      <c r="D3935">
        <v>432</v>
      </c>
      <c r="E3935">
        <v>319</v>
      </c>
      <c r="F3935" t="s">
        <v>4163</v>
      </c>
      <c r="G3935" t="s">
        <v>432</v>
      </c>
    </row>
    <row r="3936" spans="1:7" x14ac:dyDescent="0.3">
      <c r="A3936">
        <v>3934</v>
      </c>
      <c r="B3936" t="s">
        <v>4538</v>
      </c>
      <c r="C3936" t="s">
        <v>3932</v>
      </c>
      <c r="D3936">
        <v>249</v>
      </c>
      <c r="E3936">
        <v>124</v>
      </c>
      <c r="F3936" t="s">
        <v>1182</v>
      </c>
      <c r="G3936" t="s">
        <v>432</v>
      </c>
    </row>
    <row r="3937" spans="1:7" x14ac:dyDescent="0.3">
      <c r="A3937">
        <v>3935</v>
      </c>
      <c r="B3937" t="s">
        <v>4539</v>
      </c>
      <c r="C3937" t="s">
        <v>4540</v>
      </c>
      <c r="D3937">
        <v>205</v>
      </c>
      <c r="E3937">
        <v>163</v>
      </c>
      <c r="F3937" t="s">
        <v>1200</v>
      </c>
      <c r="G3937" t="s">
        <v>432</v>
      </c>
    </row>
    <row r="3938" spans="1:7" x14ac:dyDescent="0.3">
      <c r="A3938">
        <v>3936</v>
      </c>
      <c r="B3938" t="s">
        <v>4539</v>
      </c>
      <c r="C3938" t="s">
        <v>4540</v>
      </c>
      <c r="D3938">
        <v>320</v>
      </c>
      <c r="E3938">
        <v>259</v>
      </c>
      <c r="F3938" t="s">
        <v>391</v>
      </c>
      <c r="G3938" t="s">
        <v>432</v>
      </c>
    </row>
    <row r="3939" spans="1:7" x14ac:dyDescent="0.3">
      <c r="A3939">
        <v>3937</v>
      </c>
      <c r="B3939" t="s">
        <v>4541</v>
      </c>
      <c r="C3939" t="s">
        <v>3932</v>
      </c>
      <c r="D3939">
        <v>435</v>
      </c>
      <c r="E3939">
        <v>345</v>
      </c>
      <c r="F3939" t="s">
        <v>4542</v>
      </c>
      <c r="G3939" t="s">
        <v>432</v>
      </c>
    </row>
    <row r="3940" spans="1:7" x14ac:dyDescent="0.3">
      <c r="A3940">
        <v>3938</v>
      </c>
      <c r="B3940" t="s">
        <v>4541</v>
      </c>
      <c r="C3940" t="s">
        <v>3932</v>
      </c>
      <c r="D3940">
        <v>195</v>
      </c>
      <c r="E3940">
        <v>175</v>
      </c>
      <c r="F3940" t="s">
        <v>4543</v>
      </c>
      <c r="G3940" t="s">
        <v>432</v>
      </c>
    </row>
    <row r="3941" spans="1:7" x14ac:dyDescent="0.3">
      <c r="A3941">
        <v>3939</v>
      </c>
      <c r="B3941" t="s">
        <v>4541</v>
      </c>
      <c r="C3941" t="s">
        <v>3932</v>
      </c>
      <c r="D3941">
        <v>70</v>
      </c>
      <c r="E3941">
        <v>63</v>
      </c>
      <c r="F3941" t="s">
        <v>4544</v>
      </c>
      <c r="G3941" t="s">
        <v>432</v>
      </c>
    </row>
    <row r="3942" spans="1:7" x14ac:dyDescent="0.3">
      <c r="A3942">
        <v>3940</v>
      </c>
      <c r="B3942" t="s">
        <v>4541</v>
      </c>
      <c r="C3942" t="s">
        <v>3932</v>
      </c>
      <c r="D3942">
        <v>305</v>
      </c>
      <c r="E3942">
        <v>275</v>
      </c>
      <c r="F3942" t="s">
        <v>4545</v>
      </c>
      <c r="G3942" t="s">
        <v>432</v>
      </c>
    </row>
    <row r="3943" spans="1:7" x14ac:dyDescent="0.3">
      <c r="A3943">
        <v>3941</v>
      </c>
      <c r="B3943" t="s">
        <v>4546</v>
      </c>
      <c r="C3943" t="s">
        <v>2237</v>
      </c>
      <c r="D3943">
        <v>261</v>
      </c>
      <c r="E3943">
        <v>130</v>
      </c>
      <c r="F3943" t="s">
        <v>391</v>
      </c>
      <c r="G3943" t="s">
        <v>432</v>
      </c>
    </row>
    <row r="3944" spans="1:7" x14ac:dyDescent="0.3">
      <c r="A3944">
        <v>3942</v>
      </c>
      <c r="B3944" t="s">
        <v>4547</v>
      </c>
      <c r="C3944" t="s">
        <v>2237</v>
      </c>
      <c r="D3944">
        <v>209</v>
      </c>
      <c r="E3944">
        <v>189</v>
      </c>
      <c r="F3944" t="s">
        <v>3571</v>
      </c>
      <c r="G3944" t="s">
        <v>432</v>
      </c>
    </row>
    <row r="3945" spans="1:7" x14ac:dyDescent="0.3">
      <c r="A3945">
        <v>3943</v>
      </c>
      <c r="B3945" t="s">
        <v>4548</v>
      </c>
      <c r="C3945" t="s">
        <v>4189</v>
      </c>
      <c r="D3945">
        <v>399</v>
      </c>
      <c r="E3945">
        <v>319</v>
      </c>
      <c r="F3945" t="s">
        <v>1109</v>
      </c>
      <c r="G3945" t="s">
        <v>432</v>
      </c>
    </row>
    <row r="3946" spans="1:7" x14ac:dyDescent="0.3">
      <c r="A3946">
        <v>3944</v>
      </c>
      <c r="B3946" t="s">
        <v>4549</v>
      </c>
      <c r="C3946" t="s">
        <v>17</v>
      </c>
      <c r="D3946">
        <v>230</v>
      </c>
      <c r="E3946">
        <v>213</v>
      </c>
      <c r="F3946" t="s">
        <v>399</v>
      </c>
      <c r="G3946" t="s">
        <v>432</v>
      </c>
    </row>
    <row r="3947" spans="1:7" x14ac:dyDescent="0.3">
      <c r="A3947">
        <v>3945</v>
      </c>
      <c r="B3947" t="s">
        <v>4550</v>
      </c>
      <c r="C3947" t="s">
        <v>4533</v>
      </c>
      <c r="D3947">
        <v>132</v>
      </c>
      <c r="E3947">
        <v>115</v>
      </c>
      <c r="F3947" t="s">
        <v>1200</v>
      </c>
      <c r="G3947" t="s">
        <v>432</v>
      </c>
    </row>
    <row r="3948" spans="1:7" x14ac:dyDescent="0.3">
      <c r="A3948">
        <v>3946</v>
      </c>
      <c r="B3948" t="s">
        <v>4551</v>
      </c>
      <c r="C3948" t="s">
        <v>4552</v>
      </c>
      <c r="D3948">
        <v>349</v>
      </c>
      <c r="E3948">
        <v>264</v>
      </c>
      <c r="F3948" t="s">
        <v>1200</v>
      </c>
      <c r="G3948" t="s">
        <v>432</v>
      </c>
    </row>
    <row r="3949" spans="1:7" x14ac:dyDescent="0.3">
      <c r="A3949">
        <v>3947</v>
      </c>
      <c r="B3949" t="s">
        <v>4553</v>
      </c>
      <c r="C3949" t="s">
        <v>4248</v>
      </c>
      <c r="D3949">
        <v>305</v>
      </c>
      <c r="E3949">
        <v>152</v>
      </c>
      <c r="F3949" t="s">
        <v>391</v>
      </c>
      <c r="G3949" t="s">
        <v>432</v>
      </c>
    </row>
    <row r="3950" spans="1:7" x14ac:dyDescent="0.3">
      <c r="A3950">
        <v>3948</v>
      </c>
      <c r="B3950" t="s">
        <v>4554</v>
      </c>
      <c r="C3950" t="s">
        <v>2237</v>
      </c>
      <c r="D3950">
        <v>305</v>
      </c>
      <c r="E3950">
        <v>225</v>
      </c>
      <c r="F3950" t="s">
        <v>391</v>
      </c>
      <c r="G3950" t="s">
        <v>432</v>
      </c>
    </row>
    <row r="3951" spans="1:7" x14ac:dyDescent="0.3">
      <c r="A3951">
        <v>3949</v>
      </c>
      <c r="B3951" t="s">
        <v>4554</v>
      </c>
      <c r="C3951" t="s">
        <v>2237</v>
      </c>
      <c r="D3951">
        <v>305</v>
      </c>
      <c r="E3951">
        <v>219</v>
      </c>
      <c r="F3951" t="s">
        <v>391</v>
      </c>
      <c r="G3951" t="s">
        <v>432</v>
      </c>
    </row>
    <row r="3952" spans="1:7" x14ac:dyDescent="0.3">
      <c r="A3952">
        <v>3950</v>
      </c>
      <c r="B3952" t="s">
        <v>4555</v>
      </c>
      <c r="C3952" t="s">
        <v>4533</v>
      </c>
      <c r="D3952">
        <v>200</v>
      </c>
      <c r="E3952">
        <v>185</v>
      </c>
      <c r="F3952" t="s">
        <v>2981</v>
      </c>
      <c r="G3952" t="s">
        <v>432</v>
      </c>
    </row>
    <row r="3953" spans="1:7" x14ac:dyDescent="0.3">
      <c r="A3953">
        <v>3951</v>
      </c>
      <c r="B3953" t="s">
        <v>4556</v>
      </c>
      <c r="C3953" t="s">
        <v>4248</v>
      </c>
      <c r="D3953">
        <v>300</v>
      </c>
      <c r="E3953">
        <v>150</v>
      </c>
      <c r="F3953" t="s">
        <v>4163</v>
      </c>
      <c r="G3953" t="s">
        <v>432</v>
      </c>
    </row>
    <row r="3954" spans="1:7" x14ac:dyDescent="0.3">
      <c r="A3954">
        <v>3952</v>
      </c>
      <c r="B3954" t="s">
        <v>4557</v>
      </c>
      <c r="C3954" t="s">
        <v>4558</v>
      </c>
      <c r="D3954">
        <v>184</v>
      </c>
      <c r="E3954">
        <v>92</v>
      </c>
      <c r="F3954" t="s">
        <v>1200</v>
      </c>
      <c r="G3954" t="s">
        <v>432</v>
      </c>
    </row>
    <row r="3955" spans="1:7" x14ac:dyDescent="0.3">
      <c r="A3955">
        <v>3953</v>
      </c>
      <c r="B3955" t="s">
        <v>4559</v>
      </c>
      <c r="C3955" t="s">
        <v>3932</v>
      </c>
      <c r="D3955">
        <v>600</v>
      </c>
      <c r="E3955">
        <v>450</v>
      </c>
      <c r="F3955" t="s">
        <v>399</v>
      </c>
      <c r="G3955" t="s">
        <v>432</v>
      </c>
    </row>
    <row r="3956" spans="1:7" x14ac:dyDescent="0.3">
      <c r="A3956">
        <v>3954</v>
      </c>
      <c r="B3956" t="s">
        <v>4560</v>
      </c>
      <c r="C3956" t="s">
        <v>4352</v>
      </c>
      <c r="D3956">
        <v>599</v>
      </c>
      <c r="E3956">
        <v>419</v>
      </c>
      <c r="F3956" t="s">
        <v>399</v>
      </c>
      <c r="G3956" t="s">
        <v>432</v>
      </c>
    </row>
    <row r="3957" spans="1:7" x14ac:dyDescent="0.3">
      <c r="A3957">
        <v>3955</v>
      </c>
      <c r="B3957" t="s">
        <v>4561</v>
      </c>
      <c r="C3957" t="s">
        <v>4352</v>
      </c>
      <c r="D3957">
        <v>399</v>
      </c>
      <c r="E3957">
        <v>279</v>
      </c>
      <c r="F3957" t="s">
        <v>399</v>
      </c>
      <c r="G3957" t="s">
        <v>432</v>
      </c>
    </row>
    <row r="3958" spans="1:7" x14ac:dyDescent="0.3">
      <c r="A3958">
        <v>3956</v>
      </c>
      <c r="B3958" t="s">
        <v>4562</v>
      </c>
      <c r="C3958" t="s">
        <v>4267</v>
      </c>
      <c r="D3958">
        <v>750</v>
      </c>
      <c r="E3958">
        <v>600</v>
      </c>
      <c r="F3958" t="s">
        <v>2599</v>
      </c>
      <c r="G3958" t="s">
        <v>432</v>
      </c>
    </row>
    <row r="3959" spans="1:7" x14ac:dyDescent="0.3">
      <c r="A3959">
        <v>3957</v>
      </c>
      <c r="B3959" t="s">
        <v>4563</v>
      </c>
      <c r="C3959" t="s">
        <v>4267</v>
      </c>
      <c r="D3959">
        <v>350</v>
      </c>
      <c r="E3959">
        <v>280</v>
      </c>
      <c r="F3959" t="s">
        <v>4345</v>
      </c>
      <c r="G3959" t="s">
        <v>432</v>
      </c>
    </row>
    <row r="3960" spans="1:7" x14ac:dyDescent="0.3">
      <c r="A3960">
        <v>3958</v>
      </c>
      <c r="B3960" t="s">
        <v>4564</v>
      </c>
      <c r="C3960" t="s">
        <v>4090</v>
      </c>
      <c r="D3960">
        <v>220</v>
      </c>
      <c r="E3960">
        <v>149</v>
      </c>
      <c r="F3960" t="s">
        <v>4221</v>
      </c>
      <c r="G3960" t="s">
        <v>432</v>
      </c>
    </row>
    <row r="3961" spans="1:7" x14ac:dyDescent="0.3">
      <c r="A3961">
        <v>3959</v>
      </c>
      <c r="B3961" t="s">
        <v>4565</v>
      </c>
      <c r="C3961" t="s">
        <v>4090</v>
      </c>
      <c r="D3961">
        <v>220</v>
      </c>
      <c r="E3961">
        <v>149</v>
      </c>
      <c r="F3961" t="s">
        <v>4221</v>
      </c>
      <c r="G3961" t="s">
        <v>432</v>
      </c>
    </row>
    <row r="3962" spans="1:7" x14ac:dyDescent="0.3">
      <c r="A3962">
        <v>3960</v>
      </c>
      <c r="B3962" t="s">
        <v>4566</v>
      </c>
      <c r="C3962" t="s">
        <v>4533</v>
      </c>
      <c r="D3962">
        <v>399</v>
      </c>
      <c r="E3962">
        <v>249</v>
      </c>
      <c r="F3962" t="s">
        <v>399</v>
      </c>
      <c r="G3962" t="s">
        <v>432</v>
      </c>
    </row>
    <row r="3963" spans="1:7" x14ac:dyDescent="0.3">
      <c r="A3963">
        <v>3961</v>
      </c>
      <c r="B3963" t="s">
        <v>4567</v>
      </c>
      <c r="C3963" t="s">
        <v>4533</v>
      </c>
      <c r="D3963">
        <v>164</v>
      </c>
      <c r="E3963">
        <v>132</v>
      </c>
      <c r="F3963" t="s">
        <v>401</v>
      </c>
      <c r="G3963" t="s">
        <v>432</v>
      </c>
    </row>
    <row r="3964" spans="1:7" x14ac:dyDescent="0.3">
      <c r="A3964">
        <v>3962</v>
      </c>
      <c r="B3964" t="s">
        <v>4567</v>
      </c>
      <c r="C3964" t="s">
        <v>4533</v>
      </c>
      <c r="D3964">
        <v>256</v>
      </c>
      <c r="E3964">
        <v>199</v>
      </c>
      <c r="F3964" t="s">
        <v>2981</v>
      </c>
      <c r="G3964" t="s">
        <v>432</v>
      </c>
    </row>
    <row r="3965" spans="1:7" x14ac:dyDescent="0.3">
      <c r="A3965">
        <v>3963</v>
      </c>
      <c r="B3965" t="s">
        <v>4568</v>
      </c>
      <c r="C3965" t="s">
        <v>4143</v>
      </c>
      <c r="D3965">
        <v>225</v>
      </c>
      <c r="E3965">
        <v>112</v>
      </c>
      <c r="F3965" t="s">
        <v>4172</v>
      </c>
      <c r="G3965" t="s">
        <v>432</v>
      </c>
    </row>
    <row r="3966" spans="1:7" x14ac:dyDescent="0.3">
      <c r="A3966">
        <v>3964</v>
      </c>
      <c r="B3966" t="s">
        <v>4569</v>
      </c>
      <c r="C3966" t="s">
        <v>4143</v>
      </c>
      <c r="D3966">
        <v>650</v>
      </c>
      <c r="E3966">
        <v>325</v>
      </c>
      <c r="F3966" t="s">
        <v>3013</v>
      </c>
      <c r="G3966" t="s">
        <v>432</v>
      </c>
    </row>
    <row r="3967" spans="1:7" x14ac:dyDescent="0.3">
      <c r="A3967">
        <v>3965</v>
      </c>
      <c r="B3967" t="s">
        <v>4570</v>
      </c>
      <c r="C3967" t="s">
        <v>4571</v>
      </c>
      <c r="D3967">
        <v>230</v>
      </c>
      <c r="E3967">
        <v>189</v>
      </c>
      <c r="F3967" t="s">
        <v>4572</v>
      </c>
      <c r="G3967" t="s">
        <v>432</v>
      </c>
    </row>
    <row r="3968" spans="1:7" x14ac:dyDescent="0.3">
      <c r="A3968">
        <v>3966</v>
      </c>
      <c r="B3968" t="s">
        <v>4570</v>
      </c>
      <c r="C3968" t="s">
        <v>4571</v>
      </c>
      <c r="D3968">
        <v>525</v>
      </c>
      <c r="E3968">
        <v>262</v>
      </c>
      <c r="F3968" t="s">
        <v>4542</v>
      </c>
      <c r="G3968" t="s">
        <v>432</v>
      </c>
    </row>
    <row r="3969" spans="1:7" x14ac:dyDescent="0.3">
      <c r="A3969">
        <v>3967</v>
      </c>
      <c r="B3969" t="s">
        <v>4573</v>
      </c>
      <c r="C3969" t="s">
        <v>4042</v>
      </c>
      <c r="D3969">
        <v>170</v>
      </c>
      <c r="E3969">
        <v>158</v>
      </c>
      <c r="F3969" t="s">
        <v>959</v>
      </c>
      <c r="G3969" t="s">
        <v>432</v>
      </c>
    </row>
    <row r="3970" spans="1:7" x14ac:dyDescent="0.3">
      <c r="A3970">
        <v>3968</v>
      </c>
      <c r="B3970" t="s">
        <v>4573</v>
      </c>
      <c r="C3970" t="s">
        <v>4042</v>
      </c>
      <c r="D3970">
        <v>345</v>
      </c>
      <c r="E3970">
        <v>275</v>
      </c>
      <c r="F3970" t="s">
        <v>4572</v>
      </c>
      <c r="G3970" t="s">
        <v>432</v>
      </c>
    </row>
    <row r="3971" spans="1:7" x14ac:dyDescent="0.3">
      <c r="A3971">
        <v>3969</v>
      </c>
      <c r="B3971" t="s">
        <v>4573</v>
      </c>
      <c r="C3971" t="s">
        <v>4042</v>
      </c>
      <c r="D3971">
        <v>740</v>
      </c>
      <c r="E3971">
        <v>440</v>
      </c>
      <c r="F3971" t="s">
        <v>4542</v>
      </c>
      <c r="G3971" t="s">
        <v>432</v>
      </c>
    </row>
    <row r="3972" spans="1:7" x14ac:dyDescent="0.3">
      <c r="A3972">
        <v>3970</v>
      </c>
      <c r="B3972" t="s">
        <v>4574</v>
      </c>
      <c r="C3972" t="s">
        <v>4397</v>
      </c>
      <c r="D3972">
        <v>699</v>
      </c>
      <c r="E3972">
        <v>399</v>
      </c>
      <c r="F3972" t="s">
        <v>4575</v>
      </c>
      <c r="G3972" t="s">
        <v>432</v>
      </c>
    </row>
    <row r="3973" spans="1:7" x14ac:dyDescent="0.3">
      <c r="A3973">
        <v>3971</v>
      </c>
      <c r="B3973" t="s">
        <v>4574</v>
      </c>
      <c r="C3973" t="s">
        <v>4397</v>
      </c>
      <c r="D3973">
        <v>369</v>
      </c>
      <c r="E3973">
        <v>325</v>
      </c>
      <c r="F3973" t="s">
        <v>4576</v>
      </c>
      <c r="G3973" t="s">
        <v>432</v>
      </c>
    </row>
    <row r="3974" spans="1:7" x14ac:dyDescent="0.3">
      <c r="A3974">
        <v>3972</v>
      </c>
      <c r="B3974" t="s">
        <v>4574</v>
      </c>
      <c r="C3974" t="s">
        <v>4397</v>
      </c>
      <c r="D3974">
        <v>189</v>
      </c>
      <c r="E3974">
        <v>174</v>
      </c>
      <c r="F3974" t="s">
        <v>4379</v>
      </c>
      <c r="G3974" t="s">
        <v>432</v>
      </c>
    </row>
    <row r="3975" spans="1:7" x14ac:dyDescent="0.3">
      <c r="A3975">
        <v>3973</v>
      </c>
      <c r="B3975" t="s">
        <v>4574</v>
      </c>
      <c r="C3975" t="s">
        <v>4397</v>
      </c>
      <c r="D3975">
        <v>849</v>
      </c>
      <c r="E3975">
        <v>649</v>
      </c>
      <c r="F3975" t="s">
        <v>246</v>
      </c>
      <c r="G3975" t="s">
        <v>432</v>
      </c>
    </row>
    <row r="3976" spans="1:7" x14ac:dyDescent="0.3">
      <c r="A3976">
        <v>3974</v>
      </c>
      <c r="B3976" t="s">
        <v>4577</v>
      </c>
      <c r="C3976" t="s">
        <v>4578</v>
      </c>
      <c r="D3976">
        <v>300</v>
      </c>
      <c r="E3976">
        <v>249</v>
      </c>
      <c r="F3976" t="s">
        <v>4572</v>
      </c>
      <c r="G3976" t="s">
        <v>432</v>
      </c>
    </row>
    <row r="3977" spans="1:7" x14ac:dyDescent="0.3">
      <c r="A3977">
        <v>3975</v>
      </c>
      <c r="B3977" t="s">
        <v>4577</v>
      </c>
      <c r="C3977" t="s">
        <v>4578</v>
      </c>
      <c r="D3977">
        <v>615</v>
      </c>
      <c r="E3977">
        <v>430</v>
      </c>
      <c r="F3977" t="s">
        <v>4542</v>
      </c>
      <c r="G3977" t="s">
        <v>432</v>
      </c>
    </row>
    <row r="3978" spans="1:7" x14ac:dyDescent="0.3">
      <c r="A3978">
        <v>3976</v>
      </c>
      <c r="B3978" t="s">
        <v>4579</v>
      </c>
      <c r="C3978" t="s">
        <v>4578</v>
      </c>
      <c r="D3978">
        <v>300</v>
      </c>
      <c r="E3978">
        <v>215</v>
      </c>
      <c r="F3978" t="s">
        <v>4572</v>
      </c>
      <c r="G3978" t="s">
        <v>432</v>
      </c>
    </row>
    <row r="3979" spans="1:7" x14ac:dyDescent="0.3">
      <c r="A3979">
        <v>3977</v>
      </c>
      <c r="B3979" t="s">
        <v>4579</v>
      </c>
      <c r="C3979" t="s">
        <v>4578</v>
      </c>
      <c r="D3979">
        <v>615</v>
      </c>
      <c r="E3979">
        <v>405</v>
      </c>
      <c r="F3979" t="s">
        <v>4542</v>
      </c>
      <c r="G3979" t="s">
        <v>432</v>
      </c>
    </row>
    <row r="3980" spans="1:7" x14ac:dyDescent="0.3">
      <c r="A3980">
        <v>3978</v>
      </c>
      <c r="B3980" t="s">
        <v>4580</v>
      </c>
      <c r="C3980" t="s">
        <v>4581</v>
      </c>
      <c r="D3980">
        <v>345</v>
      </c>
      <c r="E3980">
        <v>320</v>
      </c>
      <c r="F3980" t="s">
        <v>4572</v>
      </c>
      <c r="G3980" t="s">
        <v>432</v>
      </c>
    </row>
    <row r="3981" spans="1:7" x14ac:dyDescent="0.3">
      <c r="A3981">
        <v>3979</v>
      </c>
      <c r="B3981" t="s">
        <v>4580</v>
      </c>
      <c r="C3981" t="s">
        <v>4581</v>
      </c>
      <c r="D3981">
        <v>740</v>
      </c>
      <c r="E3981">
        <v>370</v>
      </c>
      <c r="F3981" t="s">
        <v>4542</v>
      </c>
      <c r="G3981" t="s">
        <v>432</v>
      </c>
    </row>
    <row r="3982" spans="1:7" x14ac:dyDescent="0.3">
      <c r="A3982">
        <v>3980</v>
      </c>
      <c r="B3982" t="s">
        <v>4582</v>
      </c>
      <c r="C3982" t="s">
        <v>4042</v>
      </c>
      <c r="D3982">
        <v>330</v>
      </c>
      <c r="E3982">
        <v>255</v>
      </c>
      <c r="F3982" t="s">
        <v>4572</v>
      </c>
      <c r="G3982" t="s">
        <v>432</v>
      </c>
    </row>
    <row r="3983" spans="1:7" x14ac:dyDescent="0.3">
      <c r="A3983">
        <v>3981</v>
      </c>
      <c r="B3983" t="s">
        <v>4582</v>
      </c>
      <c r="C3983" t="s">
        <v>4042</v>
      </c>
      <c r="D3983">
        <v>740</v>
      </c>
      <c r="E3983">
        <v>419</v>
      </c>
      <c r="F3983" t="s">
        <v>4542</v>
      </c>
      <c r="G3983" t="s">
        <v>432</v>
      </c>
    </row>
    <row r="3984" spans="1:7" x14ac:dyDescent="0.3">
      <c r="A3984">
        <v>3982</v>
      </c>
      <c r="B3984" t="s">
        <v>4582</v>
      </c>
      <c r="C3984" t="s">
        <v>4042</v>
      </c>
      <c r="D3984">
        <v>999</v>
      </c>
      <c r="E3984">
        <v>699</v>
      </c>
      <c r="F3984" t="s">
        <v>246</v>
      </c>
      <c r="G3984" t="s">
        <v>432</v>
      </c>
    </row>
    <row r="3985" spans="1:7" x14ac:dyDescent="0.3">
      <c r="A3985">
        <v>3983</v>
      </c>
      <c r="B3985" t="s">
        <v>4583</v>
      </c>
      <c r="C3985" t="s">
        <v>4584</v>
      </c>
      <c r="D3985">
        <v>1035</v>
      </c>
      <c r="E3985">
        <v>584</v>
      </c>
      <c r="F3985" t="s">
        <v>246</v>
      </c>
      <c r="G3985" t="s">
        <v>432</v>
      </c>
    </row>
    <row r="3986" spans="1:7" x14ac:dyDescent="0.3">
      <c r="A3986">
        <v>3984</v>
      </c>
      <c r="B3986" t="s">
        <v>4583</v>
      </c>
      <c r="C3986" t="s">
        <v>4584</v>
      </c>
      <c r="D3986">
        <v>190</v>
      </c>
      <c r="E3986">
        <v>175</v>
      </c>
      <c r="F3986" t="s">
        <v>959</v>
      </c>
      <c r="G3986" t="s">
        <v>432</v>
      </c>
    </row>
    <row r="3987" spans="1:7" x14ac:dyDescent="0.3">
      <c r="A3987">
        <v>3985</v>
      </c>
      <c r="B3987" t="s">
        <v>4583</v>
      </c>
      <c r="C3987" t="s">
        <v>4584</v>
      </c>
      <c r="D3987">
        <v>670</v>
      </c>
      <c r="E3987">
        <v>499</v>
      </c>
      <c r="F3987" t="s">
        <v>4585</v>
      </c>
      <c r="G3987" t="s">
        <v>432</v>
      </c>
    </row>
    <row r="3988" spans="1:7" x14ac:dyDescent="0.3">
      <c r="A3988">
        <v>3986</v>
      </c>
      <c r="B3988" t="s">
        <v>4586</v>
      </c>
      <c r="C3988" t="s">
        <v>4042</v>
      </c>
      <c r="D3988">
        <v>345</v>
      </c>
      <c r="E3988">
        <v>299</v>
      </c>
      <c r="F3988" t="s">
        <v>4572</v>
      </c>
      <c r="G3988" t="s">
        <v>432</v>
      </c>
    </row>
    <row r="3989" spans="1:7" x14ac:dyDescent="0.3">
      <c r="A3989">
        <v>3987</v>
      </c>
      <c r="B3989" t="s">
        <v>4586</v>
      </c>
      <c r="C3989" t="s">
        <v>4042</v>
      </c>
      <c r="D3989">
        <v>740</v>
      </c>
      <c r="E3989">
        <v>418</v>
      </c>
      <c r="F3989" t="s">
        <v>4542</v>
      </c>
      <c r="G3989" t="s">
        <v>432</v>
      </c>
    </row>
    <row r="3990" spans="1:7" x14ac:dyDescent="0.3">
      <c r="A3990">
        <v>3988</v>
      </c>
      <c r="B3990" t="s">
        <v>4586</v>
      </c>
      <c r="C3990" t="s">
        <v>4042</v>
      </c>
      <c r="D3990">
        <v>999</v>
      </c>
      <c r="E3990">
        <v>599</v>
      </c>
      <c r="F3990" t="s">
        <v>246</v>
      </c>
      <c r="G3990" t="s">
        <v>432</v>
      </c>
    </row>
    <row r="3991" spans="1:7" x14ac:dyDescent="0.3">
      <c r="A3991">
        <v>3989</v>
      </c>
      <c r="B3991" t="s">
        <v>4587</v>
      </c>
      <c r="C3991" t="s">
        <v>4189</v>
      </c>
      <c r="D3991">
        <v>349</v>
      </c>
      <c r="E3991">
        <v>299</v>
      </c>
      <c r="F3991" t="s">
        <v>401</v>
      </c>
      <c r="G3991" t="s">
        <v>432</v>
      </c>
    </row>
    <row r="3992" spans="1:7" x14ac:dyDescent="0.3">
      <c r="A3992">
        <v>3990</v>
      </c>
      <c r="B3992" t="s">
        <v>4588</v>
      </c>
      <c r="C3992" t="s">
        <v>2237</v>
      </c>
      <c r="D3992">
        <v>525</v>
      </c>
      <c r="E3992">
        <v>262</v>
      </c>
      <c r="F3992" t="s">
        <v>4575</v>
      </c>
      <c r="G3992" t="s">
        <v>432</v>
      </c>
    </row>
    <row r="3993" spans="1:7" x14ac:dyDescent="0.3">
      <c r="A3993">
        <v>3991</v>
      </c>
      <c r="B3993" t="s">
        <v>4589</v>
      </c>
      <c r="C3993" t="s">
        <v>4581</v>
      </c>
      <c r="D3993">
        <v>345</v>
      </c>
      <c r="E3993">
        <v>318</v>
      </c>
      <c r="F3993" t="s">
        <v>4572</v>
      </c>
      <c r="G3993" t="s">
        <v>432</v>
      </c>
    </row>
    <row r="3994" spans="1:7" x14ac:dyDescent="0.3">
      <c r="A3994">
        <v>3992</v>
      </c>
      <c r="B3994" t="s">
        <v>4589</v>
      </c>
      <c r="C3994" t="s">
        <v>4581</v>
      </c>
      <c r="D3994">
        <v>740</v>
      </c>
      <c r="E3994">
        <v>370</v>
      </c>
      <c r="F3994" t="s">
        <v>4542</v>
      </c>
      <c r="G3994" t="s">
        <v>432</v>
      </c>
    </row>
    <row r="3995" spans="1:7" x14ac:dyDescent="0.3">
      <c r="A3995">
        <v>3993</v>
      </c>
      <c r="B3995" t="s">
        <v>4590</v>
      </c>
      <c r="C3995" t="s">
        <v>4584</v>
      </c>
      <c r="D3995">
        <v>670</v>
      </c>
      <c r="E3995">
        <v>509</v>
      </c>
      <c r="F3995" t="s">
        <v>4585</v>
      </c>
      <c r="G3995" t="s">
        <v>432</v>
      </c>
    </row>
    <row r="3996" spans="1:7" x14ac:dyDescent="0.3">
      <c r="A3996">
        <v>3994</v>
      </c>
      <c r="B3996" t="s">
        <v>4591</v>
      </c>
      <c r="C3996" t="s">
        <v>4578</v>
      </c>
      <c r="D3996">
        <v>615</v>
      </c>
      <c r="E3996">
        <v>429</v>
      </c>
      <c r="F3996" t="s">
        <v>4542</v>
      </c>
      <c r="G3996" t="s">
        <v>432</v>
      </c>
    </row>
    <row r="3997" spans="1:7" x14ac:dyDescent="0.3">
      <c r="A3997">
        <v>3995</v>
      </c>
      <c r="B3997" t="s">
        <v>4592</v>
      </c>
      <c r="C3997" t="s">
        <v>4248</v>
      </c>
      <c r="D3997">
        <v>549</v>
      </c>
      <c r="E3997">
        <v>274</v>
      </c>
      <c r="F3997" t="s">
        <v>1182</v>
      </c>
      <c r="G3997" t="s">
        <v>432</v>
      </c>
    </row>
    <row r="3998" spans="1:7" x14ac:dyDescent="0.3">
      <c r="A3998">
        <v>3996</v>
      </c>
      <c r="B3998" t="s">
        <v>4593</v>
      </c>
      <c r="C3998" t="s">
        <v>4397</v>
      </c>
      <c r="D3998">
        <v>899</v>
      </c>
      <c r="E3998">
        <v>820</v>
      </c>
      <c r="F3998" t="s">
        <v>246</v>
      </c>
      <c r="G3998" t="s">
        <v>432</v>
      </c>
    </row>
    <row r="3999" spans="1:7" x14ac:dyDescent="0.3">
      <c r="A3999">
        <v>3997</v>
      </c>
      <c r="B3999" t="s">
        <v>4594</v>
      </c>
      <c r="C3999" t="s">
        <v>4595</v>
      </c>
      <c r="D3999">
        <v>185</v>
      </c>
      <c r="E3999">
        <v>165</v>
      </c>
      <c r="F3999" t="s">
        <v>399</v>
      </c>
      <c r="G3999" t="s">
        <v>432</v>
      </c>
    </row>
    <row r="4000" spans="1:7" x14ac:dyDescent="0.3">
      <c r="A4000">
        <v>3998</v>
      </c>
      <c r="B4000" t="s">
        <v>4594</v>
      </c>
      <c r="C4000" t="s">
        <v>4595</v>
      </c>
      <c r="D4000">
        <v>400</v>
      </c>
      <c r="E4000">
        <v>349</v>
      </c>
      <c r="F4000" t="s">
        <v>391</v>
      </c>
      <c r="G4000" t="s">
        <v>432</v>
      </c>
    </row>
    <row r="4001" spans="1:7" x14ac:dyDescent="0.3">
      <c r="A4001">
        <v>3999</v>
      </c>
      <c r="B4001" t="s">
        <v>4596</v>
      </c>
      <c r="C4001" t="s">
        <v>4537</v>
      </c>
      <c r="D4001">
        <v>243</v>
      </c>
      <c r="E4001">
        <v>217</v>
      </c>
      <c r="F4001" t="s">
        <v>399</v>
      </c>
      <c r="G4001" t="s">
        <v>432</v>
      </c>
    </row>
    <row r="4002" spans="1:7" x14ac:dyDescent="0.3">
      <c r="A4002">
        <v>4000</v>
      </c>
      <c r="B4002" t="s">
        <v>4596</v>
      </c>
      <c r="C4002" t="s">
        <v>4537</v>
      </c>
      <c r="D4002">
        <v>432</v>
      </c>
      <c r="E4002">
        <v>352</v>
      </c>
      <c r="F4002" t="s">
        <v>4572</v>
      </c>
      <c r="G4002" t="s">
        <v>432</v>
      </c>
    </row>
    <row r="4003" spans="1:7" x14ac:dyDescent="0.3">
      <c r="A4003">
        <v>4001</v>
      </c>
      <c r="B4003" t="s">
        <v>4597</v>
      </c>
      <c r="C4003" t="s">
        <v>4598</v>
      </c>
      <c r="D4003">
        <v>450</v>
      </c>
      <c r="E4003">
        <v>225</v>
      </c>
      <c r="F4003" t="s">
        <v>4542</v>
      </c>
      <c r="G4003" t="s">
        <v>432</v>
      </c>
    </row>
    <row r="4004" spans="1:7" x14ac:dyDescent="0.3">
      <c r="A4004">
        <v>4002</v>
      </c>
      <c r="B4004" t="s">
        <v>4599</v>
      </c>
      <c r="C4004" t="s">
        <v>4600</v>
      </c>
      <c r="D4004">
        <v>145</v>
      </c>
      <c r="E4004">
        <v>132</v>
      </c>
      <c r="F4004" t="s">
        <v>959</v>
      </c>
      <c r="G4004" t="s">
        <v>432</v>
      </c>
    </row>
    <row r="4005" spans="1:7" x14ac:dyDescent="0.3">
      <c r="A4005">
        <v>4003</v>
      </c>
      <c r="B4005" t="s">
        <v>4599</v>
      </c>
      <c r="C4005" t="s">
        <v>4600</v>
      </c>
      <c r="D4005">
        <v>645</v>
      </c>
      <c r="E4005">
        <v>322</v>
      </c>
      <c r="F4005" t="s">
        <v>4542</v>
      </c>
      <c r="G4005" t="s">
        <v>432</v>
      </c>
    </row>
    <row r="4006" spans="1:7" x14ac:dyDescent="0.3">
      <c r="A4006">
        <v>4004</v>
      </c>
      <c r="B4006" t="s">
        <v>4601</v>
      </c>
      <c r="C4006" t="s">
        <v>4225</v>
      </c>
      <c r="D4006">
        <v>180</v>
      </c>
      <c r="E4006">
        <v>140</v>
      </c>
      <c r="F4006" t="s">
        <v>399</v>
      </c>
      <c r="G4006" t="s">
        <v>432</v>
      </c>
    </row>
    <row r="4007" spans="1:7" x14ac:dyDescent="0.3">
      <c r="A4007">
        <v>4005</v>
      </c>
      <c r="B4007" t="s">
        <v>4602</v>
      </c>
      <c r="C4007" t="s">
        <v>4584</v>
      </c>
      <c r="D4007">
        <v>670</v>
      </c>
      <c r="E4007">
        <v>509</v>
      </c>
      <c r="F4007" t="s">
        <v>4585</v>
      </c>
      <c r="G4007" t="s">
        <v>432</v>
      </c>
    </row>
    <row r="4008" spans="1:7" x14ac:dyDescent="0.3">
      <c r="A4008">
        <v>4006</v>
      </c>
      <c r="B4008" t="s">
        <v>4603</v>
      </c>
      <c r="C4008" t="s">
        <v>4581</v>
      </c>
      <c r="D4008">
        <v>315</v>
      </c>
      <c r="E4008">
        <v>309</v>
      </c>
      <c r="F4008" t="s">
        <v>4572</v>
      </c>
      <c r="G4008" t="s">
        <v>432</v>
      </c>
    </row>
    <row r="4009" spans="1:7" x14ac:dyDescent="0.3">
      <c r="A4009">
        <v>4007</v>
      </c>
      <c r="B4009" t="s">
        <v>4603</v>
      </c>
      <c r="C4009" t="s">
        <v>4581</v>
      </c>
      <c r="D4009">
        <v>740</v>
      </c>
      <c r="E4009">
        <v>440</v>
      </c>
      <c r="F4009" t="s">
        <v>4542</v>
      </c>
      <c r="G4009" t="s">
        <v>432</v>
      </c>
    </row>
    <row r="4010" spans="1:7" x14ac:dyDescent="0.3">
      <c r="A4010">
        <v>4008</v>
      </c>
      <c r="B4010" t="s">
        <v>4604</v>
      </c>
      <c r="C4010" t="s">
        <v>4397</v>
      </c>
      <c r="D4010">
        <v>779</v>
      </c>
      <c r="E4010">
        <v>389</v>
      </c>
      <c r="F4010" t="s">
        <v>4575</v>
      </c>
      <c r="G4010" t="s">
        <v>432</v>
      </c>
    </row>
    <row r="4011" spans="1:7" x14ac:dyDescent="0.3">
      <c r="A4011">
        <v>4009</v>
      </c>
      <c r="B4011" t="s">
        <v>4604</v>
      </c>
      <c r="C4011" t="s">
        <v>4397</v>
      </c>
      <c r="D4011">
        <v>369</v>
      </c>
      <c r="E4011">
        <v>299</v>
      </c>
      <c r="F4011" t="s">
        <v>4576</v>
      </c>
      <c r="G4011" t="s">
        <v>432</v>
      </c>
    </row>
    <row r="4012" spans="1:7" x14ac:dyDescent="0.3">
      <c r="A4012">
        <v>4010</v>
      </c>
      <c r="B4012" t="s">
        <v>4605</v>
      </c>
      <c r="C4012" t="s">
        <v>4098</v>
      </c>
      <c r="D4012">
        <v>650</v>
      </c>
      <c r="E4012">
        <v>325</v>
      </c>
      <c r="F4012" t="s">
        <v>4542</v>
      </c>
      <c r="G4012" t="s">
        <v>432</v>
      </c>
    </row>
    <row r="4013" spans="1:7" x14ac:dyDescent="0.3">
      <c r="A4013">
        <v>4011</v>
      </c>
      <c r="B4013" t="s">
        <v>4606</v>
      </c>
      <c r="C4013" t="s">
        <v>4571</v>
      </c>
      <c r="D4013">
        <v>230</v>
      </c>
      <c r="E4013">
        <v>199</v>
      </c>
      <c r="F4013" t="s">
        <v>4572</v>
      </c>
      <c r="G4013" t="s">
        <v>432</v>
      </c>
    </row>
    <row r="4014" spans="1:7" x14ac:dyDescent="0.3">
      <c r="A4014">
        <v>4012</v>
      </c>
      <c r="B4014" t="s">
        <v>4607</v>
      </c>
      <c r="C4014" t="s">
        <v>4225</v>
      </c>
      <c r="D4014">
        <v>255</v>
      </c>
      <c r="E4014">
        <v>199</v>
      </c>
      <c r="F4014" t="s">
        <v>2981</v>
      </c>
      <c r="G4014" t="s">
        <v>432</v>
      </c>
    </row>
    <row r="4015" spans="1:7" x14ac:dyDescent="0.3">
      <c r="A4015">
        <v>4013</v>
      </c>
      <c r="B4015" t="s">
        <v>4608</v>
      </c>
      <c r="C4015" t="s">
        <v>4571</v>
      </c>
      <c r="D4015">
        <v>115</v>
      </c>
      <c r="E4015">
        <v>102</v>
      </c>
      <c r="F4015" t="s">
        <v>4379</v>
      </c>
      <c r="G4015" t="s">
        <v>432</v>
      </c>
    </row>
    <row r="4016" spans="1:7" x14ac:dyDescent="0.3">
      <c r="A4016">
        <v>4014</v>
      </c>
      <c r="B4016" t="s">
        <v>4609</v>
      </c>
      <c r="C4016" t="s">
        <v>4042</v>
      </c>
      <c r="D4016">
        <v>725</v>
      </c>
      <c r="E4016">
        <v>459</v>
      </c>
      <c r="F4016" t="s">
        <v>4542</v>
      </c>
      <c r="G4016" t="s">
        <v>432</v>
      </c>
    </row>
    <row r="4017" spans="1:7" x14ac:dyDescent="0.3">
      <c r="A4017">
        <v>4015</v>
      </c>
      <c r="B4017" t="s">
        <v>4610</v>
      </c>
      <c r="C4017" t="s">
        <v>4225</v>
      </c>
      <c r="D4017">
        <v>150</v>
      </c>
      <c r="E4017">
        <v>135</v>
      </c>
      <c r="F4017" t="s">
        <v>399</v>
      </c>
      <c r="G4017" t="s">
        <v>432</v>
      </c>
    </row>
    <row r="4018" spans="1:7" x14ac:dyDescent="0.3">
      <c r="A4018">
        <v>4016</v>
      </c>
      <c r="B4018" t="s">
        <v>4610</v>
      </c>
      <c r="C4018" t="s">
        <v>4225</v>
      </c>
      <c r="D4018">
        <v>285</v>
      </c>
      <c r="E4018">
        <v>235</v>
      </c>
      <c r="F4018" t="s">
        <v>2981</v>
      </c>
      <c r="G4018" t="s">
        <v>432</v>
      </c>
    </row>
    <row r="4019" spans="1:7" x14ac:dyDescent="0.3">
      <c r="A4019">
        <v>4017</v>
      </c>
      <c r="B4019" t="s">
        <v>4611</v>
      </c>
      <c r="C4019" t="s">
        <v>4612</v>
      </c>
      <c r="D4019">
        <v>445</v>
      </c>
      <c r="E4019">
        <v>222</v>
      </c>
      <c r="F4019" t="s">
        <v>2837</v>
      </c>
      <c r="G4019" t="s">
        <v>432</v>
      </c>
    </row>
    <row r="4020" spans="1:7" x14ac:dyDescent="0.3">
      <c r="A4020">
        <v>4018</v>
      </c>
      <c r="B4020" t="s">
        <v>4613</v>
      </c>
      <c r="C4020" t="s">
        <v>4614</v>
      </c>
      <c r="D4020">
        <v>729</v>
      </c>
      <c r="E4020">
        <v>579</v>
      </c>
      <c r="F4020" t="s">
        <v>4615</v>
      </c>
      <c r="G4020" t="s">
        <v>432</v>
      </c>
    </row>
    <row r="4021" spans="1:7" x14ac:dyDescent="0.3">
      <c r="A4021">
        <v>4019</v>
      </c>
      <c r="B4021" t="s">
        <v>4616</v>
      </c>
      <c r="C4021" t="s">
        <v>4581</v>
      </c>
      <c r="D4021">
        <v>875</v>
      </c>
      <c r="E4021">
        <v>655</v>
      </c>
      <c r="F4021" t="s">
        <v>4542</v>
      </c>
      <c r="G4021" t="s">
        <v>432</v>
      </c>
    </row>
    <row r="4022" spans="1:7" x14ac:dyDescent="0.3">
      <c r="A4022">
        <v>4020</v>
      </c>
      <c r="B4022" t="s">
        <v>4617</v>
      </c>
      <c r="C4022" t="s">
        <v>4600</v>
      </c>
      <c r="D4022">
        <v>805</v>
      </c>
      <c r="E4022">
        <v>585</v>
      </c>
      <c r="F4022" t="s">
        <v>4542</v>
      </c>
      <c r="G4022" t="s">
        <v>432</v>
      </c>
    </row>
    <row r="4023" spans="1:7" x14ac:dyDescent="0.3">
      <c r="A4023">
        <v>4021</v>
      </c>
      <c r="B4023" t="s">
        <v>4618</v>
      </c>
      <c r="C4023" t="s">
        <v>4612</v>
      </c>
      <c r="D4023">
        <v>445</v>
      </c>
      <c r="E4023">
        <v>255</v>
      </c>
      <c r="F4023" t="s">
        <v>2837</v>
      </c>
      <c r="G4023" t="s">
        <v>432</v>
      </c>
    </row>
    <row r="4024" spans="1:7" x14ac:dyDescent="0.3">
      <c r="A4024">
        <v>4022</v>
      </c>
      <c r="B4024" t="s">
        <v>4619</v>
      </c>
      <c r="C4024" t="s">
        <v>4225</v>
      </c>
      <c r="D4024">
        <v>145</v>
      </c>
      <c r="E4024">
        <v>130</v>
      </c>
      <c r="F4024" t="s">
        <v>399</v>
      </c>
      <c r="G4024" t="s">
        <v>432</v>
      </c>
    </row>
    <row r="4025" spans="1:7" x14ac:dyDescent="0.3">
      <c r="A4025">
        <v>4023</v>
      </c>
      <c r="B4025" t="s">
        <v>4620</v>
      </c>
      <c r="C4025" t="s">
        <v>4581</v>
      </c>
      <c r="D4025">
        <v>180</v>
      </c>
      <c r="E4025">
        <v>167</v>
      </c>
      <c r="F4025" t="s">
        <v>2193</v>
      </c>
      <c r="G4025" t="s">
        <v>432</v>
      </c>
    </row>
    <row r="4026" spans="1:7" x14ac:dyDescent="0.3">
      <c r="A4026">
        <v>4024</v>
      </c>
      <c r="B4026" t="s">
        <v>4621</v>
      </c>
      <c r="C4026" t="s">
        <v>4571</v>
      </c>
      <c r="D4026">
        <v>230</v>
      </c>
      <c r="E4026">
        <v>190</v>
      </c>
      <c r="F4026" t="s">
        <v>4572</v>
      </c>
      <c r="G4026" t="s">
        <v>432</v>
      </c>
    </row>
    <row r="4027" spans="1:7" x14ac:dyDescent="0.3">
      <c r="A4027">
        <v>4025</v>
      </c>
      <c r="B4027" t="s">
        <v>4621</v>
      </c>
      <c r="C4027" t="s">
        <v>4571</v>
      </c>
      <c r="D4027">
        <v>525</v>
      </c>
      <c r="E4027">
        <v>475</v>
      </c>
      <c r="F4027" t="s">
        <v>4542</v>
      </c>
      <c r="G4027" t="s">
        <v>432</v>
      </c>
    </row>
    <row r="4028" spans="1:7" x14ac:dyDescent="0.3">
      <c r="A4028">
        <v>4026</v>
      </c>
      <c r="B4028" t="s">
        <v>4622</v>
      </c>
      <c r="C4028" t="s">
        <v>4581</v>
      </c>
      <c r="D4028">
        <v>875</v>
      </c>
      <c r="E4028">
        <v>575</v>
      </c>
      <c r="F4028" t="s">
        <v>4542</v>
      </c>
      <c r="G4028" t="s">
        <v>432</v>
      </c>
    </row>
    <row r="4029" spans="1:7" x14ac:dyDescent="0.3">
      <c r="A4029">
        <v>4027</v>
      </c>
      <c r="B4029" t="s">
        <v>4623</v>
      </c>
      <c r="C4029" t="s">
        <v>4624</v>
      </c>
      <c r="D4029">
        <v>860</v>
      </c>
      <c r="E4029">
        <v>699</v>
      </c>
      <c r="F4029" t="s">
        <v>4585</v>
      </c>
      <c r="G4029" t="s">
        <v>432</v>
      </c>
    </row>
    <row r="4030" spans="1:7" x14ac:dyDescent="0.3">
      <c r="A4030">
        <v>4028</v>
      </c>
      <c r="B4030" t="s">
        <v>4625</v>
      </c>
      <c r="C4030" t="s">
        <v>4090</v>
      </c>
      <c r="D4030">
        <v>210</v>
      </c>
      <c r="E4030">
        <v>105</v>
      </c>
      <c r="F4030" t="s">
        <v>4221</v>
      </c>
      <c r="G4030" t="s">
        <v>432</v>
      </c>
    </row>
    <row r="4031" spans="1:7" x14ac:dyDescent="0.3">
      <c r="A4031">
        <v>4029</v>
      </c>
      <c r="B4031" t="s">
        <v>4626</v>
      </c>
      <c r="C4031" t="s">
        <v>4189</v>
      </c>
      <c r="D4031">
        <v>399</v>
      </c>
      <c r="E4031">
        <v>319</v>
      </c>
      <c r="F4031" t="s">
        <v>2981</v>
      </c>
      <c r="G4031" t="s">
        <v>432</v>
      </c>
    </row>
    <row r="4032" spans="1:7" x14ac:dyDescent="0.3">
      <c r="A4032">
        <v>4030</v>
      </c>
      <c r="B4032" t="s">
        <v>4627</v>
      </c>
      <c r="C4032" t="s">
        <v>4352</v>
      </c>
      <c r="D4032">
        <v>575</v>
      </c>
      <c r="E4032">
        <v>402</v>
      </c>
      <c r="F4032" t="s">
        <v>391</v>
      </c>
      <c r="G4032" t="s">
        <v>432</v>
      </c>
    </row>
    <row r="4033" spans="1:7" x14ac:dyDescent="0.3">
      <c r="A4033">
        <v>4031</v>
      </c>
      <c r="B4033" t="s">
        <v>4628</v>
      </c>
      <c r="C4033" t="s">
        <v>4352</v>
      </c>
      <c r="D4033">
        <v>575</v>
      </c>
      <c r="E4033">
        <v>402</v>
      </c>
      <c r="F4033" t="s">
        <v>391</v>
      </c>
      <c r="G4033" t="s">
        <v>432</v>
      </c>
    </row>
    <row r="4034" spans="1:7" x14ac:dyDescent="0.3">
      <c r="A4034">
        <v>4032</v>
      </c>
      <c r="B4034" t="s">
        <v>4629</v>
      </c>
      <c r="C4034" t="s">
        <v>4090</v>
      </c>
      <c r="D4034">
        <v>210</v>
      </c>
      <c r="E4034">
        <v>105</v>
      </c>
      <c r="F4034" t="s">
        <v>4221</v>
      </c>
      <c r="G4034" t="s">
        <v>432</v>
      </c>
    </row>
    <row r="4035" spans="1:7" x14ac:dyDescent="0.3">
      <c r="A4035">
        <v>4033</v>
      </c>
      <c r="B4035" t="s">
        <v>4630</v>
      </c>
      <c r="C4035" t="s">
        <v>4090</v>
      </c>
      <c r="D4035">
        <v>299</v>
      </c>
      <c r="E4035">
        <v>199</v>
      </c>
      <c r="F4035" t="s">
        <v>4221</v>
      </c>
      <c r="G4035" t="s">
        <v>432</v>
      </c>
    </row>
    <row r="4036" spans="1:7" x14ac:dyDescent="0.3">
      <c r="A4036">
        <v>4034</v>
      </c>
      <c r="B4036" t="s">
        <v>4631</v>
      </c>
      <c r="C4036" t="s">
        <v>4303</v>
      </c>
      <c r="D4036">
        <v>550</v>
      </c>
      <c r="E4036">
        <v>385</v>
      </c>
      <c r="F4036" t="s">
        <v>1200</v>
      </c>
      <c r="G4036" t="s">
        <v>432</v>
      </c>
    </row>
    <row r="4037" spans="1:7" x14ac:dyDescent="0.3">
      <c r="A4037">
        <v>4035</v>
      </c>
      <c r="B4037" t="s">
        <v>4632</v>
      </c>
      <c r="C4037" t="s">
        <v>4143</v>
      </c>
      <c r="D4037">
        <v>550</v>
      </c>
      <c r="E4037">
        <v>275</v>
      </c>
      <c r="F4037" t="s">
        <v>1200</v>
      </c>
      <c r="G4037" t="s">
        <v>432</v>
      </c>
    </row>
    <row r="4038" spans="1:7" x14ac:dyDescent="0.3">
      <c r="A4038">
        <v>4036</v>
      </c>
      <c r="B4038" t="s">
        <v>4633</v>
      </c>
      <c r="C4038" t="s">
        <v>4042</v>
      </c>
      <c r="D4038">
        <v>210</v>
      </c>
      <c r="E4038">
        <v>190</v>
      </c>
      <c r="F4038" t="s">
        <v>4379</v>
      </c>
      <c r="G4038" t="s">
        <v>432</v>
      </c>
    </row>
    <row r="4039" spans="1:7" x14ac:dyDescent="0.3">
      <c r="A4039">
        <v>4037</v>
      </c>
      <c r="B4039" t="s">
        <v>4634</v>
      </c>
      <c r="C4039" t="s">
        <v>4042</v>
      </c>
      <c r="D4039">
        <v>210</v>
      </c>
      <c r="E4039">
        <v>186</v>
      </c>
      <c r="F4039" t="s">
        <v>4379</v>
      </c>
      <c r="G4039" t="s">
        <v>432</v>
      </c>
    </row>
    <row r="4040" spans="1:7" x14ac:dyDescent="0.3">
      <c r="A4040">
        <v>4038</v>
      </c>
      <c r="B4040" t="s">
        <v>4635</v>
      </c>
      <c r="C4040" t="s">
        <v>4584</v>
      </c>
      <c r="D4040">
        <v>229</v>
      </c>
      <c r="E4040">
        <v>204</v>
      </c>
      <c r="F4040" t="s">
        <v>4636</v>
      </c>
      <c r="G4040" t="s">
        <v>432</v>
      </c>
    </row>
    <row r="4041" spans="1:7" x14ac:dyDescent="0.3">
      <c r="A4041">
        <v>4039</v>
      </c>
      <c r="B4041" t="s">
        <v>4637</v>
      </c>
      <c r="C4041" t="s">
        <v>4042</v>
      </c>
      <c r="D4041">
        <v>210</v>
      </c>
      <c r="E4041">
        <v>190</v>
      </c>
      <c r="F4041" t="s">
        <v>2193</v>
      </c>
      <c r="G4041" t="s">
        <v>432</v>
      </c>
    </row>
    <row r="4042" spans="1:7" x14ac:dyDescent="0.3">
      <c r="A4042">
        <v>4040</v>
      </c>
      <c r="B4042" t="s">
        <v>4638</v>
      </c>
      <c r="C4042" t="s">
        <v>4397</v>
      </c>
      <c r="D4042">
        <v>219</v>
      </c>
      <c r="E4042">
        <v>199</v>
      </c>
      <c r="F4042" t="s">
        <v>4379</v>
      </c>
      <c r="G4042" t="s">
        <v>432</v>
      </c>
    </row>
    <row r="4043" spans="1:7" x14ac:dyDescent="0.3">
      <c r="A4043">
        <v>4041</v>
      </c>
      <c r="B4043" t="s">
        <v>4639</v>
      </c>
      <c r="C4043" t="s">
        <v>4578</v>
      </c>
      <c r="D4043">
        <v>154</v>
      </c>
      <c r="E4043">
        <v>134</v>
      </c>
      <c r="F4043" t="s">
        <v>959</v>
      </c>
      <c r="G4043" t="s">
        <v>432</v>
      </c>
    </row>
    <row r="4044" spans="1:7" x14ac:dyDescent="0.3">
      <c r="A4044">
        <v>4042</v>
      </c>
      <c r="B4044" t="s">
        <v>4640</v>
      </c>
      <c r="C4044" t="s">
        <v>4189</v>
      </c>
      <c r="D4044">
        <v>349</v>
      </c>
      <c r="E4044">
        <v>279</v>
      </c>
      <c r="F4044" t="s">
        <v>401</v>
      </c>
      <c r="G4044" t="s">
        <v>432</v>
      </c>
    </row>
    <row r="4045" spans="1:7" x14ac:dyDescent="0.3">
      <c r="A4045">
        <v>4043</v>
      </c>
      <c r="B4045" t="s">
        <v>4641</v>
      </c>
      <c r="C4045" t="s">
        <v>4397</v>
      </c>
      <c r="D4045">
        <v>229</v>
      </c>
      <c r="E4045">
        <v>209</v>
      </c>
      <c r="F4045" t="s">
        <v>4379</v>
      </c>
      <c r="G4045" t="s">
        <v>432</v>
      </c>
    </row>
    <row r="4046" spans="1:7" x14ac:dyDescent="0.3">
      <c r="A4046">
        <v>4044</v>
      </c>
      <c r="B4046" t="s">
        <v>4642</v>
      </c>
      <c r="C4046" t="s">
        <v>4643</v>
      </c>
      <c r="D4046">
        <v>315</v>
      </c>
      <c r="E4046">
        <v>250</v>
      </c>
      <c r="F4046" t="s">
        <v>4163</v>
      </c>
      <c r="G4046" t="s">
        <v>432</v>
      </c>
    </row>
    <row r="4047" spans="1:7" x14ac:dyDescent="0.3">
      <c r="A4047">
        <v>4045</v>
      </c>
      <c r="B4047" t="s">
        <v>4644</v>
      </c>
      <c r="C4047" t="s">
        <v>4397</v>
      </c>
      <c r="D4047">
        <v>229</v>
      </c>
      <c r="E4047">
        <v>195</v>
      </c>
      <c r="F4047" t="s">
        <v>4379</v>
      </c>
      <c r="G4047" t="s">
        <v>432</v>
      </c>
    </row>
    <row r="4048" spans="1:7" x14ac:dyDescent="0.3">
      <c r="A4048">
        <v>4046</v>
      </c>
      <c r="B4048" t="s">
        <v>4645</v>
      </c>
      <c r="C4048" t="s">
        <v>4600</v>
      </c>
      <c r="D4048">
        <v>190</v>
      </c>
      <c r="E4048">
        <v>175</v>
      </c>
      <c r="F4048" t="s">
        <v>4379</v>
      </c>
      <c r="G4048" t="s">
        <v>432</v>
      </c>
    </row>
    <row r="4049" spans="1:7" x14ac:dyDescent="0.3">
      <c r="A4049">
        <v>4047</v>
      </c>
      <c r="B4049" t="s">
        <v>4646</v>
      </c>
      <c r="C4049" t="s">
        <v>4397</v>
      </c>
      <c r="D4049">
        <v>219</v>
      </c>
      <c r="E4049">
        <v>199</v>
      </c>
      <c r="F4049" t="s">
        <v>4379</v>
      </c>
      <c r="G4049" t="s">
        <v>432</v>
      </c>
    </row>
    <row r="4050" spans="1:7" x14ac:dyDescent="0.3">
      <c r="A4050">
        <v>4048</v>
      </c>
      <c r="B4050" t="s">
        <v>4647</v>
      </c>
      <c r="C4050" t="s">
        <v>4600</v>
      </c>
      <c r="D4050">
        <v>190</v>
      </c>
      <c r="E4050">
        <v>176</v>
      </c>
      <c r="F4050" t="s">
        <v>4379</v>
      </c>
      <c r="G4050" t="s">
        <v>432</v>
      </c>
    </row>
    <row r="4051" spans="1:7" x14ac:dyDescent="0.3">
      <c r="A4051">
        <v>4049</v>
      </c>
      <c r="B4051" t="s">
        <v>4634</v>
      </c>
      <c r="C4051" t="s">
        <v>4042</v>
      </c>
      <c r="D4051">
        <v>355</v>
      </c>
      <c r="E4051">
        <v>315</v>
      </c>
      <c r="F4051" t="s">
        <v>4648</v>
      </c>
      <c r="G4051" t="s">
        <v>432</v>
      </c>
    </row>
    <row r="4052" spans="1:7" x14ac:dyDescent="0.3">
      <c r="A4052">
        <v>4050</v>
      </c>
      <c r="B4052" t="s">
        <v>4649</v>
      </c>
      <c r="C4052" t="s">
        <v>4090</v>
      </c>
      <c r="D4052">
        <v>299</v>
      </c>
      <c r="E4052">
        <v>199</v>
      </c>
      <c r="F4052" t="s">
        <v>4221</v>
      </c>
      <c r="G4052" t="s">
        <v>432</v>
      </c>
    </row>
    <row r="4053" spans="1:7" x14ac:dyDescent="0.3">
      <c r="A4053">
        <v>4051</v>
      </c>
      <c r="B4053" t="s">
        <v>4650</v>
      </c>
      <c r="C4053" t="s">
        <v>4303</v>
      </c>
      <c r="D4053">
        <v>675</v>
      </c>
      <c r="E4053">
        <v>472</v>
      </c>
      <c r="F4053" t="s">
        <v>107</v>
      </c>
      <c r="G4053" t="s">
        <v>432</v>
      </c>
    </row>
    <row r="4054" spans="1:7" x14ac:dyDescent="0.3">
      <c r="A4054">
        <v>4052</v>
      </c>
      <c r="B4054" t="s">
        <v>4651</v>
      </c>
      <c r="C4054" t="s">
        <v>4397</v>
      </c>
      <c r="D4054">
        <v>630</v>
      </c>
      <c r="E4054">
        <v>550</v>
      </c>
      <c r="F4054" t="s">
        <v>4652</v>
      </c>
      <c r="G4054" t="s">
        <v>432</v>
      </c>
    </row>
    <row r="4055" spans="1:7" x14ac:dyDescent="0.3">
      <c r="A4055">
        <v>4053</v>
      </c>
      <c r="B4055" t="s">
        <v>4653</v>
      </c>
      <c r="C4055" t="s">
        <v>4185</v>
      </c>
      <c r="D4055">
        <v>200</v>
      </c>
      <c r="E4055">
        <v>170</v>
      </c>
      <c r="F4055" t="s">
        <v>2151</v>
      </c>
      <c r="G4055" t="s">
        <v>432</v>
      </c>
    </row>
    <row r="4056" spans="1:7" x14ac:dyDescent="0.3">
      <c r="A4056">
        <v>4054</v>
      </c>
      <c r="B4056" t="s">
        <v>4654</v>
      </c>
      <c r="C4056" t="s">
        <v>4397</v>
      </c>
      <c r="D4056">
        <v>630</v>
      </c>
      <c r="E4056">
        <v>584</v>
      </c>
      <c r="F4056" t="s">
        <v>4652</v>
      </c>
      <c r="G4056" t="s">
        <v>432</v>
      </c>
    </row>
    <row r="4057" spans="1:7" x14ac:dyDescent="0.3">
      <c r="A4057">
        <v>4055</v>
      </c>
      <c r="B4057" t="s">
        <v>4655</v>
      </c>
      <c r="C4057" t="s">
        <v>4185</v>
      </c>
      <c r="D4057">
        <v>185</v>
      </c>
      <c r="E4057">
        <v>160</v>
      </c>
      <c r="F4057" t="s">
        <v>2151</v>
      </c>
      <c r="G4057" t="s">
        <v>432</v>
      </c>
    </row>
    <row r="4058" spans="1:7" x14ac:dyDescent="0.3">
      <c r="A4058">
        <v>4056</v>
      </c>
      <c r="B4058" t="s">
        <v>4656</v>
      </c>
      <c r="C4058" t="s">
        <v>4397</v>
      </c>
      <c r="D4058">
        <v>650</v>
      </c>
      <c r="E4058">
        <v>558</v>
      </c>
      <c r="F4058" t="s">
        <v>4657</v>
      </c>
      <c r="G4058" t="s">
        <v>432</v>
      </c>
    </row>
    <row r="4059" spans="1:7" x14ac:dyDescent="0.3">
      <c r="A4059">
        <v>4057</v>
      </c>
      <c r="B4059" t="s">
        <v>4658</v>
      </c>
      <c r="C4059" t="s">
        <v>4397</v>
      </c>
      <c r="D4059">
        <v>650</v>
      </c>
      <c r="E4059">
        <v>562</v>
      </c>
      <c r="F4059" t="s">
        <v>4657</v>
      </c>
      <c r="G4059" t="s">
        <v>432</v>
      </c>
    </row>
    <row r="4060" spans="1:7" x14ac:dyDescent="0.3">
      <c r="A4060">
        <v>4058</v>
      </c>
      <c r="B4060" t="s">
        <v>4659</v>
      </c>
      <c r="C4060" t="s">
        <v>4397</v>
      </c>
      <c r="D4060">
        <v>630</v>
      </c>
      <c r="E4060">
        <v>565</v>
      </c>
      <c r="F4060" t="s">
        <v>4652</v>
      </c>
      <c r="G4060" t="s">
        <v>432</v>
      </c>
    </row>
    <row r="4061" spans="1:7" x14ac:dyDescent="0.3">
      <c r="A4061">
        <v>4059</v>
      </c>
      <c r="B4061" t="s">
        <v>4660</v>
      </c>
      <c r="C4061" t="s">
        <v>4661</v>
      </c>
      <c r="D4061">
        <v>35</v>
      </c>
      <c r="E4061">
        <v>26</v>
      </c>
      <c r="F4061" t="s">
        <v>256</v>
      </c>
      <c r="G4061" t="s">
        <v>432</v>
      </c>
    </row>
    <row r="4062" spans="1:7" x14ac:dyDescent="0.3">
      <c r="A4062">
        <v>4060</v>
      </c>
      <c r="B4062" t="s">
        <v>4662</v>
      </c>
      <c r="C4062" t="s">
        <v>356</v>
      </c>
      <c r="D4062">
        <v>219</v>
      </c>
      <c r="E4062">
        <v>190</v>
      </c>
      <c r="F4062" t="s">
        <v>9</v>
      </c>
      <c r="G4062" t="s">
        <v>432</v>
      </c>
    </row>
    <row r="4063" spans="1:7" x14ac:dyDescent="0.3">
      <c r="A4063">
        <v>4061</v>
      </c>
      <c r="B4063" t="s">
        <v>4662</v>
      </c>
      <c r="C4063" t="s">
        <v>356</v>
      </c>
      <c r="D4063">
        <v>120</v>
      </c>
      <c r="E4063">
        <v>110</v>
      </c>
      <c r="F4063" t="s">
        <v>12</v>
      </c>
      <c r="G4063" t="s">
        <v>432</v>
      </c>
    </row>
    <row r="4064" spans="1:7" x14ac:dyDescent="0.3">
      <c r="A4064">
        <v>4062</v>
      </c>
      <c r="B4064" t="s">
        <v>4663</v>
      </c>
      <c r="C4064" t="s">
        <v>4185</v>
      </c>
      <c r="D4064">
        <v>39</v>
      </c>
      <c r="E4064">
        <v>36</v>
      </c>
      <c r="F4064" t="s">
        <v>845</v>
      </c>
      <c r="G4064" t="s">
        <v>432</v>
      </c>
    </row>
    <row r="4065" spans="1:7" x14ac:dyDescent="0.3">
      <c r="A4065">
        <v>4063</v>
      </c>
      <c r="B4065" t="s">
        <v>4664</v>
      </c>
      <c r="C4065" t="s">
        <v>4185</v>
      </c>
      <c r="D4065">
        <v>200</v>
      </c>
      <c r="E4065">
        <v>164</v>
      </c>
      <c r="F4065" t="s">
        <v>2151</v>
      </c>
      <c r="G4065" t="s">
        <v>432</v>
      </c>
    </row>
    <row r="4066" spans="1:7" x14ac:dyDescent="0.3">
      <c r="A4066">
        <v>4064</v>
      </c>
      <c r="B4066" t="s">
        <v>4665</v>
      </c>
      <c r="C4066" t="s">
        <v>4185</v>
      </c>
      <c r="D4066">
        <v>39</v>
      </c>
      <c r="E4066">
        <v>36</v>
      </c>
      <c r="F4066" t="s">
        <v>845</v>
      </c>
      <c r="G4066" t="s">
        <v>432</v>
      </c>
    </row>
    <row r="4067" spans="1:7" x14ac:dyDescent="0.3">
      <c r="A4067">
        <v>4065</v>
      </c>
      <c r="B4067" t="s">
        <v>4666</v>
      </c>
      <c r="C4067" t="s">
        <v>4185</v>
      </c>
      <c r="D4067">
        <v>39</v>
      </c>
      <c r="E4067">
        <v>36</v>
      </c>
      <c r="F4067" t="s">
        <v>845</v>
      </c>
      <c r="G4067" t="s">
        <v>432</v>
      </c>
    </row>
    <row r="4068" spans="1:7" x14ac:dyDescent="0.3">
      <c r="A4068">
        <v>4066</v>
      </c>
      <c r="B4068" t="s">
        <v>4667</v>
      </c>
      <c r="C4068" t="s">
        <v>4668</v>
      </c>
      <c r="D4068">
        <v>40</v>
      </c>
      <c r="E4068">
        <v>28</v>
      </c>
      <c r="F4068" t="s">
        <v>4243</v>
      </c>
      <c r="G4068" t="s">
        <v>432</v>
      </c>
    </row>
    <row r="4069" spans="1:7" x14ac:dyDescent="0.3">
      <c r="A4069">
        <v>4067</v>
      </c>
      <c r="B4069" t="s">
        <v>4669</v>
      </c>
      <c r="C4069" t="s">
        <v>4661</v>
      </c>
      <c r="D4069">
        <v>35</v>
      </c>
      <c r="E4069">
        <v>27</v>
      </c>
      <c r="F4069" t="s">
        <v>256</v>
      </c>
      <c r="G4069" t="s">
        <v>432</v>
      </c>
    </row>
    <row r="4070" spans="1:7" x14ac:dyDescent="0.3">
      <c r="A4070">
        <v>4068</v>
      </c>
      <c r="B4070" t="s">
        <v>4670</v>
      </c>
      <c r="C4070" t="s">
        <v>4661</v>
      </c>
      <c r="D4070">
        <v>35</v>
      </c>
      <c r="E4070">
        <v>28</v>
      </c>
      <c r="F4070" t="s">
        <v>256</v>
      </c>
      <c r="G4070" t="s">
        <v>432</v>
      </c>
    </row>
    <row r="4071" spans="1:7" x14ac:dyDescent="0.3">
      <c r="A4071">
        <v>4069</v>
      </c>
      <c r="B4071" t="s">
        <v>4671</v>
      </c>
      <c r="C4071" t="s">
        <v>4185</v>
      </c>
      <c r="D4071">
        <v>200</v>
      </c>
      <c r="E4071">
        <v>175</v>
      </c>
      <c r="F4071" t="s">
        <v>2151</v>
      </c>
      <c r="G4071" t="s">
        <v>432</v>
      </c>
    </row>
    <row r="4072" spans="1:7" x14ac:dyDescent="0.3">
      <c r="A4072">
        <v>4070</v>
      </c>
      <c r="B4072" t="s">
        <v>4672</v>
      </c>
      <c r="C4072" t="s">
        <v>4661</v>
      </c>
      <c r="D4072">
        <v>35</v>
      </c>
      <c r="E4072">
        <v>27</v>
      </c>
      <c r="F4072" t="s">
        <v>256</v>
      </c>
      <c r="G4072" t="s">
        <v>432</v>
      </c>
    </row>
    <row r="4073" spans="1:7" x14ac:dyDescent="0.3">
      <c r="A4073">
        <v>4071</v>
      </c>
      <c r="B4073" t="s">
        <v>4673</v>
      </c>
      <c r="C4073" t="s">
        <v>4185</v>
      </c>
      <c r="D4073">
        <v>29</v>
      </c>
      <c r="E4073">
        <v>26</v>
      </c>
      <c r="F4073" t="s">
        <v>4674</v>
      </c>
      <c r="G4073" t="s">
        <v>432</v>
      </c>
    </row>
    <row r="4074" spans="1:7" x14ac:dyDescent="0.3">
      <c r="A4074">
        <v>4072</v>
      </c>
      <c r="B4074" t="s">
        <v>4675</v>
      </c>
      <c r="C4074" t="s">
        <v>4185</v>
      </c>
      <c r="D4074">
        <v>39</v>
      </c>
      <c r="E4074">
        <v>36</v>
      </c>
      <c r="F4074" t="s">
        <v>845</v>
      </c>
      <c r="G4074" t="s">
        <v>432</v>
      </c>
    </row>
    <row r="4075" spans="1:7" x14ac:dyDescent="0.3">
      <c r="A4075">
        <v>4073</v>
      </c>
      <c r="B4075" t="s">
        <v>4676</v>
      </c>
      <c r="C4075" t="s">
        <v>4185</v>
      </c>
      <c r="D4075">
        <v>29</v>
      </c>
      <c r="E4075">
        <v>27</v>
      </c>
      <c r="F4075" t="s">
        <v>4674</v>
      </c>
      <c r="G4075" t="s">
        <v>432</v>
      </c>
    </row>
    <row r="4076" spans="1:7" x14ac:dyDescent="0.3">
      <c r="A4076">
        <v>4074</v>
      </c>
      <c r="B4076" t="s">
        <v>4677</v>
      </c>
      <c r="C4076" t="s">
        <v>4678</v>
      </c>
      <c r="D4076">
        <v>435</v>
      </c>
      <c r="E4076">
        <v>217</v>
      </c>
      <c r="F4076" t="s">
        <v>4679</v>
      </c>
      <c r="G4076" t="s">
        <v>432</v>
      </c>
    </row>
    <row r="4077" spans="1:7" x14ac:dyDescent="0.3">
      <c r="A4077">
        <v>4075</v>
      </c>
      <c r="B4077" t="s">
        <v>4680</v>
      </c>
      <c r="C4077" t="s">
        <v>4678</v>
      </c>
      <c r="D4077">
        <v>435</v>
      </c>
      <c r="E4077">
        <v>217</v>
      </c>
      <c r="F4077" t="s">
        <v>4679</v>
      </c>
      <c r="G4077" t="s">
        <v>432</v>
      </c>
    </row>
    <row r="4078" spans="1:7" x14ac:dyDescent="0.3">
      <c r="A4078">
        <v>4076</v>
      </c>
      <c r="B4078" t="s">
        <v>4681</v>
      </c>
      <c r="C4078" t="s">
        <v>4678</v>
      </c>
      <c r="D4078">
        <v>435</v>
      </c>
      <c r="E4078">
        <v>217</v>
      </c>
      <c r="F4078" t="s">
        <v>4679</v>
      </c>
      <c r="G4078" t="s">
        <v>432</v>
      </c>
    </row>
    <row r="4079" spans="1:7" x14ac:dyDescent="0.3">
      <c r="A4079">
        <v>4077</v>
      </c>
      <c r="B4079" t="s">
        <v>4682</v>
      </c>
      <c r="C4079" t="s">
        <v>4267</v>
      </c>
      <c r="D4079">
        <v>195</v>
      </c>
      <c r="E4079">
        <v>156</v>
      </c>
      <c r="F4079" t="s">
        <v>216</v>
      </c>
      <c r="G4079" t="s">
        <v>432</v>
      </c>
    </row>
    <row r="4080" spans="1:7" x14ac:dyDescent="0.3">
      <c r="A4080">
        <v>4078</v>
      </c>
      <c r="B4080" t="s">
        <v>4683</v>
      </c>
      <c r="C4080" t="s">
        <v>3132</v>
      </c>
      <c r="D4080">
        <v>995</v>
      </c>
      <c r="E4080">
        <v>729</v>
      </c>
      <c r="F4080" t="s">
        <v>4684</v>
      </c>
      <c r="G4080" t="s">
        <v>432</v>
      </c>
    </row>
    <row r="4081" spans="1:7" x14ac:dyDescent="0.3">
      <c r="A4081">
        <v>4079</v>
      </c>
      <c r="B4081" t="s">
        <v>4685</v>
      </c>
      <c r="C4081" t="s">
        <v>4686</v>
      </c>
      <c r="D4081">
        <v>999</v>
      </c>
      <c r="E4081">
        <v>699</v>
      </c>
      <c r="F4081" t="s">
        <v>4684</v>
      </c>
      <c r="G4081" t="s">
        <v>432</v>
      </c>
    </row>
    <row r="4082" spans="1:7" x14ac:dyDescent="0.3">
      <c r="A4082">
        <v>4080</v>
      </c>
      <c r="B4082" t="s">
        <v>4687</v>
      </c>
      <c r="C4082" t="s">
        <v>4686</v>
      </c>
      <c r="D4082">
        <v>1999</v>
      </c>
      <c r="E4082">
        <v>1399</v>
      </c>
      <c r="F4082" t="s">
        <v>3004</v>
      </c>
      <c r="G4082" t="s">
        <v>432</v>
      </c>
    </row>
    <row r="4083" spans="1:7" x14ac:dyDescent="0.3">
      <c r="A4083">
        <v>4081</v>
      </c>
      <c r="B4083" t="s">
        <v>4688</v>
      </c>
      <c r="C4083" t="s">
        <v>3132</v>
      </c>
      <c r="D4083">
        <v>1295</v>
      </c>
      <c r="E4083">
        <v>999</v>
      </c>
      <c r="F4083" t="s">
        <v>2712</v>
      </c>
      <c r="G4083" t="s">
        <v>432</v>
      </c>
    </row>
    <row r="4084" spans="1:7" x14ac:dyDescent="0.3">
      <c r="A4084">
        <v>4082</v>
      </c>
      <c r="B4084" t="s">
        <v>4689</v>
      </c>
      <c r="C4084" t="s">
        <v>4686</v>
      </c>
      <c r="D4084">
        <v>999</v>
      </c>
      <c r="E4084">
        <v>699</v>
      </c>
      <c r="F4084" t="s">
        <v>2712</v>
      </c>
      <c r="G4084" t="s">
        <v>432</v>
      </c>
    </row>
    <row r="4085" spans="1:7" x14ac:dyDescent="0.3">
      <c r="A4085">
        <v>4083</v>
      </c>
      <c r="B4085" t="s">
        <v>4690</v>
      </c>
      <c r="C4085" t="s">
        <v>4686</v>
      </c>
      <c r="D4085">
        <v>1099</v>
      </c>
      <c r="E4085">
        <v>799</v>
      </c>
      <c r="F4085" t="s">
        <v>3004</v>
      </c>
      <c r="G4085" t="s">
        <v>432</v>
      </c>
    </row>
    <row r="4086" spans="1:7" x14ac:dyDescent="0.3">
      <c r="A4086">
        <v>4084</v>
      </c>
      <c r="B4086" t="s">
        <v>4691</v>
      </c>
      <c r="C4086" t="s">
        <v>17</v>
      </c>
      <c r="D4086">
        <v>125</v>
      </c>
      <c r="E4086">
        <v>89</v>
      </c>
      <c r="F4086" t="s">
        <v>2960</v>
      </c>
      <c r="G4086" t="s">
        <v>432</v>
      </c>
    </row>
    <row r="4087" spans="1:7" x14ac:dyDescent="0.3">
      <c r="A4087">
        <v>4085</v>
      </c>
      <c r="B4087" t="s">
        <v>4692</v>
      </c>
      <c r="C4087" t="s">
        <v>4424</v>
      </c>
      <c r="D4087">
        <v>189</v>
      </c>
      <c r="E4087">
        <v>175</v>
      </c>
      <c r="F4087" t="s">
        <v>4693</v>
      </c>
      <c r="G4087" t="s">
        <v>4694</v>
      </c>
    </row>
    <row r="4088" spans="1:7" x14ac:dyDescent="0.3">
      <c r="A4088">
        <v>4086</v>
      </c>
      <c r="B4088" t="s">
        <v>4695</v>
      </c>
      <c r="C4088" t="s">
        <v>4424</v>
      </c>
      <c r="D4088">
        <v>325</v>
      </c>
      <c r="E4088">
        <v>240</v>
      </c>
      <c r="F4088" t="s">
        <v>4693</v>
      </c>
      <c r="G4088" t="s">
        <v>4694</v>
      </c>
    </row>
    <row r="4089" spans="1:7" x14ac:dyDescent="0.3">
      <c r="A4089">
        <v>4087</v>
      </c>
      <c r="B4089" t="s">
        <v>4696</v>
      </c>
      <c r="C4089" t="s">
        <v>4189</v>
      </c>
      <c r="D4089">
        <v>299</v>
      </c>
      <c r="E4089">
        <v>239</v>
      </c>
      <c r="F4089" t="s">
        <v>4693</v>
      </c>
      <c r="G4089" t="s">
        <v>4694</v>
      </c>
    </row>
    <row r="4090" spans="1:7" x14ac:dyDescent="0.3">
      <c r="A4090">
        <v>4088</v>
      </c>
      <c r="B4090" t="s">
        <v>4696</v>
      </c>
      <c r="C4090" t="s">
        <v>4189</v>
      </c>
      <c r="D4090">
        <v>499</v>
      </c>
      <c r="E4090">
        <v>399</v>
      </c>
      <c r="F4090" t="s">
        <v>4697</v>
      </c>
      <c r="G4090" t="s">
        <v>4694</v>
      </c>
    </row>
    <row r="4091" spans="1:7" x14ac:dyDescent="0.3">
      <c r="A4091">
        <v>4089</v>
      </c>
      <c r="B4091" t="s">
        <v>4698</v>
      </c>
      <c r="C4091" t="s">
        <v>4209</v>
      </c>
      <c r="D4091">
        <v>179</v>
      </c>
      <c r="E4091">
        <v>135</v>
      </c>
      <c r="F4091" t="s">
        <v>4693</v>
      </c>
      <c r="G4091" t="s">
        <v>4694</v>
      </c>
    </row>
    <row r="4092" spans="1:7" x14ac:dyDescent="0.3">
      <c r="A4092">
        <v>4090</v>
      </c>
      <c r="B4092" t="s">
        <v>4699</v>
      </c>
      <c r="C4092" t="s">
        <v>4209</v>
      </c>
      <c r="D4092">
        <v>249</v>
      </c>
      <c r="E4092">
        <v>200</v>
      </c>
      <c r="F4092" t="s">
        <v>3004</v>
      </c>
      <c r="G4092" t="s">
        <v>4694</v>
      </c>
    </row>
    <row r="4093" spans="1:7" x14ac:dyDescent="0.3">
      <c r="A4093">
        <v>4091</v>
      </c>
      <c r="B4093" t="s">
        <v>4700</v>
      </c>
      <c r="C4093" t="s">
        <v>4209</v>
      </c>
      <c r="D4093">
        <v>249</v>
      </c>
      <c r="E4093">
        <v>200</v>
      </c>
      <c r="F4093" t="s">
        <v>3004</v>
      </c>
      <c r="G4093" t="s">
        <v>4694</v>
      </c>
    </row>
    <row r="4094" spans="1:7" x14ac:dyDescent="0.3">
      <c r="A4094">
        <v>4092</v>
      </c>
      <c r="B4094" t="s">
        <v>4701</v>
      </c>
      <c r="C4094" t="s">
        <v>4209</v>
      </c>
      <c r="D4094">
        <v>330</v>
      </c>
      <c r="E4094">
        <v>248</v>
      </c>
      <c r="F4094" t="s">
        <v>4702</v>
      </c>
      <c r="G4094" t="s">
        <v>4694</v>
      </c>
    </row>
    <row r="4095" spans="1:7" x14ac:dyDescent="0.3">
      <c r="A4095">
        <v>4093</v>
      </c>
      <c r="B4095" t="s">
        <v>4703</v>
      </c>
      <c r="C4095" t="s">
        <v>4209</v>
      </c>
      <c r="D4095">
        <v>249</v>
      </c>
      <c r="E4095">
        <v>200</v>
      </c>
      <c r="F4095" t="s">
        <v>3004</v>
      </c>
      <c r="G4095" t="s">
        <v>4694</v>
      </c>
    </row>
    <row r="4096" spans="1:7" x14ac:dyDescent="0.3">
      <c r="A4096">
        <v>4094</v>
      </c>
      <c r="B4096" t="s">
        <v>4704</v>
      </c>
      <c r="C4096" t="s">
        <v>4459</v>
      </c>
      <c r="D4096">
        <v>99</v>
      </c>
      <c r="E4096">
        <v>76</v>
      </c>
      <c r="F4096" t="s">
        <v>4693</v>
      </c>
      <c r="G4096" t="s">
        <v>4694</v>
      </c>
    </row>
    <row r="4097" spans="1:7" x14ac:dyDescent="0.3">
      <c r="A4097">
        <v>4095</v>
      </c>
      <c r="B4097" t="s">
        <v>4705</v>
      </c>
      <c r="C4097" t="s">
        <v>4209</v>
      </c>
      <c r="D4097">
        <v>249</v>
      </c>
      <c r="E4097">
        <v>199</v>
      </c>
      <c r="F4097" t="s">
        <v>3004</v>
      </c>
      <c r="G4097" t="s">
        <v>4694</v>
      </c>
    </row>
    <row r="4098" spans="1:7" x14ac:dyDescent="0.3">
      <c r="A4098">
        <v>4096</v>
      </c>
      <c r="B4098" t="s">
        <v>4706</v>
      </c>
      <c r="C4098" t="s">
        <v>4169</v>
      </c>
      <c r="D4098">
        <v>275</v>
      </c>
      <c r="E4098">
        <v>199</v>
      </c>
      <c r="F4098" t="s">
        <v>4693</v>
      </c>
      <c r="G4098" t="s">
        <v>4694</v>
      </c>
    </row>
    <row r="4099" spans="1:7" x14ac:dyDescent="0.3">
      <c r="A4099">
        <v>4097</v>
      </c>
      <c r="B4099" t="s">
        <v>4707</v>
      </c>
      <c r="C4099" t="s">
        <v>4209</v>
      </c>
      <c r="D4099">
        <v>625</v>
      </c>
      <c r="E4099">
        <v>349</v>
      </c>
      <c r="F4099" t="s">
        <v>4708</v>
      </c>
      <c r="G4099" t="s">
        <v>4694</v>
      </c>
    </row>
    <row r="4100" spans="1:7" x14ac:dyDescent="0.3">
      <c r="A4100">
        <v>4098</v>
      </c>
      <c r="B4100" t="s">
        <v>4709</v>
      </c>
      <c r="C4100" t="s">
        <v>4169</v>
      </c>
      <c r="D4100">
        <v>475</v>
      </c>
      <c r="E4100">
        <v>320</v>
      </c>
      <c r="F4100" t="s">
        <v>4018</v>
      </c>
      <c r="G4100" t="s">
        <v>4694</v>
      </c>
    </row>
    <row r="4101" spans="1:7" x14ac:dyDescent="0.3">
      <c r="A4101">
        <v>4099</v>
      </c>
      <c r="B4101" t="s">
        <v>4710</v>
      </c>
      <c r="C4101" t="s">
        <v>4209</v>
      </c>
      <c r="D4101">
        <v>549</v>
      </c>
      <c r="E4101">
        <v>307</v>
      </c>
      <c r="F4101" t="s">
        <v>4697</v>
      </c>
      <c r="G4101" t="s">
        <v>4694</v>
      </c>
    </row>
    <row r="4102" spans="1:7" x14ac:dyDescent="0.3">
      <c r="A4102">
        <v>4100</v>
      </c>
      <c r="B4102" t="s">
        <v>4711</v>
      </c>
      <c r="C4102" t="s">
        <v>4209</v>
      </c>
      <c r="D4102">
        <v>499</v>
      </c>
      <c r="E4102">
        <v>299</v>
      </c>
      <c r="F4102" t="s">
        <v>4697</v>
      </c>
      <c r="G4102" t="s">
        <v>4694</v>
      </c>
    </row>
    <row r="4103" spans="1:7" x14ac:dyDescent="0.3">
      <c r="A4103">
        <v>4101</v>
      </c>
      <c r="B4103" t="s">
        <v>4712</v>
      </c>
      <c r="C4103" t="s">
        <v>4209</v>
      </c>
      <c r="D4103">
        <v>399</v>
      </c>
      <c r="E4103">
        <v>225</v>
      </c>
      <c r="F4103" t="s">
        <v>4697</v>
      </c>
      <c r="G4103" t="s">
        <v>4694</v>
      </c>
    </row>
    <row r="4104" spans="1:7" x14ac:dyDescent="0.3">
      <c r="A4104">
        <v>4102</v>
      </c>
      <c r="B4104" t="s">
        <v>4713</v>
      </c>
      <c r="C4104" t="s">
        <v>4303</v>
      </c>
      <c r="D4104">
        <v>275</v>
      </c>
      <c r="E4104">
        <v>171</v>
      </c>
      <c r="F4104" t="s">
        <v>4693</v>
      </c>
      <c r="G4104" t="s">
        <v>4694</v>
      </c>
    </row>
    <row r="4105" spans="1:7" x14ac:dyDescent="0.3">
      <c r="A4105">
        <v>4103</v>
      </c>
      <c r="B4105" t="s">
        <v>4714</v>
      </c>
      <c r="C4105" t="s">
        <v>4451</v>
      </c>
      <c r="D4105">
        <v>399</v>
      </c>
      <c r="E4105">
        <v>258</v>
      </c>
      <c r="F4105" t="s">
        <v>4715</v>
      </c>
      <c r="G4105" t="s">
        <v>4694</v>
      </c>
    </row>
    <row r="4106" spans="1:7" x14ac:dyDescent="0.3">
      <c r="A4106">
        <v>4104</v>
      </c>
      <c r="B4106" t="s">
        <v>4716</v>
      </c>
      <c r="C4106" t="s">
        <v>4424</v>
      </c>
      <c r="D4106">
        <v>399</v>
      </c>
      <c r="E4106">
        <v>319</v>
      </c>
      <c r="F4106" t="s">
        <v>4717</v>
      </c>
      <c r="G4106" t="s">
        <v>4694</v>
      </c>
    </row>
    <row r="4107" spans="1:7" x14ac:dyDescent="0.3">
      <c r="A4107">
        <v>4105</v>
      </c>
      <c r="B4107" t="s">
        <v>4718</v>
      </c>
      <c r="C4107" t="s">
        <v>4169</v>
      </c>
      <c r="D4107">
        <v>450</v>
      </c>
      <c r="E4107">
        <v>299</v>
      </c>
      <c r="F4107" t="s">
        <v>4719</v>
      </c>
      <c r="G4107" t="s">
        <v>4694</v>
      </c>
    </row>
    <row r="4108" spans="1:7" x14ac:dyDescent="0.3">
      <c r="A4108">
        <v>4106</v>
      </c>
      <c r="B4108" t="s">
        <v>4720</v>
      </c>
      <c r="C4108" t="s">
        <v>4459</v>
      </c>
      <c r="D4108">
        <v>115</v>
      </c>
      <c r="E4108">
        <v>92</v>
      </c>
      <c r="F4108" t="s">
        <v>4719</v>
      </c>
      <c r="G4108" t="s">
        <v>4694</v>
      </c>
    </row>
    <row r="4109" spans="1:7" x14ac:dyDescent="0.3">
      <c r="A4109">
        <v>4107</v>
      </c>
      <c r="B4109" t="s">
        <v>4721</v>
      </c>
      <c r="C4109" t="s">
        <v>4209</v>
      </c>
      <c r="D4109">
        <v>399</v>
      </c>
      <c r="E4109">
        <v>280</v>
      </c>
      <c r="F4109" t="s">
        <v>4722</v>
      </c>
      <c r="G4109" t="s">
        <v>4694</v>
      </c>
    </row>
    <row r="4110" spans="1:7" x14ac:dyDescent="0.3">
      <c r="A4110">
        <v>4108</v>
      </c>
      <c r="B4110" t="s">
        <v>4723</v>
      </c>
      <c r="C4110" t="s">
        <v>4209</v>
      </c>
      <c r="D4110">
        <v>499</v>
      </c>
      <c r="E4110">
        <v>280</v>
      </c>
      <c r="F4110" t="s">
        <v>4724</v>
      </c>
      <c r="G4110" t="s">
        <v>4694</v>
      </c>
    </row>
    <row r="4111" spans="1:7" x14ac:dyDescent="0.3">
      <c r="A4111">
        <v>4109</v>
      </c>
      <c r="B4111" t="s">
        <v>4725</v>
      </c>
      <c r="C4111" t="s">
        <v>4169</v>
      </c>
      <c r="D4111">
        <v>400</v>
      </c>
      <c r="E4111">
        <v>299</v>
      </c>
      <c r="F4111" t="s">
        <v>4726</v>
      </c>
      <c r="G4111" t="s">
        <v>4694</v>
      </c>
    </row>
    <row r="4112" spans="1:7" x14ac:dyDescent="0.3">
      <c r="A4112">
        <v>4110</v>
      </c>
      <c r="B4112" t="s">
        <v>4727</v>
      </c>
      <c r="C4112" t="s">
        <v>4424</v>
      </c>
      <c r="D4112">
        <v>249</v>
      </c>
      <c r="E4112">
        <v>199</v>
      </c>
      <c r="F4112" t="s">
        <v>4728</v>
      </c>
      <c r="G4112" t="s">
        <v>4694</v>
      </c>
    </row>
    <row r="4113" spans="1:7" x14ac:dyDescent="0.3">
      <c r="A4113">
        <v>4111</v>
      </c>
      <c r="B4113" t="s">
        <v>4729</v>
      </c>
      <c r="C4113" t="s">
        <v>4451</v>
      </c>
      <c r="D4113">
        <v>500</v>
      </c>
      <c r="E4113">
        <v>349</v>
      </c>
      <c r="F4113" t="s">
        <v>4730</v>
      </c>
      <c r="G4113" t="s">
        <v>4694</v>
      </c>
    </row>
    <row r="4114" spans="1:7" x14ac:dyDescent="0.3">
      <c r="A4114">
        <v>4112</v>
      </c>
      <c r="B4114" t="s">
        <v>4731</v>
      </c>
      <c r="C4114" t="s">
        <v>4209</v>
      </c>
      <c r="D4114">
        <v>399</v>
      </c>
      <c r="E4114">
        <v>300</v>
      </c>
      <c r="F4114" t="s">
        <v>4732</v>
      </c>
      <c r="G4114" t="s">
        <v>4694</v>
      </c>
    </row>
    <row r="4115" spans="1:7" x14ac:dyDescent="0.3">
      <c r="A4115">
        <v>4113</v>
      </c>
      <c r="B4115" t="s">
        <v>4733</v>
      </c>
      <c r="C4115" t="s">
        <v>4209</v>
      </c>
      <c r="D4115">
        <v>249</v>
      </c>
      <c r="E4115">
        <v>142</v>
      </c>
      <c r="F4115" t="s">
        <v>4734</v>
      </c>
      <c r="G4115" t="s">
        <v>4694</v>
      </c>
    </row>
    <row r="4116" spans="1:7" x14ac:dyDescent="0.3">
      <c r="A4116">
        <v>4114</v>
      </c>
      <c r="B4116" t="s">
        <v>4735</v>
      </c>
      <c r="C4116" t="s">
        <v>4169</v>
      </c>
      <c r="D4116">
        <v>260</v>
      </c>
      <c r="E4116">
        <v>199</v>
      </c>
      <c r="F4116" t="s">
        <v>4498</v>
      </c>
      <c r="G4116" t="s">
        <v>4694</v>
      </c>
    </row>
    <row r="4117" spans="1:7" x14ac:dyDescent="0.3">
      <c r="A4117">
        <v>4115</v>
      </c>
      <c r="B4117" t="s">
        <v>4736</v>
      </c>
      <c r="C4117" t="s">
        <v>4169</v>
      </c>
      <c r="D4117">
        <v>325</v>
      </c>
      <c r="E4117">
        <v>249</v>
      </c>
      <c r="F4117" t="s">
        <v>4734</v>
      </c>
      <c r="G4117" t="s">
        <v>4694</v>
      </c>
    </row>
    <row r="4118" spans="1:7" x14ac:dyDescent="0.3">
      <c r="A4118">
        <v>4116</v>
      </c>
      <c r="B4118" t="s">
        <v>4737</v>
      </c>
      <c r="C4118" t="s">
        <v>4459</v>
      </c>
      <c r="D4118">
        <v>155</v>
      </c>
      <c r="E4118">
        <v>124</v>
      </c>
      <c r="F4118" t="s">
        <v>4738</v>
      </c>
      <c r="G4118" t="s">
        <v>4694</v>
      </c>
    </row>
    <row r="4119" spans="1:7" x14ac:dyDescent="0.3">
      <c r="A4119">
        <v>4117</v>
      </c>
      <c r="B4119" t="s">
        <v>4739</v>
      </c>
      <c r="C4119" t="s">
        <v>4459</v>
      </c>
      <c r="D4119">
        <v>110</v>
      </c>
      <c r="E4119">
        <v>88</v>
      </c>
      <c r="F4119" t="s">
        <v>4740</v>
      </c>
      <c r="G4119" t="s">
        <v>4694</v>
      </c>
    </row>
    <row r="4120" spans="1:7" x14ac:dyDescent="0.3">
      <c r="A4120">
        <v>4118</v>
      </c>
      <c r="B4120" t="s">
        <v>4741</v>
      </c>
      <c r="C4120" t="s">
        <v>4209</v>
      </c>
      <c r="D4120">
        <v>649</v>
      </c>
      <c r="E4120">
        <v>362</v>
      </c>
      <c r="F4120" t="s">
        <v>4742</v>
      </c>
      <c r="G4120" t="s">
        <v>4694</v>
      </c>
    </row>
    <row r="4121" spans="1:7" x14ac:dyDescent="0.3">
      <c r="A4121">
        <v>4119</v>
      </c>
      <c r="B4121" t="s">
        <v>4743</v>
      </c>
      <c r="C4121" t="s">
        <v>2234</v>
      </c>
      <c r="D4121">
        <v>255</v>
      </c>
      <c r="E4121">
        <v>190</v>
      </c>
      <c r="F4121" t="s">
        <v>4506</v>
      </c>
      <c r="G4121" t="s">
        <v>4694</v>
      </c>
    </row>
    <row r="4122" spans="1:7" x14ac:dyDescent="0.3">
      <c r="A4122">
        <v>4120</v>
      </c>
      <c r="B4122" t="s">
        <v>4744</v>
      </c>
      <c r="C4122" t="s">
        <v>4209</v>
      </c>
      <c r="D4122">
        <v>599</v>
      </c>
      <c r="E4122">
        <v>335</v>
      </c>
      <c r="F4122" t="s">
        <v>4745</v>
      </c>
      <c r="G4122" t="s">
        <v>4694</v>
      </c>
    </row>
    <row r="4123" spans="1:7" x14ac:dyDescent="0.3">
      <c r="A4123">
        <v>4121</v>
      </c>
      <c r="B4123" t="s">
        <v>4746</v>
      </c>
      <c r="C4123" t="s">
        <v>4209</v>
      </c>
      <c r="D4123">
        <v>599</v>
      </c>
      <c r="E4123">
        <v>335</v>
      </c>
      <c r="F4123" t="s">
        <v>4747</v>
      </c>
      <c r="G4123" t="s">
        <v>4694</v>
      </c>
    </row>
    <row r="4124" spans="1:7" x14ac:dyDescent="0.3">
      <c r="A4124">
        <v>4122</v>
      </c>
      <c r="B4124" t="s">
        <v>4748</v>
      </c>
      <c r="C4124" t="s">
        <v>2234</v>
      </c>
      <c r="D4124">
        <v>295</v>
      </c>
      <c r="E4124">
        <v>169</v>
      </c>
      <c r="F4124" t="s">
        <v>4734</v>
      </c>
      <c r="G4124" t="s">
        <v>4694</v>
      </c>
    </row>
    <row r="4125" spans="1:7" x14ac:dyDescent="0.3">
      <c r="A4125">
        <v>4123</v>
      </c>
      <c r="B4125" t="s">
        <v>4749</v>
      </c>
      <c r="C4125" t="s">
        <v>4209</v>
      </c>
      <c r="D4125">
        <v>499</v>
      </c>
      <c r="E4125">
        <v>375</v>
      </c>
      <c r="F4125" t="s">
        <v>4697</v>
      </c>
      <c r="G4125" t="s">
        <v>4694</v>
      </c>
    </row>
    <row r="4126" spans="1:7" x14ac:dyDescent="0.3">
      <c r="A4126">
        <v>4124</v>
      </c>
      <c r="B4126" t="s">
        <v>4750</v>
      </c>
      <c r="C4126" t="s">
        <v>4451</v>
      </c>
      <c r="D4126">
        <v>999</v>
      </c>
      <c r="E4126">
        <v>649</v>
      </c>
      <c r="F4126" t="s">
        <v>4427</v>
      </c>
      <c r="G4126" t="s">
        <v>4694</v>
      </c>
    </row>
    <row r="4127" spans="1:7" x14ac:dyDescent="0.3">
      <c r="A4127">
        <v>4125</v>
      </c>
      <c r="B4127" t="s">
        <v>4751</v>
      </c>
      <c r="C4127" t="s">
        <v>4451</v>
      </c>
      <c r="D4127">
        <v>750</v>
      </c>
      <c r="E4127">
        <v>449</v>
      </c>
      <c r="F4127" t="s">
        <v>4752</v>
      </c>
      <c r="G4127" t="s">
        <v>4694</v>
      </c>
    </row>
    <row r="4128" spans="1:7" x14ac:dyDescent="0.3">
      <c r="A4128">
        <v>4126</v>
      </c>
      <c r="B4128" t="s">
        <v>4753</v>
      </c>
      <c r="C4128" t="s">
        <v>4209</v>
      </c>
      <c r="D4128">
        <v>999</v>
      </c>
      <c r="E4128">
        <v>555</v>
      </c>
      <c r="F4128" t="s">
        <v>280</v>
      </c>
      <c r="G4128" t="s">
        <v>4694</v>
      </c>
    </row>
    <row r="4129" spans="1:7" x14ac:dyDescent="0.3">
      <c r="A4129">
        <v>4127</v>
      </c>
      <c r="B4129" t="s">
        <v>4754</v>
      </c>
      <c r="C4129" t="s">
        <v>4424</v>
      </c>
      <c r="D4129">
        <v>175</v>
      </c>
      <c r="E4129">
        <v>140</v>
      </c>
      <c r="F4129" t="s">
        <v>4506</v>
      </c>
      <c r="G4129" t="s">
        <v>4755</v>
      </c>
    </row>
    <row r="4130" spans="1:7" x14ac:dyDescent="0.3">
      <c r="A4130">
        <v>4128</v>
      </c>
      <c r="B4130" t="s">
        <v>4756</v>
      </c>
      <c r="C4130" t="s">
        <v>4189</v>
      </c>
      <c r="D4130">
        <v>299</v>
      </c>
      <c r="E4130">
        <v>239</v>
      </c>
      <c r="F4130" t="s">
        <v>4323</v>
      </c>
      <c r="G4130" t="s">
        <v>4755</v>
      </c>
    </row>
    <row r="4131" spans="1:7" x14ac:dyDescent="0.3">
      <c r="A4131">
        <v>4129</v>
      </c>
      <c r="B4131" t="s">
        <v>4757</v>
      </c>
      <c r="C4131" t="s">
        <v>4424</v>
      </c>
      <c r="D4131">
        <v>199</v>
      </c>
      <c r="E4131">
        <v>169</v>
      </c>
      <c r="F4131" t="s">
        <v>4506</v>
      </c>
      <c r="G4131" t="s">
        <v>4755</v>
      </c>
    </row>
    <row r="4132" spans="1:7" x14ac:dyDescent="0.3">
      <c r="A4132">
        <v>4130</v>
      </c>
      <c r="B4132" t="s">
        <v>4758</v>
      </c>
      <c r="C4132" t="s">
        <v>4424</v>
      </c>
      <c r="D4132">
        <v>199</v>
      </c>
      <c r="E4132">
        <v>140</v>
      </c>
      <c r="F4132" t="s">
        <v>4506</v>
      </c>
      <c r="G4132" t="s">
        <v>4755</v>
      </c>
    </row>
    <row r="4133" spans="1:7" x14ac:dyDescent="0.3">
      <c r="A4133">
        <v>4131</v>
      </c>
      <c r="B4133" t="s">
        <v>4759</v>
      </c>
      <c r="C4133" t="s">
        <v>4209</v>
      </c>
      <c r="D4133">
        <v>175</v>
      </c>
      <c r="E4133">
        <v>140</v>
      </c>
      <c r="F4133" t="s">
        <v>3004</v>
      </c>
      <c r="G4133" t="s">
        <v>4755</v>
      </c>
    </row>
    <row r="4134" spans="1:7" x14ac:dyDescent="0.3">
      <c r="A4134">
        <v>4132</v>
      </c>
      <c r="B4134" t="s">
        <v>4760</v>
      </c>
      <c r="C4134" t="s">
        <v>4424</v>
      </c>
      <c r="D4134">
        <v>199</v>
      </c>
      <c r="E4134">
        <v>144</v>
      </c>
      <c r="F4134" t="s">
        <v>4761</v>
      </c>
      <c r="G4134" t="s">
        <v>4755</v>
      </c>
    </row>
    <row r="4135" spans="1:7" x14ac:dyDescent="0.3">
      <c r="A4135">
        <v>4133</v>
      </c>
      <c r="B4135" t="s">
        <v>4762</v>
      </c>
      <c r="C4135" t="s">
        <v>4424</v>
      </c>
      <c r="D4135">
        <v>199</v>
      </c>
      <c r="E4135">
        <v>144</v>
      </c>
      <c r="F4135" t="s">
        <v>4761</v>
      </c>
      <c r="G4135" t="s">
        <v>4755</v>
      </c>
    </row>
    <row r="4136" spans="1:7" x14ac:dyDescent="0.3">
      <c r="A4136">
        <v>4134</v>
      </c>
      <c r="B4136" t="s">
        <v>4763</v>
      </c>
      <c r="C4136" t="s">
        <v>4209</v>
      </c>
      <c r="D4136">
        <v>175</v>
      </c>
      <c r="E4136">
        <v>140</v>
      </c>
      <c r="F4136" t="s">
        <v>4325</v>
      </c>
      <c r="G4136" t="s">
        <v>4755</v>
      </c>
    </row>
    <row r="4137" spans="1:7" x14ac:dyDescent="0.3">
      <c r="A4137">
        <v>4135</v>
      </c>
      <c r="B4137" t="s">
        <v>4764</v>
      </c>
      <c r="C4137" t="s">
        <v>2234</v>
      </c>
      <c r="D4137">
        <v>199</v>
      </c>
      <c r="E4137">
        <v>149</v>
      </c>
      <c r="F4137" t="s">
        <v>4724</v>
      </c>
      <c r="G4137" t="s">
        <v>4755</v>
      </c>
    </row>
    <row r="4138" spans="1:7" x14ac:dyDescent="0.3">
      <c r="A4138">
        <v>4136</v>
      </c>
      <c r="B4138" t="s">
        <v>4765</v>
      </c>
      <c r="C4138" t="s">
        <v>4424</v>
      </c>
      <c r="D4138">
        <v>175</v>
      </c>
      <c r="E4138">
        <v>140</v>
      </c>
      <c r="F4138" t="s">
        <v>4506</v>
      </c>
      <c r="G4138" t="s">
        <v>4755</v>
      </c>
    </row>
    <row r="4139" spans="1:7" x14ac:dyDescent="0.3">
      <c r="A4139">
        <v>4137</v>
      </c>
      <c r="B4139" t="s">
        <v>4766</v>
      </c>
      <c r="C4139" t="s">
        <v>4209</v>
      </c>
      <c r="D4139">
        <v>175</v>
      </c>
      <c r="E4139">
        <v>140</v>
      </c>
      <c r="F4139" t="s">
        <v>3004</v>
      </c>
      <c r="G4139" t="s">
        <v>4755</v>
      </c>
    </row>
    <row r="4140" spans="1:7" x14ac:dyDescent="0.3">
      <c r="A4140">
        <v>4138</v>
      </c>
      <c r="B4140" t="s">
        <v>4767</v>
      </c>
      <c r="C4140" t="s">
        <v>4424</v>
      </c>
      <c r="D4140">
        <v>175</v>
      </c>
      <c r="E4140">
        <v>140</v>
      </c>
      <c r="F4140" t="s">
        <v>4506</v>
      </c>
      <c r="G4140" t="s">
        <v>4755</v>
      </c>
    </row>
    <row r="4141" spans="1:7" x14ac:dyDescent="0.3">
      <c r="A4141">
        <v>4139</v>
      </c>
      <c r="B4141" t="s">
        <v>4768</v>
      </c>
      <c r="C4141" t="s">
        <v>4424</v>
      </c>
      <c r="D4141">
        <v>175</v>
      </c>
      <c r="E4141">
        <v>123</v>
      </c>
      <c r="F4141" t="s">
        <v>4506</v>
      </c>
      <c r="G4141" t="s">
        <v>4755</v>
      </c>
    </row>
    <row r="4142" spans="1:7" x14ac:dyDescent="0.3">
      <c r="A4142">
        <v>4140</v>
      </c>
      <c r="B4142" t="s">
        <v>4769</v>
      </c>
      <c r="C4142" t="s">
        <v>4451</v>
      </c>
      <c r="D4142">
        <v>175</v>
      </c>
      <c r="E4142">
        <v>140</v>
      </c>
      <c r="F4142" t="s">
        <v>4506</v>
      </c>
      <c r="G4142" t="s">
        <v>4755</v>
      </c>
    </row>
    <row r="4143" spans="1:7" x14ac:dyDescent="0.3">
      <c r="A4143">
        <v>4141</v>
      </c>
      <c r="B4143" t="s">
        <v>4770</v>
      </c>
      <c r="C4143" t="s">
        <v>4424</v>
      </c>
      <c r="D4143">
        <v>175</v>
      </c>
      <c r="E4143">
        <v>140</v>
      </c>
      <c r="F4143" t="s">
        <v>4506</v>
      </c>
      <c r="G4143" t="s">
        <v>4755</v>
      </c>
    </row>
    <row r="4144" spans="1:7" x14ac:dyDescent="0.3">
      <c r="A4144">
        <v>4142</v>
      </c>
      <c r="B4144" t="s">
        <v>4771</v>
      </c>
      <c r="C4144" t="s">
        <v>4303</v>
      </c>
      <c r="D4144">
        <v>295</v>
      </c>
      <c r="E4144">
        <v>221</v>
      </c>
      <c r="F4144" t="s">
        <v>2642</v>
      </c>
      <c r="G4144" t="s">
        <v>4755</v>
      </c>
    </row>
    <row r="4145" spans="1:7" x14ac:dyDescent="0.3">
      <c r="A4145">
        <v>4143</v>
      </c>
      <c r="B4145" t="s">
        <v>4772</v>
      </c>
      <c r="C4145" t="s">
        <v>4424</v>
      </c>
      <c r="D4145">
        <v>349</v>
      </c>
      <c r="E4145">
        <v>279</v>
      </c>
      <c r="F4145" t="s">
        <v>4773</v>
      </c>
      <c r="G4145" t="s">
        <v>4755</v>
      </c>
    </row>
    <row r="4146" spans="1:7" x14ac:dyDescent="0.3">
      <c r="A4146">
        <v>4144</v>
      </c>
      <c r="B4146" t="s">
        <v>4774</v>
      </c>
      <c r="C4146" t="s">
        <v>4451</v>
      </c>
      <c r="D4146">
        <v>699</v>
      </c>
      <c r="E4146">
        <v>479</v>
      </c>
      <c r="F4146" t="s">
        <v>4740</v>
      </c>
      <c r="G4146" t="s">
        <v>4755</v>
      </c>
    </row>
    <row r="4147" spans="1:7" x14ac:dyDescent="0.3">
      <c r="A4147">
        <v>4145</v>
      </c>
      <c r="B4147" t="s">
        <v>4775</v>
      </c>
      <c r="C4147" t="s">
        <v>4169</v>
      </c>
      <c r="D4147">
        <v>295</v>
      </c>
      <c r="E4147">
        <v>250</v>
      </c>
      <c r="F4147" t="s">
        <v>4776</v>
      </c>
      <c r="G4147" t="s">
        <v>4755</v>
      </c>
    </row>
    <row r="4148" spans="1:7" x14ac:dyDescent="0.3">
      <c r="A4148">
        <v>4146</v>
      </c>
      <c r="B4148" t="s">
        <v>4777</v>
      </c>
      <c r="C4148" t="s">
        <v>4169</v>
      </c>
      <c r="D4148">
        <v>295</v>
      </c>
      <c r="E4148">
        <v>195</v>
      </c>
      <c r="F4148" t="s">
        <v>4776</v>
      </c>
      <c r="G4148" t="s">
        <v>4755</v>
      </c>
    </row>
    <row r="4149" spans="1:7" x14ac:dyDescent="0.3">
      <c r="A4149">
        <v>4147</v>
      </c>
      <c r="B4149" t="s">
        <v>4778</v>
      </c>
      <c r="C4149" t="s">
        <v>4424</v>
      </c>
      <c r="D4149">
        <v>349</v>
      </c>
      <c r="E4149">
        <v>279</v>
      </c>
      <c r="F4149" t="s">
        <v>4773</v>
      </c>
      <c r="G4149" t="s">
        <v>4755</v>
      </c>
    </row>
    <row r="4150" spans="1:7" x14ac:dyDescent="0.3">
      <c r="A4150">
        <v>4148</v>
      </c>
      <c r="B4150" t="s">
        <v>4779</v>
      </c>
      <c r="C4150" t="s">
        <v>4169</v>
      </c>
      <c r="D4150">
        <v>295</v>
      </c>
      <c r="E4150">
        <v>195</v>
      </c>
      <c r="F4150" t="s">
        <v>4776</v>
      </c>
      <c r="G4150" t="s">
        <v>4755</v>
      </c>
    </row>
    <row r="4151" spans="1:7" x14ac:dyDescent="0.3">
      <c r="A4151">
        <v>4149</v>
      </c>
      <c r="B4151" t="s">
        <v>4780</v>
      </c>
      <c r="C4151" t="s">
        <v>4451</v>
      </c>
      <c r="D4151">
        <v>699</v>
      </c>
      <c r="E4151">
        <v>448</v>
      </c>
      <c r="F4151" t="s">
        <v>4740</v>
      </c>
      <c r="G4151" t="s">
        <v>4755</v>
      </c>
    </row>
    <row r="4152" spans="1:7" x14ac:dyDescent="0.3">
      <c r="A4152">
        <v>4150</v>
      </c>
      <c r="B4152" t="s">
        <v>4781</v>
      </c>
      <c r="C4152" t="s">
        <v>4169</v>
      </c>
      <c r="D4152">
        <v>295</v>
      </c>
      <c r="E4152">
        <v>250</v>
      </c>
      <c r="F4152" t="s">
        <v>4776</v>
      </c>
      <c r="G4152" t="s">
        <v>4755</v>
      </c>
    </row>
    <row r="4153" spans="1:7" x14ac:dyDescent="0.3">
      <c r="A4153">
        <v>4151</v>
      </c>
      <c r="B4153" t="s">
        <v>4782</v>
      </c>
      <c r="C4153" t="s">
        <v>4451</v>
      </c>
      <c r="D4153">
        <v>699</v>
      </c>
      <c r="E4153">
        <v>448</v>
      </c>
      <c r="F4153" t="s">
        <v>4740</v>
      </c>
      <c r="G4153" t="s">
        <v>4755</v>
      </c>
    </row>
    <row r="4154" spans="1:7" x14ac:dyDescent="0.3">
      <c r="A4154">
        <v>4152</v>
      </c>
      <c r="B4154" t="s">
        <v>4783</v>
      </c>
      <c r="C4154" t="s">
        <v>4169</v>
      </c>
      <c r="D4154">
        <v>295</v>
      </c>
      <c r="E4154">
        <v>195</v>
      </c>
      <c r="F4154" t="s">
        <v>4776</v>
      </c>
      <c r="G4154" t="s">
        <v>4755</v>
      </c>
    </row>
    <row r="4155" spans="1:7" x14ac:dyDescent="0.3">
      <c r="A4155">
        <v>4153</v>
      </c>
      <c r="B4155" t="s">
        <v>4784</v>
      </c>
      <c r="C4155" t="s">
        <v>4424</v>
      </c>
      <c r="D4155">
        <v>349</v>
      </c>
      <c r="E4155">
        <v>240</v>
      </c>
      <c r="F4155" t="s">
        <v>4773</v>
      </c>
      <c r="G4155" t="s">
        <v>4755</v>
      </c>
    </row>
    <row r="4156" spans="1:7" x14ac:dyDescent="0.3">
      <c r="A4156">
        <v>4154</v>
      </c>
      <c r="B4156" t="s">
        <v>4785</v>
      </c>
      <c r="C4156" t="s">
        <v>4424</v>
      </c>
      <c r="D4156">
        <v>349</v>
      </c>
      <c r="E4156">
        <v>240</v>
      </c>
      <c r="F4156" t="s">
        <v>4773</v>
      </c>
      <c r="G4156" t="s">
        <v>4755</v>
      </c>
    </row>
    <row r="4157" spans="1:7" x14ac:dyDescent="0.3">
      <c r="A4157">
        <v>4155</v>
      </c>
      <c r="B4157" t="s">
        <v>4786</v>
      </c>
      <c r="C4157" t="s">
        <v>4451</v>
      </c>
      <c r="D4157">
        <v>699</v>
      </c>
      <c r="E4157">
        <v>448</v>
      </c>
      <c r="F4157" t="s">
        <v>4740</v>
      </c>
      <c r="G4157" t="s">
        <v>4755</v>
      </c>
    </row>
    <row r="4158" spans="1:7" x14ac:dyDescent="0.3">
      <c r="A4158">
        <v>4156</v>
      </c>
      <c r="B4158" t="s">
        <v>4787</v>
      </c>
      <c r="C4158" t="s">
        <v>4169</v>
      </c>
      <c r="D4158">
        <v>295</v>
      </c>
      <c r="E4158">
        <v>197</v>
      </c>
      <c r="F4158" t="s">
        <v>4776</v>
      </c>
      <c r="G4158" t="s">
        <v>4755</v>
      </c>
    </row>
    <row r="4159" spans="1:7" x14ac:dyDescent="0.3">
      <c r="A4159">
        <v>4157</v>
      </c>
      <c r="B4159" t="s">
        <v>4788</v>
      </c>
      <c r="C4159" t="s">
        <v>4451</v>
      </c>
      <c r="D4159">
        <v>699</v>
      </c>
      <c r="E4159">
        <v>448</v>
      </c>
      <c r="F4159" t="s">
        <v>4740</v>
      </c>
      <c r="G4159" t="s">
        <v>4755</v>
      </c>
    </row>
    <row r="4160" spans="1:7" x14ac:dyDescent="0.3">
      <c r="A4160">
        <v>4158</v>
      </c>
      <c r="B4160" t="s">
        <v>4789</v>
      </c>
      <c r="C4160" t="s">
        <v>4424</v>
      </c>
      <c r="D4160">
        <v>349</v>
      </c>
      <c r="E4160">
        <v>239</v>
      </c>
      <c r="F4160" t="s">
        <v>4773</v>
      </c>
      <c r="G4160" t="s">
        <v>4755</v>
      </c>
    </row>
    <row r="4161" spans="1:7" x14ac:dyDescent="0.3">
      <c r="A4161">
        <v>4159</v>
      </c>
      <c r="B4161" t="s">
        <v>4790</v>
      </c>
      <c r="C4161" t="s">
        <v>4209</v>
      </c>
      <c r="D4161">
        <v>249</v>
      </c>
      <c r="E4161">
        <v>187</v>
      </c>
      <c r="F4161" t="s">
        <v>4506</v>
      </c>
      <c r="G4161" t="s">
        <v>4755</v>
      </c>
    </row>
    <row r="4162" spans="1:7" x14ac:dyDescent="0.3">
      <c r="A4162">
        <v>4160</v>
      </c>
      <c r="B4162" t="s">
        <v>4791</v>
      </c>
      <c r="C4162" t="s">
        <v>4209</v>
      </c>
      <c r="D4162">
        <v>249</v>
      </c>
      <c r="E4162">
        <v>175</v>
      </c>
      <c r="F4162" t="s">
        <v>4506</v>
      </c>
      <c r="G4162" t="s">
        <v>4755</v>
      </c>
    </row>
    <row r="4163" spans="1:7" x14ac:dyDescent="0.3">
      <c r="A4163">
        <v>4161</v>
      </c>
      <c r="B4163" t="s">
        <v>4792</v>
      </c>
      <c r="C4163" t="s">
        <v>4209</v>
      </c>
      <c r="D4163">
        <v>249</v>
      </c>
      <c r="E4163">
        <v>175</v>
      </c>
      <c r="F4163" t="s">
        <v>4506</v>
      </c>
      <c r="G4163" t="s">
        <v>4755</v>
      </c>
    </row>
    <row r="4164" spans="1:7" x14ac:dyDescent="0.3">
      <c r="A4164">
        <v>4162</v>
      </c>
      <c r="B4164" t="s">
        <v>4793</v>
      </c>
      <c r="C4164" t="s">
        <v>4209</v>
      </c>
      <c r="D4164">
        <v>299</v>
      </c>
      <c r="E4164">
        <v>210</v>
      </c>
      <c r="F4164" t="s">
        <v>4506</v>
      </c>
      <c r="G4164" t="s">
        <v>4755</v>
      </c>
    </row>
    <row r="4165" spans="1:7" x14ac:dyDescent="0.3">
      <c r="A4165">
        <v>4163</v>
      </c>
      <c r="B4165" t="s">
        <v>4794</v>
      </c>
      <c r="C4165" t="s">
        <v>4424</v>
      </c>
      <c r="D4165">
        <v>299</v>
      </c>
      <c r="E4165">
        <v>239</v>
      </c>
      <c r="F4165" t="s">
        <v>4795</v>
      </c>
      <c r="G4165" t="s">
        <v>4755</v>
      </c>
    </row>
    <row r="4166" spans="1:7" x14ac:dyDescent="0.3">
      <c r="A4166">
        <v>4164</v>
      </c>
      <c r="B4166" t="s">
        <v>4796</v>
      </c>
      <c r="C4166" t="s">
        <v>4209</v>
      </c>
      <c r="D4166">
        <v>299</v>
      </c>
      <c r="E4166">
        <v>210</v>
      </c>
      <c r="F4166" t="s">
        <v>4506</v>
      </c>
      <c r="G4166" t="s">
        <v>4755</v>
      </c>
    </row>
    <row r="4167" spans="1:7" x14ac:dyDescent="0.3">
      <c r="A4167">
        <v>4165</v>
      </c>
      <c r="B4167" t="s">
        <v>4797</v>
      </c>
      <c r="C4167" t="s">
        <v>4209</v>
      </c>
      <c r="D4167">
        <v>249</v>
      </c>
      <c r="E4167">
        <v>187</v>
      </c>
      <c r="F4167" t="s">
        <v>4506</v>
      </c>
      <c r="G4167" t="s">
        <v>4755</v>
      </c>
    </row>
    <row r="4168" spans="1:7" x14ac:dyDescent="0.3">
      <c r="A4168">
        <v>4166</v>
      </c>
      <c r="B4168" t="s">
        <v>4798</v>
      </c>
      <c r="C4168" t="s">
        <v>4169</v>
      </c>
      <c r="D4168">
        <v>284</v>
      </c>
      <c r="E4168">
        <v>245</v>
      </c>
      <c r="F4168" t="s">
        <v>4325</v>
      </c>
      <c r="G4168" t="s">
        <v>4755</v>
      </c>
    </row>
    <row r="4169" spans="1:7" x14ac:dyDescent="0.3">
      <c r="A4169">
        <v>4167</v>
      </c>
      <c r="B4169" t="s">
        <v>4799</v>
      </c>
      <c r="C4169" t="s">
        <v>4459</v>
      </c>
      <c r="D4169">
        <v>95</v>
      </c>
      <c r="E4169">
        <v>76</v>
      </c>
      <c r="F4169" t="s">
        <v>4800</v>
      </c>
      <c r="G4169" t="s">
        <v>4755</v>
      </c>
    </row>
    <row r="4170" spans="1:7" x14ac:dyDescent="0.3">
      <c r="A4170">
        <v>4168</v>
      </c>
      <c r="B4170" t="s">
        <v>4801</v>
      </c>
      <c r="C4170" t="s">
        <v>4424</v>
      </c>
      <c r="D4170">
        <v>299</v>
      </c>
      <c r="E4170">
        <v>239</v>
      </c>
      <c r="F4170" t="s">
        <v>4795</v>
      </c>
      <c r="G4170" t="s">
        <v>4755</v>
      </c>
    </row>
    <row r="4171" spans="1:7" x14ac:dyDescent="0.3">
      <c r="A4171">
        <v>4169</v>
      </c>
      <c r="B4171" t="s">
        <v>4802</v>
      </c>
      <c r="C4171" t="s">
        <v>4209</v>
      </c>
      <c r="D4171">
        <v>249</v>
      </c>
      <c r="E4171">
        <v>187</v>
      </c>
      <c r="F4171" t="s">
        <v>4506</v>
      </c>
      <c r="G4171" t="s">
        <v>4755</v>
      </c>
    </row>
    <row r="4172" spans="1:7" x14ac:dyDescent="0.3">
      <c r="A4172">
        <v>4170</v>
      </c>
      <c r="B4172" t="s">
        <v>4803</v>
      </c>
      <c r="C4172" t="s">
        <v>4209</v>
      </c>
      <c r="D4172">
        <v>799</v>
      </c>
      <c r="E4172">
        <v>445</v>
      </c>
      <c r="F4172" t="s">
        <v>4804</v>
      </c>
      <c r="G4172" t="s">
        <v>4755</v>
      </c>
    </row>
    <row r="4173" spans="1:7" x14ac:dyDescent="0.3">
      <c r="A4173">
        <v>4171</v>
      </c>
      <c r="B4173" t="s">
        <v>4805</v>
      </c>
      <c r="C4173" t="s">
        <v>4209</v>
      </c>
      <c r="D4173">
        <v>249</v>
      </c>
      <c r="E4173">
        <v>175</v>
      </c>
      <c r="F4173" t="s">
        <v>4506</v>
      </c>
      <c r="G4173" t="s">
        <v>4755</v>
      </c>
    </row>
    <row r="4174" spans="1:7" x14ac:dyDescent="0.3">
      <c r="A4174">
        <v>4172</v>
      </c>
      <c r="B4174" t="s">
        <v>4806</v>
      </c>
      <c r="C4174" t="s">
        <v>4459</v>
      </c>
      <c r="D4174">
        <v>99</v>
      </c>
      <c r="E4174">
        <v>79</v>
      </c>
      <c r="F4174" t="s">
        <v>4800</v>
      </c>
      <c r="G4174" t="s">
        <v>4755</v>
      </c>
    </row>
    <row r="4175" spans="1:7" x14ac:dyDescent="0.3">
      <c r="A4175">
        <v>4173</v>
      </c>
      <c r="B4175" t="s">
        <v>4807</v>
      </c>
      <c r="C4175" t="s">
        <v>4424</v>
      </c>
      <c r="D4175">
        <v>299</v>
      </c>
      <c r="E4175">
        <v>239</v>
      </c>
      <c r="F4175" t="s">
        <v>4795</v>
      </c>
      <c r="G4175" t="s">
        <v>4755</v>
      </c>
    </row>
    <row r="4176" spans="1:7" x14ac:dyDescent="0.3">
      <c r="A4176">
        <v>4174</v>
      </c>
      <c r="B4176" t="s">
        <v>4808</v>
      </c>
      <c r="C4176" t="s">
        <v>4424</v>
      </c>
      <c r="D4176">
        <v>299</v>
      </c>
      <c r="E4176">
        <v>239</v>
      </c>
      <c r="F4176" t="s">
        <v>4795</v>
      </c>
      <c r="G4176" t="s">
        <v>4755</v>
      </c>
    </row>
    <row r="4177" spans="1:7" x14ac:dyDescent="0.3">
      <c r="A4177">
        <v>4175</v>
      </c>
      <c r="B4177" t="s">
        <v>4809</v>
      </c>
      <c r="C4177" t="s">
        <v>4459</v>
      </c>
      <c r="D4177">
        <v>120</v>
      </c>
      <c r="E4177">
        <v>96</v>
      </c>
      <c r="F4177" t="s">
        <v>4506</v>
      </c>
      <c r="G4177" t="s">
        <v>4755</v>
      </c>
    </row>
    <row r="4178" spans="1:7" x14ac:dyDescent="0.3">
      <c r="A4178">
        <v>4176</v>
      </c>
      <c r="B4178" t="s">
        <v>4810</v>
      </c>
      <c r="C4178" t="s">
        <v>4209</v>
      </c>
      <c r="D4178">
        <v>799</v>
      </c>
      <c r="E4178">
        <v>445</v>
      </c>
      <c r="F4178" t="s">
        <v>4804</v>
      </c>
      <c r="G4178" t="s">
        <v>4755</v>
      </c>
    </row>
    <row r="4179" spans="1:7" x14ac:dyDescent="0.3">
      <c r="A4179">
        <v>4177</v>
      </c>
      <c r="B4179" t="s">
        <v>4811</v>
      </c>
      <c r="C4179" t="s">
        <v>4169</v>
      </c>
      <c r="D4179">
        <v>295</v>
      </c>
      <c r="E4179">
        <v>195</v>
      </c>
      <c r="F4179" t="s">
        <v>4776</v>
      </c>
      <c r="G4179" t="s">
        <v>4755</v>
      </c>
    </row>
    <row r="4180" spans="1:7" x14ac:dyDescent="0.3">
      <c r="A4180">
        <v>4178</v>
      </c>
      <c r="B4180" t="s">
        <v>4812</v>
      </c>
      <c r="C4180" t="s">
        <v>4424</v>
      </c>
      <c r="D4180">
        <v>325</v>
      </c>
      <c r="E4180">
        <v>239</v>
      </c>
      <c r="F4180" t="s">
        <v>4795</v>
      </c>
      <c r="G4180" t="s">
        <v>4755</v>
      </c>
    </row>
    <row r="4181" spans="1:7" x14ac:dyDescent="0.3">
      <c r="A4181">
        <v>4179</v>
      </c>
      <c r="B4181" t="s">
        <v>4813</v>
      </c>
      <c r="C4181" t="s">
        <v>4424</v>
      </c>
      <c r="D4181">
        <v>299</v>
      </c>
      <c r="E4181">
        <v>239</v>
      </c>
      <c r="F4181" t="s">
        <v>4795</v>
      </c>
      <c r="G4181" t="s">
        <v>4755</v>
      </c>
    </row>
    <row r="4182" spans="1:7" x14ac:dyDescent="0.3">
      <c r="A4182">
        <v>4180</v>
      </c>
      <c r="B4182" t="s">
        <v>4814</v>
      </c>
      <c r="C4182" t="s">
        <v>4209</v>
      </c>
      <c r="D4182">
        <v>249</v>
      </c>
      <c r="E4182">
        <v>142</v>
      </c>
      <c r="F4182" t="s">
        <v>4506</v>
      </c>
      <c r="G4182" t="s">
        <v>4755</v>
      </c>
    </row>
    <row r="4183" spans="1:7" x14ac:dyDescent="0.3">
      <c r="A4183">
        <v>4181</v>
      </c>
      <c r="B4183" t="s">
        <v>4815</v>
      </c>
      <c r="C4183" t="s">
        <v>4169</v>
      </c>
      <c r="D4183">
        <v>295</v>
      </c>
      <c r="E4183">
        <v>200</v>
      </c>
      <c r="F4183" t="s">
        <v>4776</v>
      </c>
      <c r="G4183" t="s">
        <v>4755</v>
      </c>
    </row>
    <row r="4184" spans="1:7" x14ac:dyDescent="0.3">
      <c r="A4184">
        <v>4182</v>
      </c>
      <c r="B4184" t="s">
        <v>4816</v>
      </c>
      <c r="C4184" t="s">
        <v>4209</v>
      </c>
      <c r="D4184">
        <v>299</v>
      </c>
      <c r="E4184">
        <v>210</v>
      </c>
      <c r="F4184" t="s">
        <v>4506</v>
      </c>
      <c r="G4184" t="s">
        <v>4755</v>
      </c>
    </row>
    <row r="4185" spans="1:7" x14ac:dyDescent="0.3">
      <c r="A4185">
        <v>4183</v>
      </c>
      <c r="B4185" t="s">
        <v>4817</v>
      </c>
      <c r="C4185" t="s">
        <v>4209</v>
      </c>
      <c r="D4185">
        <v>799</v>
      </c>
      <c r="E4185">
        <v>445</v>
      </c>
      <c r="F4185" t="s">
        <v>4804</v>
      </c>
      <c r="G4185" t="s">
        <v>4755</v>
      </c>
    </row>
    <row r="4186" spans="1:7" x14ac:dyDescent="0.3">
      <c r="A4186">
        <v>4184</v>
      </c>
      <c r="B4186" t="s">
        <v>4818</v>
      </c>
      <c r="C4186" t="s">
        <v>4459</v>
      </c>
      <c r="D4186">
        <v>99</v>
      </c>
      <c r="E4186">
        <v>76</v>
      </c>
      <c r="F4186" t="s">
        <v>4800</v>
      </c>
      <c r="G4186" t="s">
        <v>4755</v>
      </c>
    </row>
    <row r="4187" spans="1:7" x14ac:dyDescent="0.3">
      <c r="A4187">
        <v>4185</v>
      </c>
      <c r="B4187" t="s">
        <v>4819</v>
      </c>
      <c r="C4187" t="s">
        <v>4209</v>
      </c>
      <c r="D4187">
        <v>299</v>
      </c>
      <c r="E4187">
        <v>170</v>
      </c>
      <c r="F4187" t="s">
        <v>4506</v>
      </c>
      <c r="G4187" t="s">
        <v>4755</v>
      </c>
    </row>
    <row r="4188" spans="1:7" x14ac:dyDescent="0.3">
      <c r="A4188">
        <v>4186</v>
      </c>
      <c r="B4188" t="s">
        <v>4820</v>
      </c>
      <c r="C4188" t="s">
        <v>4459</v>
      </c>
      <c r="D4188">
        <v>85</v>
      </c>
      <c r="E4188">
        <v>68</v>
      </c>
      <c r="F4188" t="s">
        <v>4821</v>
      </c>
      <c r="G4188" t="s">
        <v>4755</v>
      </c>
    </row>
    <row r="4189" spans="1:7" x14ac:dyDescent="0.3">
      <c r="A4189">
        <v>4187</v>
      </c>
      <c r="B4189" t="s">
        <v>4822</v>
      </c>
      <c r="C4189" t="s">
        <v>4459</v>
      </c>
      <c r="D4189">
        <v>95</v>
      </c>
      <c r="E4189">
        <v>76</v>
      </c>
      <c r="F4189" t="s">
        <v>4800</v>
      </c>
      <c r="G4189" t="s">
        <v>4755</v>
      </c>
    </row>
    <row r="4190" spans="1:7" x14ac:dyDescent="0.3">
      <c r="A4190">
        <v>4188</v>
      </c>
      <c r="B4190" t="s">
        <v>4823</v>
      </c>
      <c r="C4190" t="s">
        <v>4209</v>
      </c>
      <c r="D4190">
        <v>799</v>
      </c>
      <c r="E4190">
        <v>445</v>
      </c>
      <c r="F4190" t="s">
        <v>4804</v>
      </c>
      <c r="G4190" t="s">
        <v>4755</v>
      </c>
    </row>
    <row r="4191" spans="1:7" x14ac:dyDescent="0.3">
      <c r="A4191">
        <v>4189</v>
      </c>
      <c r="B4191" t="s">
        <v>4824</v>
      </c>
      <c r="C4191" t="s">
        <v>4209</v>
      </c>
      <c r="D4191">
        <v>299</v>
      </c>
      <c r="E4191">
        <v>170</v>
      </c>
      <c r="F4191" t="s">
        <v>4506</v>
      </c>
      <c r="G4191" t="s">
        <v>4755</v>
      </c>
    </row>
    <row r="4192" spans="1:7" x14ac:dyDescent="0.3">
      <c r="A4192">
        <v>4190</v>
      </c>
      <c r="B4192" t="s">
        <v>4825</v>
      </c>
      <c r="C4192" t="s">
        <v>4209</v>
      </c>
      <c r="D4192">
        <v>299</v>
      </c>
      <c r="E4192">
        <v>170</v>
      </c>
      <c r="F4192" t="s">
        <v>4506</v>
      </c>
      <c r="G4192" t="s">
        <v>4755</v>
      </c>
    </row>
    <row r="4193" spans="1:7" x14ac:dyDescent="0.3">
      <c r="A4193">
        <v>4191</v>
      </c>
      <c r="B4193" t="s">
        <v>4826</v>
      </c>
      <c r="C4193" t="s">
        <v>4209</v>
      </c>
      <c r="D4193">
        <v>249</v>
      </c>
      <c r="E4193">
        <v>169</v>
      </c>
      <c r="F4193" t="s">
        <v>4506</v>
      </c>
      <c r="G4193" t="s">
        <v>4755</v>
      </c>
    </row>
    <row r="4194" spans="1:7" x14ac:dyDescent="0.3">
      <c r="A4194">
        <v>4192</v>
      </c>
      <c r="B4194" t="s">
        <v>4827</v>
      </c>
      <c r="C4194" t="s">
        <v>2234</v>
      </c>
      <c r="D4194">
        <v>325</v>
      </c>
      <c r="E4194">
        <v>260</v>
      </c>
      <c r="F4194" t="s">
        <v>4821</v>
      </c>
      <c r="G4194" t="s">
        <v>4755</v>
      </c>
    </row>
    <row r="4195" spans="1:7" x14ac:dyDescent="0.3">
      <c r="A4195">
        <v>4193</v>
      </c>
      <c r="B4195" t="s">
        <v>4828</v>
      </c>
      <c r="C4195" t="s">
        <v>4459</v>
      </c>
      <c r="D4195">
        <v>240</v>
      </c>
      <c r="E4195">
        <v>192</v>
      </c>
      <c r="F4195" t="s">
        <v>4018</v>
      </c>
      <c r="G4195" t="s">
        <v>4755</v>
      </c>
    </row>
    <row r="4196" spans="1:7" x14ac:dyDescent="0.3">
      <c r="A4196">
        <v>4194</v>
      </c>
      <c r="B4196" t="s">
        <v>4829</v>
      </c>
      <c r="C4196" t="s">
        <v>4459</v>
      </c>
      <c r="D4196">
        <v>99</v>
      </c>
      <c r="E4196">
        <v>76</v>
      </c>
      <c r="F4196" t="s">
        <v>4800</v>
      </c>
      <c r="G4196" t="s">
        <v>4755</v>
      </c>
    </row>
    <row r="4197" spans="1:7" x14ac:dyDescent="0.3">
      <c r="A4197">
        <v>4195</v>
      </c>
      <c r="B4197" t="s">
        <v>4830</v>
      </c>
      <c r="C4197" t="s">
        <v>4209</v>
      </c>
      <c r="D4197">
        <v>799</v>
      </c>
      <c r="E4197">
        <v>445</v>
      </c>
      <c r="F4197" t="s">
        <v>4804</v>
      </c>
      <c r="G4197" t="s">
        <v>4755</v>
      </c>
    </row>
    <row r="4198" spans="1:7" x14ac:dyDescent="0.3">
      <c r="A4198">
        <v>4196</v>
      </c>
      <c r="B4198" t="s">
        <v>4831</v>
      </c>
      <c r="C4198" t="s">
        <v>4209</v>
      </c>
      <c r="D4198">
        <v>799</v>
      </c>
      <c r="E4198">
        <v>445</v>
      </c>
      <c r="F4198" t="s">
        <v>4804</v>
      </c>
      <c r="G4198" t="s">
        <v>4755</v>
      </c>
    </row>
    <row r="4199" spans="1:7" x14ac:dyDescent="0.3">
      <c r="A4199">
        <v>4197</v>
      </c>
      <c r="B4199" t="s">
        <v>4832</v>
      </c>
      <c r="C4199" t="s">
        <v>4459</v>
      </c>
      <c r="D4199">
        <v>120</v>
      </c>
      <c r="E4199">
        <v>96</v>
      </c>
      <c r="F4199" t="s">
        <v>4506</v>
      </c>
      <c r="G4199" t="s">
        <v>4755</v>
      </c>
    </row>
    <row r="4200" spans="1:7" x14ac:dyDescent="0.3">
      <c r="A4200">
        <v>4198</v>
      </c>
      <c r="B4200" t="s">
        <v>4833</v>
      </c>
      <c r="C4200" t="s">
        <v>4209</v>
      </c>
      <c r="D4200">
        <v>299</v>
      </c>
      <c r="E4200">
        <v>170</v>
      </c>
      <c r="F4200" t="s">
        <v>4506</v>
      </c>
      <c r="G4200" t="s">
        <v>4755</v>
      </c>
    </row>
    <row r="4201" spans="1:7" x14ac:dyDescent="0.3">
      <c r="A4201">
        <v>4199</v>
      </c>
      <c r="B4201" t="s">
        <v>4834</v>
      </c>
      <c r="C4201" t="s">
        <v>4459</v>
      </c>
      <c r="D4201">
        <v>99</v>
      </c>
      <c r="E4201">
        <v>76</v>
      </c>
      <c r="F4201" t="s">
        <v>4800</v>
      </c>
      <c r="G4201" t="s">
        <v>4755</v>
      </c>
    </row>
    <row r="4202" spans="1:7" x14ac:dyDescent="0.3">
      <c r="A4202">
        <v>4200</v>
      </c>
      <c r="B4202" t="s">
        <v>4835</v>
      </c>
      <c r="C4202" t="s">
        <v>4169</v>
      </c>
      <c r="D4202">
        <v>275</v>
      </c>
      <c r="E4202">
        <v>196</v>
      </c>
      <c r="F4202" t="s">
        <v>4325</v>
      </c>
      <c r="G4202" t="s">
        <v>4755</v>
      </c>
    </row>
    <row r="4203" spans="1:7" x14ac:dyDescent="0.3">
      <c r="A4203">
        <v>4201</v>
      </c>
      <c r="B4203" t="s">
        <v>4836</v>
      </c>
      <c r="C4203" t="s">
        <v>4459</v>
      </c>
      <c r="D4203">
        <v>99</v>
      </c>
      <c r="E4203">
        <v>76</v>
      </c>
      <c r="F4203" t="s">
        <v>4800</v>
      </c>
      <c r="G4203" t="s">
        <v>4755</v>
      </c>
    </row>
    <row r="4204" spans="1:7" x14ac:dyDescent="0.3">
      <c r="A4204">
        <v>4202</v>
      </c>
      <c r="B4204" t="s">
        <v>4837</v>
      </c>
      <c r="C4204" t="s">
        <v>4209</v>
      </c>
      <c r="D4204">
        <v>799</v>
      </c>
      <c r="E4204">
        <v>445</v>
      </c>
      <c r="F4204" t="s">
        <v>4804</v>
      </c>
      <c r="G4204" t="s">
        <v>4755</v>
      </c>
    </row>
    <row r="4205" spans="1:7" x14ac:dyDescent="0.3">
      <c r="A4205">
        <v>4203</v>
      </c>
      <c r="B4205" t="s">
        <v>4838</v>
      </c>
      <c r="C4205" t="s">
        <v>4209</v>
      </c>
      <c r="D4205">
        <v>299</v>
      </c>
      <c r="E4205">
        <v>170</v>
      </c>
      <c r="F4205" t="s">
        <v>4506</v>
      </c>
      <c r="G4205" t="s">
        <v>4755</v>
      </c>
    </row>
    <row r="4206" spans="1:7" x14ac:dyDescent="0.3">
      <c r="A4206">
        <v>4204</v>
      </c>
      <c r="B4206" t="s">
        <v>4839</v>
      </c>
      <c r="C4206" t="s">
        <v>4169</v>
      </c>
      <c r="D4206">
        <v>275</v>
      </c>
      <c r="E4206">
        <v>245</v>
      </c>
      <c r="F4206" t="s">
        <v>4325</v>
      </c>
      <c r="G4206" t="s">
        <v>4755</v>
      </c>
    </row>
    <row r="4207" spans="1:7" x14ac:dyDescent="0.3">
      <c r="A4207">
        <v>4205</v>
      </c>
      <c r="B4207" t="s">
        <v>4840</v>
      </c>
      <c r="C4207" t="s">
        <v>4424</v>
      </c>
      <c r="D4207">
        <v>299</v>
      </c>
      <c r="E4207">
        <v>208</v>
      </c>
      <c r="F4207" t="s">
        <v>4795</v>
      </c>
      <c r="G4207" t="s">
        <v>4755</v>
      </c>
    </row>
    <row r="4208" spans="1:7" x14ac:dyDescent="0.3">
      <c r="A4208">
        <v>4206</v>
      </c>
      <c r="B4208" t="s">
        <v>4841</v>
      </c>
      <c r="C4208" t="s">
        <v>4459</v>
      </c>
      <c r="D4208">
        <v>85</v>
      </c>
      <c r="E4208">
        <v>68</v>
      </c>
      <c r="F4208" t="s">
        <v>4821</v>
      </c>
      <c r="G4208" t="s">
        <v>4755</v>
      </c>
    </row>
    <row r="4209" spans="1:7" x14ac:dyDescent="0.3">
      <c r="A4209">
        <v>4207</v>
      </c>
      <c r="B4209" t="s">
        <v>4842</v>
      </c>
      <c r="C4209" t="s">
        <v>4209</v>
      </c>
      <c r="D4209">
        <v>799</v>
      </c>
      <c r="E4209">
        <v>445</v>
      </c>
      <c r="F4209" t="s">
        <v>4804</v>
      </c>
      <c r="G4209" t="s">
        <v>4755</v>
      </c>
    </row>
    <row r="4210" spans="1:7" x14ac:dyDescent="0.3">
      <c r="A4210">
        <v>4208</v>
      </c>
      <c r="B4210" t="s">
        <v>4843</v>
      </c>
      <c r="C4210" t="s">
        <v>4459</v>
      </c>
      <c r="D4210">
        <v>120</v>
      </c>
      <c r="E4210">
        <v>96</v>
      </c>
      <c r="F4210" t="s">
        <v>4506</v>
      </c>
      <c r="G4210" t="s">
        <v>4755</v>
      </c>
    </row>
    <row r="4211" spans="1:7" x14ac:dyDescent="0.3">
      <c r="A4211">
        <v>4209</v>
      </c>
      <c r="B4211" t="s">
        <v>4844</v>
      </c>
      <c r="C4211" t="s">
        <v>4424</v>
      </c>
      <c r="D4211">
        <v>299</v>
      </c>
      <c r="E4211">
        <v>220</v>
      </c>
      <c r="F4211" t="s">
        <v>4795</v>
      </c>
      <c r="G4211" t="s">
        <v>4755</v>
      </c>
    </row>
    <row r="4212" spans="1:7" x14ac:dyDescent="0.3">
      <c r="A4212">
        <v>4210</v>
      </c>
      <c r="B4212" t="s">
        <v>4845</v>
      </c>
      <c r="C4212" t="s">
        <v>4459</v>
      </c>
      <c r="D4212">
        <v>240</v>
      </c>
      <c r="E4212">
        <v>192</v>
      </c>
      <c r="F4212" t="s">
        <v>4018</v>
      </c>
      <c r="G4212" t="s">
        <v>4755</v>
      </c>
    </row>
    <row r="4213" spans="1:7" x14ac:dyDescent="0.3">
      <c r="A4213">
        <v>4211</v>
      </c>
      <c r="B4213" t="s">
        <v>4846</v>
      </c>
      <c r="C4213" t="s">
        <v>4459</v>
      </c>
      <c r="D4213">
        <v>85</v>
      </c>
      <c r="E4213">
        <v>49</v>
      </c>
      <c r="F4213" t="s">
        <v>4821</v>
      </c>
      <c r="G4213" t="s">
        <v>4755</v>
      </c>
    </row>
    <row r="4214" spans="1:7" x14ac:dyDescent="0.3">
      <c r="A4214">
        <v>4212</v>
      </c>
      <c r="B4214" t="s">
        <v>4847</v>
      </c>
      <c r="C4214" t="s">
        <v>4459</v>
      </c>
      <c r="D4214">
        <v>85</v>
      </c>
      <c r="E4214">
        <v>49</v>
      </c>
      <c r="F4214" t="s">
        <v>4821</v>
      </c>
      <c r="G4214" t="s">
        <v>4755</v>
      </c>
    </row>
    <row r="4215" spans="1:7" x14ac:dyDescent="0.3">
      <c r="A4215">
        <v>4213</v>
      </c>
      <c r="B4215" t="s">
        <v>4848</v>
      </c>
      <c r="C4215" t="s">
        <v>4424</v>
      </c>
      <c r="D4215">
        <v>299</v>
      </c>
      <c r="E4215">
        <v>207</v>
      </c>
      <c r="F4215" t="s">
        <v>4795</v>
      </c>
      <c r="G4215" t="s">
        <v>4755</v>
      </c>
    </row>
    <row r="4216" spans="1:7" x14ac:dyDescent="0.3">
      <c r="A4216">
        <v>4214</v>
      </c>
      <c r="B4216" t="s">
        <v>4849</v>
      </c>
      <c r="C4216" t="s">
        <v>4459</v>
      </c>
      <c r="D4216">
        <v>240</v>
      </c>
      <c r="E4216">
        <v>192</v>
      </c>
      <c r="F4216" t="s">
        <v>4018</v>
      </c>
      <c r="G4216" t="s">
        <v>4755</v>
      </c>
    </row>
    <row r="4217" spans="1:7" x14ac:dyDescent="0.3">
      <c r="A4217">
        <v>4215</v>
      </c>
      <c r="B4217" t="s">
        <v>4850</v>
      </c>
      <c r="C4217" t="s">
        <v>4169</v>
      </c>
      <c r="D4217">
        <v>275</v>
      </c>
      <c r="E4217">
        <v>188</v>
      </c>
      <c r="F4217" t="s">
        <v>4325</v>
      </c>
      <c r="G4217" t="s">
        <v>4755</v>
      </c>
    </row>
    <row r="4218" spans="1:7" x14ac:dyDescent="0.3">
      <c r="A4218">
        <v>4216</v>
      </c>
      <c r="B4218" t="s">
        <v>4851</v>
      </c>
      <c r="C4218" t="s">
        <v>4169</v>
      </c>
      <c r="D4218">
        <v>275</v>
      </c>
      <c r="E4218">
        <v>192</v>
      </c>
      <c r="F4218" t="s">
        <v>4325</v>
      </c>
      <c r="G4218" t="s">
        <v>4755</v>
      </c>
    </row>
    <row r="4219" spans="1:7" x14ac:dyDescent="0.3">
      <c r="A4219">
        <v>4217</v>
      </c>
      <c r="B4219" t="s">
        <v>4852</v>
      </c>
      <c r="C4219" t="s">
        <v>4459</v>
      </c>
      <c r="D4219">
        <v>85</v>
      </c>
      <c r="E4219">
        <v>49</v>
      </c>
      <c r="F4219" t="s">
        <v>4821</v>
      </c>
      <c r="G4219" t="s">
        <v>4755</v>
      </c>
    </row>
    <row r="4220" spans="1:7" x14ac:dyDescent="0.3">
      <c r="A4220">
        <v>4218</v>
      </c>
      <c r="B4220" t="s">
        <v>4853</v>
      </c>
      <c r="C4220" t="s">
        <v>4459</v>
      </c>
      <c r="D4220">
        <v>240</v>
      </c>
      <c r="E4220">
        <v>192</v>
      </c>
      <c r="F4220" t="s">
        <v>4018</v>
      </c>
      <c r="G4220" t="s">
        <v>4755</v>
      </c>
    </row>
    <row r="4221" spans="1:7" x14ac:dyDescent="0.3">
      <c r="A4221">
        <v>4219</v>
      </c>
      <c r="B4221" t="s">
        <v>4854</v>
      </c>
      <c r="C4221" t="s">
        <v>4459</v>
      </c>
      <c r="D4221">
        <v>85</v>
      </c>
      <c r="E4221">
        <v>68</v>
      </c>
      <c r="F4221" t="s">
        <v>4821</v>
      </c>
      <c r="G4221" t="s">
        <v>4755</v>
      </c>
    </row>
    <row r="4222" spans="1:7" x14ac:dyDescent="0.3">
      <c r="A4222">
        <v>4220</v>
      </c>
      <c r="B4222" t="s">
        <v>4855</v>
      </c>
      <c r="C4222" t="s">
        <v>4459</v>
      </c>
      <c r="D4222">
        <v>240</v>
      </c>
      <c r="E4222">
        <v>192</v>
      </c>
      <c r="F4222" t="s">
        <v>4018</v>
      </c>
      <c r="G4222" t="s">
        <v>4755</v>
      </c>
    </row>
    <row r="4223" spans="1:7" x14ac:dyDescent="0.3">
      <c r="A4223">
        <v>4221</v>
      </c>
      <c r="B4223" t="s">
        <v>4856</v>
      </c>
      <c r="C4223" t="s">
        <v>4459</v>
      </c>
      <c r="D4223">
        <v>240</v>
      </c>
      <c r="E4223">
        <v>114</v>
      </c>
      <c r="F4223" t="s">
        <v>4857</v>
      </c>
      <c r="G4223" t="s">
        <v>4755</v>
      </c>
    </row>
    <row r="4224" spans="1:7" x14ac:dyDescent="0.3">
      <c r="A4224">
        <v>4222</v>
      </c>
      <c r="B4224" t="s">
        <v>4858</v>
      </c>
      <c r="C4224" t="s">
        <v>4459</v>
      </c>
      <c r="D4224">
        <v>240</v>
      </c>
      <c r="E4224">
        <v>192</v>
      </c>
      <c r="F4224" t="s">
        <v>4018</v>
      </c>
      <c r="G4224" t="s">
        <v>4755</v>
      </c>
    </row>
    <row r="4225" spans="1:7" x14ac:dyDescent="0.3">
      <c r="A4225">
        <v>4223</v>
      </c>
      <c r="B4225" t="s">
        <v>4859</v>
      </c>
      <c r="C4225" t="s">
        <v>4459</v>
      </c>
      <c r="D4225">
        <v>240</v>
      </c>
      <c r="E4225">
        <v>192</v>
      </c>
      <c r="F4225" t="s">
        <v>4018</v>
      </c>
      <c r="G4225" t="s">
        <v>4755</v>
      </c>
    </row>
    <row r="4226" spans="1:7" x14ac:dyDescent="0.3">
      <c r="A4226">
        <v>4224</v>
      </c>
      <c r="B4226" t="s">
        <v>4860</v>
      </c>
      <c r="C4226" t="s">
        <v>4424</v>
      </c>
      <c r="D4226">
        <v>299</v>
      </c>
      <c r="E4226">
        <v>207</v>
      </c>
      <c r="F4226" t="s">
        <v>4795</v>
      </c>
      <c r="G4226" t="s">
        <v>4755</v>
      </c>
    </row>
    <row r="4227" spans="1:7" x14ac:dyDescent="0.3">
      <c r="A4227">
        <v>4225</v>
      </c>
      <c r="B4227" t="s">
        <v>4861</v>
      </c>
      <c r="C4227" t="s">
        <v>4169</v>
      </c>
      <c r="D4227">
        <v>275</v>
      </c>
      <c r="E4227">
        <v>188</v>
      </c>
      <c r="F4227" t="s">
        <v>4325</v>
      </c>
      <c r="G4227" t="s">
        <v>4755</v>
      </c>
    </row>
    <row r="4228" spans="1:7" x14ac:dyDescent="0.3">
      <c r="A4228">
        <v>4226</v>
      </c>
      <c r="B4228" t="s">
        <v>4862</v>
      </c>
      <c r="C4228" t="s">
        <v>4169</v>
      </c>
      <c r="D4228">
        <v>295</v>
      </c>
      <c r="E4228">
        <v>195</v>
      </c>
      <c r="F4228" t="s">
        <v>4776</v>
      </c>
      <c r="G4228" t="s">
        <v>4755</v>
      </c>
    </row>
    <row r="4229" spans="1:7" x14ac:dyDescent="0.3">
      <c r="A4229">
        <v>4227</v>
      </c>
      <c r="B4229" t="s">
        <v>4863</v>
      </c>
      <c r="C4229" t="s">
        <v>4169</v>
      </c>
      <c r="D4229">
        <v>284</v>
      </c>
      <c r="E4229">
        <v>190</v>
      </c>
      <c r="F4229" t="s">
        <v>4325</v>
      </c>
      <c r="G4229" t="s">
        <v>4755</v>
      </c>
    </row>
    <row r="4230" spans="1:7" x14ac:dyDescent="0.3">
      <c r="A4230">
        <v>4228</v>
      </c>
      <c r="B4230" t="s">
        <v>4864</v>
      </c>
      <c r="C4230" t="s">
        <v>4169</v>
      </c>
      <c r="D4230">
        <v>295</v>
      </c>
      <c r="E4230">
        <v>195</v>
      </c>
      <c r="F4230" t="s">
        <v>4776</v>
      </c>
      <c r="G4230" t="s">
        <v>4755</v>
      </c>
    </row>
    <row r="4231" spans="1:7" x14ac:dyDescent="0.3">
      <c r="A4231">
        <v>4229</v>
      </c>
      <c r="B4231" t="s">
        <v>4865</v>
      </c>
      <c r="C4231" t="s">
        <v>4459</v>
      </c>
      <c r="D4231">
        <v>240</v>
      </c>
      <c r="E4231">
        <v>192</v>
      </c>
      <c r="F4231" t="s">
        <v>4857</v>
      </c>
      <c r="G4231" t="s">
        <v>4755</v>
      </c>
    </row>
    <row r="4232" spans="1:7" x14ac:dyDescent="0.3">
      <c r="A4232">
        <v>4230</v>
      </c>
      <c r="B4232" t="s">
        <v>4866</v>
      </c>
      <c r="C4232" t="s">
        <v>4459</v>
      </c>
      <c r="D4232">
        <v>240</v>
      </c>
      <c r="E4232">
        <v>113</v>
      </c>
      <c r="F4232" t="s">
        <v>4857</v>
      </c>
      <c r="G4232" t="s">
        <v>4755</v>
      </c>
    </row>
    <row r="4233" spans="1:7" x14ac:dyDescent="0.3">
      <c r="A4233">
        <v>4231</v>
      </c>
      <c r="B4233" t="s">
        <v>4867</v>
      </c>
      <c r="C4233" t="s">
        <v>4209</v>
      </c>
      <c r="D4233">
        <v>799</v>
      </c>
      <c r="E4233">
        <v>445</v>
      </c>
      <c r="F4233" t="s">
        <v>4804</v>
      </c>
      <c r="G4233" t="s">
        <v>4755</v>
      </c>
    </row>
    <row r="4234" spans="1:7" x14ac:dyDescent="0.3">
      <c r="A4234">
        <v>4232</v>
      </c>
      <c r="B4234" t="s">
        <v>4868</v>
      </c>
      <c r="C4234" t="s">
        <v>4209</v>
      </c>
      <c r="D4234">
        <v>299</v>
      </c>
      <c r="E4234">
        <v>170</v>
      </c>
      <c r="F4234" t="s">
        <v>4506</v>
      </c>
      <c r="G4234" t="s">
        <v>4755</v>
      </c>
    </row>
    <row r="4235" spans="1:7" x14ac:dyDescent="0.3">
      <c r="A4235">
        <v>4233</v>
      </c>
      <c r="B4235" t="s">
        <v>4869</v>
      </c>
      <c r="C4235" t="s">
        <v>4169</v>
      </c>
      <c r="D4235">
        <v>275</v>
      </c>
      <c r="E4235">
        <v>191</v>
      </c>
      <c r="F4235" t="s">
        <v>4325</v>
      </c>
      <c r="G4235" t="s">
        <v>4755</v>
      </c>
    </row>
    <row r="4236" spans="1:7" x14ac:dyDescent="0.3">
      <c r="A4236">
        <v>4234</v>
      </c>
      <c r="B4236" t="s">
        <v>4870</v>
      </c>
      <c r="C4236" t="s">
        <v>4459</v>
      </c>
      <c r="D4236">
        <v>120</v>
      </c>
      <c r="E4236">
        <v>59</v>
      </c>
      <c r="F4236" t="s">
        <v>4506</v>
      </c>
      <c r="G4236" t="s">
        <v>4755</v>
      </c>
    </row>
    <row r="4237" spans="1:7" x14ac:dyDescent="0.3">
      <c r="A4237">
        <v>4235</v>
      </c>
      <c r="B4237" t="s">
        <v>4871</v>
      </c>
      <c r="C4237" t="s">
        <v>4459</v>
      </c>
      <c r="D4237">
        <v>85</v>
      </c>
      <c r="E4237">
        <v>68</v>
      </c>
      <c r="F4237" t="s">
        <v>4821</v>
      </c>
      <c r="G4237" t="s">
        <v>4755</v>
      </c>
    </row>
    <row r="4238" spans="1:7" x14ac:dyDescent="0.3">
      <c r="A4238">
        <v>4236</v>
      </c>
      <c r="B4238" t="s">
        <v>4872</v>
      </c>
      <c r="C4238" t="s">
        <v>4459</v>
      </c>
      <c r="D4238">
        <v>240</v>
      </c>
      <c r="E4238">
        <v>113</v>
      </c>
      <c r="F4238" t="s">
        <v>4857</v>
      </c>
      <c r="G4238" t="s">
        <v>4755</v>
      </c>
    </row>
    <row r="4239" spans="1:7" x14ac:dyDescent="0.3">
      <c r="A4239">
        <v>4237</v>
      </c>
      <c r="B4239" t="s">
        <v>4873</v>
      </c>
      <c r="C4239" t="s">
        <v>4459</v>
      </c>
      <c r="D4239">
        <v>120</v>
      </c>
      <c r="E4239">
        <v>59</v>
      </c>
      <c r="F4239" t="s">
        <v>4506</v>
      </c>
      <c r="G4239" t="s">
        <v>4755</v>
      </c>
    </row>
    <row r="4240" spans="1:7" x14ac:dyDescent="0.3">
      <c r="A4240">
        <v>4238</v>
      </c>
      <c r="B4240" t="s">
        <v>4874</v>
      </c>
      <c r="C4240" t="s">
        <v>4169</v>
      </c>
      <c r="D4240">
        <v>525</v>
      </c>
      <c r="E4240">
        <v>355</v>
      </c>
      <c r="F4240" t="s">
        <v>4875</v>
      </c>
      <c r="G4240" t="s">
        <v>4755</v>
      </c>
    </row>
    <row r="4241" spans="1:7" x14ac:dyDescent="0.3">
      <c r="A4241">
        <v>4239</v>
      </c>
      <c r="B4241" t="s">
        <v>4876</v>
      </c>
      <c r="C4241" t="s">
        <v>4459</v>
      </c>
      <c r="D4241">
        <v>240</v>
      </c>
      <c r="E4241">
        <v>113</v>
      </c>
      <c r="F4241" t="s">
        <v>4857</v>
      </c>
      <c r="G4241" t="s">
        <v>4755</v>
      </c>
    </row>
    <row r="4242" spans="1:7" x14ac:dyDescent="0.3">
      <c r="A4242">
        <v>4240</v>
      </c>
      <c r="B4242" t="s">
        <v>4877</v>
      </c>
      <c r="C4242" t="s">
        <v>4459</v>
      </c>
      <c r="D4242">
        <v>240</v>
      </c>
      <c r="E4242">
        <v>113</v>
      </c>
      <c r="F4242" t="s">
        <v>4018</v>
      </c>
      <c r="G4242" t="s">
        <v>4755</v>
      </c>
    </row>
    <row r="4243" spans="1:7" x14ac:dyDescent="0.3">
      <c r="A4243">
        <v>4241</v>
      </c>
      <c r="B4243" t="s">
        <v>4878</v>
      </c>
      <c r="C4243" t="s">
        <v>4169</v>
      </c>
      <c r="D4243">
        <v>500</v>
      </c>
      <c r="E4243">
        <v>329</v>
      </c>
      <c r="F4243" t="s">
        <v>4875</v>
      </c>
      <c r="G4243" t="s">
        <v>4755</v>
      </c>
    </row>
    <row r="4244" spans="1:7" x14ac:dyDescent="0.3">
      <c r="A4244">
        <v>4242</v>
      </c>
      <c r="B4244" t="s">
        <v>4879</v>
      </c>
      <c r="C4244" t="s">
        <v>4169</v>
      </c>
      <c r="D4244">
        <v>295</v>
      </c>
      <c r="E4244">
        <v>194</v>
      </c>
      <c r="F4244" t="s">
        <v>4776</v>
      </c>
      <c r="G4244" t="s">
        <v>4755</v>
      </c>
    </row>
    <row r="4245" spans="1:7" x14ac:dyDescent="0.3">
      <c r="A4245">
        <v>4243</v>
      </c>
      <c r="B4245" t="s">
        <v>4880</v>
      </c>
      <c r="C4245" t="s">
        <v>4169</v>
      </c>
      <c r="D4245">
        <v>525</v>
      </c>
      <c r="E4245">
        <v>279</v>
      </c>
      <c r="F4245" t="s">
        <v>4875</v>
      </c>
      <c r="G4245" t="s">
        <v>4755</v>
      </c>
    </row>
    <row r="4246" spans="1:7" x14ac:dyDescent="0.3">
      <c r="A4246">
        <v>4244</v>
      </c>
      <c r="B4246" t="s">
        <v>4881</v>
      </c>
      <c r="C4246" t="s">
        <v>4459</v>
      </c>
      <c r="D4246">
        <v>120</v>
      </c>
      <c r="E4246">
        <v>96</v>
      </c>
      <c r="F4246" t="s">
        <v>4506</v>
      </c>
      <c r="G4246" t="s">
        <v>4755</v>
      </c>
    </row>
    <row r="4247" spans="1:7" x14ac:dyDescent="0.3">
      <c r="A4247">
        <v>4245</v>
      </c>
      <c r="B4247" t="s">
        <v>4882</v>
      </c>
      <c r="C4247" t="s">
        <v>4169</v>
      </c>
      <c r="D4247">
        <v>295</v>
      </c>
      <c r="E4247">
        <v>195</v>
      </c>
      <c r="F4247" t="s">
        <v>4776</v>
      </c>
      <c r="G4247" t="s">
        <v>4755</v>
      </c>
    </row>
    <row r="4248" spans="1:7" x14ac:dyDescent="0.3">
      <c r="A4248">
        <v>4246</v>
      </c>
      <c r="B4248" t="s">
        <v>4883</v>
      </c>
      <c r="C4248" t="s">
        <v>4459</v>
      </c>
      <c r="D4248">
        <v>240</v>
      </c>
      <c r="E4248">
        <v>113</v>
      </c>
      <c r="F4248" t="s">
        <v>4857</v>
      </c>
      <c r="G4248" t="s">
        <v>4755</v>
      </c>
    </row>
    <row r="4249" spans="1:7" x14ac:dyDescent="0.3">
      <c r="A4249">
        <v>4247</v>
      </c>
      <c r="B4249" t="s">
        <v>4884</v>
      </c>
      <c r="C4249" t="s">
        <v>4459</v>
      </c>
      <c r="D4249">
        <v>240</v>
      </c>
      <c r="E4249">
        <v>113</v>
      </c>
      <c r="F4249" t="s">
        <v>4857</v>
      </c>
      <c r="G4249" t="s">
        <v>4755</v>
      </c>
    </row>
    <row r="4250" spans="1:7" x14ac:dyDescent="0.3">
      <c r="A4250">
        <v>4248</v>
      </c>
      <c r="B4250" t="s">
        <v>4885</v>
      </c>
      <c r="C4250" t="s">
        <v>4169</v>
      </c>
      <c r="D4250">
        <v>525</v>
      </c>
      <c r="E4250">
        <v>279</v>
      </c>
      <c r="F4250" t="s">
        <v>4875</v>
      </c>
      <c r="G4250" t="s">
        <v>4755</v>
      </c>
    </row>
    <row r="4251" spans="1:7" x14ac:dyDescent="0.3">
      <c r="A4251">
        <v>4249</v>
      </c>
      <c r="B4251" t="s">
        <v>4886</v>
      </c>
      <c r="C4251" t="s">
        <v>4459</v>
      </c>
      <c r="D4251">
        <v>240</v>
      </c>
      <c r="E4251">
        <v>113</v>
      </c>
      <c r="F4251" t="s">
        <v>4857</v>
      </c>
      <c r="G4251" t="s">
        <v>4755</v>
      </c>
    </row>
    <row r="4252" spans="1:7" x14ac:dyDescent="0.3">
      <c r="A4252">
        <v>4250</v>
      </c>
      <c r="B4252" t="s">
        <v>4887</v>
      </c>
      <c r="C4252" t="s">
        <v>4459</v>
      </c>
      <c r="D4252">
        <v>240</v>
      </c>
      <c r="E4252">
        <v>192</v>
      </c>
      <c r="F4252" t="s">
        <v>4018</v>
      </c>
      <c r="G4252" t="s">
        <v>4755</v>
      </c>
    </row>
    <row r="4253" spans="1:7" x14ac:dyDescent="0.3">
      <c r="A4253">
        <v>4251</v>
      </c>
      <c r="B4253" t="s">
        <v>4888</v>
      </c>
      <c r="C4253" t="s">
        <v>4459</v>
      </c>
      <c r="D4253">
        <v>240</v>
      </c>
      <c r="E4253">
        <v>113</v>
      </c>
      <c r="F4253" t="s">
        <v>4857</v>
      </c>
      <c r="G4253" t="s">
        <v>4755</v>
      </c>
    </row>
    <row r="4254" spans="1:7" x14ac:dyDescent="0.3">
      <c r="A4254">
        <v>4252</v>
      </c>
      <c r="B4254" t="s">
        <v>4889</v>
      </c>
      <c r="C4254" t="s">
        <v>4169</v>
      </c>
      <c r="D4254">
        <v>295</v>
      </c>
      <c r="E4254">
        <v>195</v>
      </c>
      <c r="F4254" t="s">
        <v>4776</v>
      </c>
      <c r="G4254" t="s">
        <v>4755</v>
      </c>
    </row>
    <row r="4255" spans="1:7" x14ac:dyDescent="0.3">
      <c r="A4255">
        <v>4253</v>
      </c>
      <c r="B4255" t="s">
        <v>4890</v>
      </c>
      <c r="C4255" t="s">
        <v>4169</v>
      </c>
      <c r="D4255">
        <v>295</v>
      </c>
      <c r="E4255">
        <v>195</v>
      </c>
      <c r="F4255" t="s">
        <v>4776</v>
      </c>
      <c r="G4255" t="s">
        <v>4755</v>
      </c>
    </row>
    <row r="4256" spans="1:7" x14ac:dyDescent="0.3">
      <c r="A4256">
        <v>4254</v>
      </c>
      <c r="B4256" t="s">
        <v>4891</v>
      </c>
      <c r="C4256" t="s">
        <v>4169</v>
      </c>
      <c r="D4256">
        <v>295</v>
      </c>
      <c r="E4256">
        <v>195</v>
      </c>
      <c r="F4256" t="s">
        <v>4776</v>
      </c>
      <c r="G4256" t="s">
        <v>4755</v>
      </c>
    </row>
    <row r="4257" spans="1:7" x14ac:dyDescent="0.3">
      <c r="A4257">
        <v>4255</v>
      </c>
      <c r="B4257" t="s">
        <v>4892</v>
      </c>
      <c r="C4257" t="s">
        <v>4169</v>
      </c>
      <c r="D4257">
        <v>525</v>
      </c>
      <c r="E4257">
        <v>262</v>
      </c>
      <c r="F4257" t="s">
        <v>4875</v>
      </c>
      <c r="G4257" t="s">
        <v>4755</v>
      </c>
    </row>
    <row r="4258" spans="1:7" x14ac:dyDescent="0.3">
      <c r="A4258">
        <v>4256</v>
      </c>
      <c r="B4258" t="s">
        <v>4893</v>
      </c>
      <c r="C4258" t="s">
        <v>4169</v>
      </c>
      <c r="D4258">
        <v>525</v>
      </c>
      <c r="E4258">
        <v>279</v>
      </c>
      <c r="F4258" t="s">
        <v>4875</v>
      </c>
      <c r="G4258" t="s">
        <v>4755</v>
      </c>
    </row>
    <row r="4259" spans="1:7" x14ac:dyDescent="0.3">
      <c r="A4259">
        <v>4257</v>
      </c>
      <c r="B4259" t="s">
        <v>4894</v>
      </c>
      <c r="C4259" t="s">
        <v>4169</v>
      </c>
      <c r="D4259">
        <v>295</v>
      </c>
      <c r="E4259">
        <v>194</v>
      </c>
      <c r="F4259" t="s">
        <v>4776</v>
      </c>
      <c r="G4259" t="s">
        <v>4755</v>
      </c>
    </row>
    <row r="4260" spans="1:7" x14ac:dyDescent="0.3">
      <c r="A4260">
        <v>4258</v>
      </c>
      <c r="B4260" t="s">
        <v>4895</v>
      </c>
      <c r="C4260" t="s">
        <v>4424</v>
      </c>
      <c r="D4260">
        <v>299</v>
      </c>
      <c r="E4260">
        <v>239</v>
      </c>
      <c r="F4260" t="s">
        <v>4795</v>
      </c>
      <c r="G4260" t="s">
        <v>4755</v>
      </c>
    </row>
    <row r="4261" spans="1:7" x14ac:dyDescent="0.3">
      <c r="A4261">
        <v>4259</v>
      </c>
      <c r="B4261" t="s">
        <v>4896</v>
      </c>
      <c r="C4261" t="s">
        <v>4209</v>
      </c>
      <c r="D4261">
        <v>99</v>
      </c>
      <c r="E4261">
        <v>75</v>
      </c>
      <c r="F4261" t="s">
        <v>4345</v>
      </c>
      <c r="G4261" t="s">
        <v>4897</v>
      </c>
    </row>
    <row r="4262" spans="1:7" x14ac:dyDescent="0.3">
      <c r="A4262">
        <v>4260</v>
      </c>
      <c r="B4262" t="s">
        <v>4898</v>
      </c>
      <c r="C4262" t="s">
        <v>4209</v>
      </c>
      <c r="D4262">
        <v>250</v>
      </c>
      <c r="E4262">
        <v>188</v>
      </c>
      <c r="F4262" t="s">
        <v>4899</v>
      </c>
      <c r="G4262" t="s">
        <v>4897</v>
      </c>
    </row>
    <row r="4263" spans="1:7" x14ac:dyDescent="0.3">
      <c r="A4263">
        <v>4261</v>
      </c>
      <c r="B4263" t="s">
        <v>4900</v>
      </c>
      <c r="C4263" t="s">
        <v>4209</v>
      </c>
      <c r="D4263">
        <v>119</v>
      </c>
      <c r="E4263">
        <v>96</v>
      </c>
      <c r="F4263" t="s">
        <v>3057</v>
      </c>
      <c r="G4263" t="s">
        <v>4897</v>
      </c>
    </row>
    <row r="4264" spans="1:7" x14ac:dyDescent="0.3">
      <c r="A4264">
        <v>4262</v>
      </c>
      <c r="B4264" t="s">
        <v>4901</v>
      </c>
      <c r="C4264" t="s">
        <v>4209</v>
      </c>
      <c r="D4264">
        <v>119</v>
      </c>
      <c r="E4264">
        <v>96</v>
      </c>
      <c r="F4264" t="s">
        <v>3057</v>
      </c>
      <c r="G4264" t="s">
        <v>4897</v>
      </c>
    </row>
    <row r="4265" spans="1:7" x14ac:dyDescent="0.3">
      <c r="A4265">
        <v>4263</v>
      </c>
      <c r="B4265" t="s">
        <v>4902</v>
      </c>
      <c r="C4265" t="s">
        <v>4169</v>
      </c>
      <c r="D4265">
        <v>180</v>
      </c>
      <c r="E4265">
        <v>90</v>
      </c>
      <c r="F4265" t="s">
        <v>4520</v>
      </c>
      <c r="G4265" t="s">
        <v>4897</v>
      </c>
    </row>
    <row r="4266" spans="1:7" x14ac:dyDescent="0.3">
      <c r="A4266">
        <v>4264</v>
      </c>
      <c r="B4266" t="s">
        <v>4903</v>
      </c>
      <c r="C4266" t="s">
        <v>4169</v>
      </c>
      <c r="D4266">
        <v>180</v>
      </c>
      <c r="E4266">
        <v>90</v>
      </c>
      <c r="F4266" t="s">
        <v>4520</v>
      </c>
      <c r="G4266" t="s">
        <v>4897</v>
      </c>
    </row>
    <row r="4267" spans="1:7" x14ac:dyDescent="0.3">
      <c r="A4267">
        <v>4265</v>
      </c>
      <c r="B4267" t="s">
        <v>4904</v>
      </c>
      <c r="C4267" t="s">
        <v>4169</v>
      </c>
      <c r="D4267">
        <v>180</v>
      </c>
      <c r="E4267">
        <v>90</v>
      </c>
      <c r="F4267" t="s">
        <v>4520</v>
      </c>
      <c r="G4267" t="s">
        <v>4897</v>
      </c>
    </row>
    <row r="4268" spans="1:7" x14ac:dyDescent="0.3">
      <c r="A4268">
        <v>4266</v>
      </c>
      <c r="B4268" t="s">
        <v>4905</v>
      </c>
      <c r="C4268" t="s">
        <v>4169</v>
      </c>
      <c r="D4268">
        <v>180</v>
      </c>
      <c r="E4268">
        <v>90</v>
      </c>
      <c r="F4268" t="s">
        <v>4520</v>
      </c>
      <c r="G4268" t="s">
        <v>4897</v>
      </c>
    </row>
    <row r="4269" spans="1:7" x14ac:dyDescent="0.3">
      <c r="A4269">
        <v>4267</v>
      </c>
      <c r="B4269" t="s">
        <v>4906</v>
      </c>
      <c r="C4269" t="s">
        <v>4169</v>
      </c>
      <c r="D4269">
        <v>180</v>
      </c>
      <c r="E4269">
        <v>90</v>
      </c>
      <c r="F4269" t="s">
        <v>4520</v>
      </c>
      <c r="G4269" t="s">
        <v>4897</v>
      </c>
    </row>
    <row r="4270" spans="1:7" x14ac:dyDescent="0.3">
      <c r="A4270">
        <v>4268</v>
      </c>
      <c r="B4270" t="s">
        <v>4907</v>
      </c>
      <c r="C4270" t="s">
        <v>4169</v>
      </c>
      <c r="D4270">
        <v>180</v>
      </c>
      <c r="E4270">
        <v>88</v>
      </c>
      <c r="F4270" t="s">
        <v>4520</v>
      </c>
      <c r="G4270" t="s">
        <v>4897</v>
      </c>
    </row>
    <row r="4271" spans="1:7" x14ac:dyDescent="0.3">
      <c r="A4271">
        <v>4269</v>
      </c>
      <c r="B4271" t="s">
        <v>4908</v>
      </c>
      <c r="C4271" t="s">
        <v>4209</v>
      </c>
      <c r="D4271">
        <v>119</v>
      </c>
      <c r="E4271">
        <v>95</v>
      </c>
      <c r="F4271" t="s">
        <v>3057</v>
      </c>
      <c r="G4271" t="s">
        <v>4897</v>
      </c>
    </row>
    <row r="4272" spans="1:7" x14ac:dyDescent="0.3">
      <c r="A4272">
        <v>4270</v>
      </c>
      <c r="B4272" t="s">
        <v>4909</v>
      </c>
      <c r="C4272" t="s">
        <v>4209</v>
      </c>
      <c r="D4272">
        <v>119</v>
      </c>
      <c r="E4272">
        <v>85</v>
      </c>
      <c r="F4272" t="s">
        <v>3057</v>
      </c>
      <c r="G4272" t="s">
        <v>4897</v>
      </c>
    </row>
    <row r="4273" spans="1:7" x14ac:dyDescent="0.3">
      <c r="A4273">
        <v>4271</v>
      </c>
      <c r="B4273" t="s">
        <v>4910</v>
      </c>
      <c r="C4273" t="s">
        <v>4209</v>
      </c>
      <c r="D4273">
        <v>119</v>
      </c>
      <c r="E4273">
        <v>85</v>
      </c>
      <c r="F4273" t="s">
        <v>3057</v>
      </c>
      <c r="G4273" t="s">
        <v>4897</v>
      </c>
    </row>
    <row r="4274" spans="1:7" x14ac:dyDescent="0.3">
      <c r="A4274">
        <v>4272</v>
      </c>
      <c r="B4274" t="s">
        <v>4911</v>
      </c>
      <c r="C4274" t="s">
        <v>4459</v>
      </c>
      <c r="D4274">
        <v>70</v>
      </c>
      <c r="E4274">
        <v>56</v>
      </c>
      <c r="F4274" t="s">
        <v>4719</v>
      </c>
      <c r="G4274" t="s">
        <v>4897</v>
      </c>
    </row>
    <row r="4275" spans="1:7" x14ac:dyDescent="0.3">
      <c r="A4275">
        <v>4273</v>
      </c>
      <c r="B4275" t="s">
        <v>4912</v>
      </c>
      <c r="C4275" t="s">
        <v>4209</v>
      </c>
      <c r="D4275">
        <v>119</v>
      </c>
      <c r="E4275">
        <v>96</v>
      </c>
      <c r="F4275" t="s">
        <v>3057</v>
      </c>
      <c r="G4275" t="s">
        <v>4897</v>
      </c>
    </row>
    <row r="4276" spans="1:7" x14ac:dyDescent="0.3">
      <c r="A4276">
        <v>4274</v>
      </c>
      <c r="B4276" t="s">
        <v>4913</v>
      </c>
      <c r="C4276" t="s">
        <v>4209</v>
      </c>
      <c r="D4276">
        <v>119</v>
      </c>
      <c r="E4276">
        <v>89</v>
      </c>
      <c r="F4276" t="s">
        <v>3057</v>
      </c>
      <c r="G4276" t="s">
        <v>4897</v>
      </c>
    </row>
    <row r="4277" spans="1:7" x14ac:dyDescent="0.3">
      <c r="A4277">
        <v>4275</v>
      </c>
      <c r="B4277" t="s">
        <v>4914</v>
      </c>
      <c r="C4277" t="s">
        <v>4209</v>
      </c>
      <c r="D4277">
        <v>119</v>
      </c>
      <c r="E4277">
        <v>71</v>
      </c>
      <c r="F4277" t="s">
        <v>3057</v>
      </c>
      <c r="G4277" t="s">
        <v>4897</v>
      </c>
    </row>
    <row r="4278" spans="1:7" x14ac:dyDescent="0.3">
      <c r="A4278">
        <v>4276</v>
      </c>
      <c r="B4278" t="s">
        <v>4915</v>
      </c>
      <c r="C4278" t="s">
        <v>4459</v>
      </c>
      <c r="D4278">
        <v>70</v>
      </c>
      <c r="E4278">
        <v>56</v>
      </c>
      <c r="F4278" t="s">
        <v>4719</v>
      </c>
      <c r="G4278" t="s">
        <v>4897</v>
      </c>
    </row>
    <row r="4279" spans="1:7" x14ac:dyDescent="0.3">
      <c r="A4279">
        <v>4277</v>
      </c>
      <c r="B4279" t="s">
        <v>4916</v>
      </c>
      <c r="C4279" t="s">
        <v>4459</v>
      </c>
      <c r="D4279">
        <v>70</v>
      </c>
      <c r="E4279">
        <v>56</v>
      </c>
      <c r="F4279" t="s">
        <v>4719</v>
      </c>
      <c r="G4279" t="s">
        <v>4897</v>
      </c>
    </row>
    <row r="4280" spans="1:7" x14ac:dyDescent="0.3">
      <c r="A4280">
        <v>4278</v>
      </c>
      <c r="B4280" t="s">
        <v>4917</v>
      </c>
      <c r="C4280" t="s">
        <v>4209</v>
      </c>
      <c r="D4280">
        <v>119</v>
      </c>
      <c r="E4280">
        <v>99</v>
      </c>
      <c r="F4280" t="s">
        <v>3057</v>
      </c>
      <c r="G4280" t="s">
        <v>4897</v>
      </c>
    </row>
    <row r="4281" spans="1:7" x14ac:dyDescent="0.3">
      <c r="A4281">
        <v>4279</v>
      </c>
      <c r="B4281" t="s">
        <v>4918</v>
      </c>
      <c r="C4281" t="s">
        <v>4169</v>
      </c>
      <c r="D4281">
        <v>125</v>
      </c>
      <c r="E4281">
        <v>99</v>
      </c>
      <c r="F4281" t="s">
        <v>4719</v>
      </c>
      <c r="G4281" t="s">
        <v>4897</v>
      </c>
    </row>
    <row r="4282" spans="1:7" x14ac:dyDescent="0.3">
      <c r="A4282">
        <v>4280</v>
      </c>
      <c r="B4282" t="s">
        <v>4919</v>
      </c>
      <c r="C4282" t="s">
        <v>4209</v>
      </c>
      <c r="D4282">
        <v>119</v>
      </c>
      <c r="E4282">
        <v>71</v>
      </c>
      <c r="F4282" t="s">
        <v>3057</v>
      </c>
      <c r="G4282" t="s">
        <v>4897</v>
      </c>
    </row>
    <row r="4283" spans="1:7" x14ac:dyDescent="0.3">
      <c r="A4283">
        <v>4281</v>
      </c>
      <c r="B4283" t="s">
        <v>4920</v>
      </c>
      <c r="C4283" t="s">
        <v>4459</v>
      </c>
      <c r="D4283">
        <v>70</v>
      </c>
      <c r="E4283">
        <v>56</v>
      </c>
      <c r="F4283" t="s">
        <v>4719</v>
      </c>
      <c r="G4283" t="s">
        <v>4897</v>
      </c>
    </row>
    <row r="4284" spans="1:7" x14ac:dyDescent="0.3">
      <c r="A4284">
        <v>4282</v>
      </c>
      <c r="B4284" t="s">
        <v>4921</v>
      </c>
      <c r="C4284" t="s">
        <v>4459</v>
      </c>
      <c r="D4284">
        <v>70</v>
      </c>
      <c r="E4284">
        <v>56</v>
      </c>
      <c r="F4284" t="s">
        <v>4719</v>
      </c>
      <c r="G4284" t="s">
        <v>4897</v>
      </c>
    </row>
    <row r="4285" spans="1:7" x14ac:dyDescent="0.3">
      <c r="A4285">
        <v>4283</v>
      </c>
      <c r="B4285" t="s">
        <v>4922</v>
      </c>
      <c r="C4285" t="s">
        <v>4923</v>
      </c>
      <c r="D4285">
        <v>55</v>
      </c>
      <c r="E4285">
        <v>40</v>
      </c>
      <c r="F4285" t="s">
        <v>4924</v>
      </c>
      <c r="G4285" t="s">
        <v>4897</v>
      </c>
    </row>
    <row r="4286" spans="1:7" x14ac:dyDescent="0.3">
      <c r="A4286">
        <v>4284</v>
      </c>
      <c r="B4286" t="s">
        <v>4922</v>
      </c>
      <c r="C4286" t="s">
        <v>4923</v>
      </c>
      <c r="D4286">
        <v>55</v>
      </c>
      <c r="E4286">
        <v>36</v>
      </c>
      <c r="F4286" t="s">
        <v>4925</v>
      </c>
      <c r="G4286" t="s">
        <v>4897</v>
      </c>
    </row>
    <row r="4287" spans="1:7" x14ac:dyDescent="0.3">
      <c r="A4287">
        <v>4285</v>
      </c>
      <c r="B4287" t="s">
        <v>4922</v>
      </c>
      <c r="C4287" t="s">
        <v>4923</v>
      </c>
      <c r="D4287">
        <v>55</v>
      </c>
      <c r="E4287">
        <v>27</v>
      </c>
      <c r="F4287" t="s">
        <v>4926</v>
      </c>
      <c r="G4287" t="s">
        <v>4897</v>
      </c>
    </row>
    <row r="4288" spans="1:7" x14ac:dyDescent="0.3">
      <c r="A4288">
        <v>4286</v>
      </c>
      <c r="B4288" t="s">
        <v>4922</v>
      </c>
      <c r="C4288" t="s">
        <v>4923</v>
      </c>
      <c r="D4288">
        <v>55</v>
      </c>
      <c r="E4288">
        <v>39</v>
      </c>
      <c r="F4288" t="s">
        <v>4927</v>
      </c>
      <c r="G4288" t="s">
        <v>4897</v>
      </c>
    </row>
    <row r="4289" spans="1:7" x14ac:dyDescent="0.3">
      <c r="A4289">
        <v>4287</v>
      </c>
      <c r="B4289" t="s">
        <v>4922</v>
      </c>
      <c r="C4289" t="s">
        <v>4923</v>
      </c>
      <c r="D4289">
        <v>55</v>
      </c>
      <c r="E4289">
        <v>26</v>
      </c>
      <c r="F4289" t="s">
        <v>4928</v>
      </c>
      <c r="G4289" t="s">
        <v>4897</v>
      </c>
    </row>
    <row r="4290" spans="1:7" x14ac:dyDescent="0.3">
      <c r="A4290">
        <v>4288</v>
      </c>
      <c r="B4290" t="s">
        <v>4922</v>
      </c>
      <c r="C4290" t="s">
        <v>4923</v>
      </c>
      <c r="D4290">
        <v>55</v>
      </c>
      <c r="E4290">
        <v>36</v>
      </c>
      <c r="F4290" t="s">
        <v>4929</v>
      </c>
      <c r="G4290" t="s">
        <v>4897</v>
      </c>
    </row>
    <row r="4291" spans="1:7" x14ac:dyDescent="0.3">
      <c r="A4291">
        <v>4289</v>
      </c>
      <c r="B4291" t="s">
        <v>4922</v>
      </c>
      <c r="C4291" t="s">
        <v>4923</v>
      </c>
      <c r="D4291">
        <v>55</v>
      </c>
      <c r="E4291">
        <v>26</v>
      </c>
      <c r="F4291" t="s">
        <v>4930</v>
      </c>
      <c r="G4291" t="s">
        <v>4897</v>
      </c>
    </row>
    <row r="4292" spans="1:7" x14ac:dyDescent="0.3">
      <c r="A4292">
        <v>4290</v>
      </c>
      <c r="B4292" t="s">
        <v>4931</v>
      </c>
      <c r="C4292" t="s">
        <v>4459</v>
      </c>
      <c r="D4292">
        <v>70</v>
      </c>
      <c r="E4292">
        <v>56</v>
      </c>
      <c r="F4292" t="s">
        <v>4719</v>
      </c>
      <c r="G4292" t="s">
        <v>4897</v>
      </c>
    </row>
    <row r="4293" spans="1:7" x14ac:dyDescent="0.3">
      <c r="A4293">
        <v>4291</v>
      </c>
      <c r="B4293" t="s">
        <v>4932</v>
      </c>
      <c r="C4293" t="s">
        <v>4209</v>
      </c>
      <c r="D4293">
        <v>119</v>
      </c>
      <c r="E4293">
        <v>99</v>
      </c>
      <c r="F4293" t="s">
        <v>3057</v>
      </c>
      <c r="G4293" t="s">
        <v>4897</v>
      </c>
    </row>
    <row r="4294" spans="1:7" x14ac:dyDescent="0.3">
      <c r="A4294">
        <v>4292</v>
      </c>
      <c r="B4294" t="s">
        <v>4933</v>
      </c>
      <c r="C4294" t="s">
        <v>4209</v>
      </c>
      <c r="D4294">
        <v>119</v>
      </c>
      <c r="E4294">
        <v>85</v>
      </c>
      <c r="F4294" t="s">
        <v>3057</v>
      </c>
      <c r="G4294" t="s">
        <v>4897</v>
      </c>
    </row>
    <row r="4295" spans="1:7" x14ac:dyDescent="0.3">
      <c r="A4295">
        <v>4293</v>
      </c>
      <c r="B4295" t="s">
        <v>4934</v>
      </c>
      <c r="C4295" t="s">
        <v>4169</v>
      </c>
      <c r="D4295">
        <v>180</v>
      </c>
      <c r="E4295">
        <v>88</v>
      </c>
      <c r="F4295" t="s">
        <v>4520</v>
      </c>
      <c r="G4295" t="s">
        <v>4897</v>
      </c>
    </row>
    <row r="4296" spans="1:7" x14ac:dyDescent="0.3">
      <c r="A4296">
        <v>4294</v>
      </c>
      <c r="B4296" t="s">
        <v>4935</v>
      </c>
      <c r="C4296" t="s">
        <v>4209</v>
      </c>
      <c r="D4296">
        <v>119</v>
      </c>
      <c r="E4296">
        <v>71</v>
      </c>
      <c r="F4296" t="s">
        <v>3057</v>
      </c>
      <c r="G4296" t="s">
        <v>4897</v>
      </c>
    </row>
    <row r="4297" spans="1:7" x14ac:dyDescent="0.3">
      <c r="A4297">
        <v>4295</v>
      </c>
      <c r="B4297" t="s">
        <v>4936</v>
      </c>
      <c r="C4297" t="s">
        <v>4169</v>
      </c>
      <c r="D4297">
        <v>125</v>
      </c>
      <c r="E4297">
        <v>99</v>
      </c>
      <c r="F4297" t="s">
        <v>4719</v>
      </c>
      <c r="G4297" t="s">
        <v>4897</v>
      </c>
    </row>
    <row r="4298" spans="1:7" x14ac:dyDescent="0.3">
      <c r="A4298">
        <v>4296</v>
      </c>
      <c r="B4298" t="s">
        <v>4937</v>
      </c>
      <c r="C4298" t="s">
        <v>4459</v>
      </c>
      <c r="D4298">
        <v>70</v>
      </c>
      <c r="E4298">
        <v>56</v>
      </c>
      <c r="F4298" t="s">
        <v>4719</v>
      </c>
      <c r="G4298" t="s">
        <v>4897</v>
      </c>
    </row>
    <row r="4299" spans="1:7" x14ac:dyDescent="0.3">
      <c r="A4299">
        <v>4297</v>
      </c>
      <c r="B4299" t="s">
        <v>4938</v>
      </c>
      <c r="C4299" t="s">
        <v>4209</v>
      </c>
      <c r="D4299">
        <v>119</v>
      </c>
      <c r="E4299">
        <v>96</v>
      </c>
      <c r="F4299" t="s">
        <v>3057</v>
      </c>
      <c r="G4299" t="s">
        <v>4897</v>
      </c>
    </row>
    <row r="4300" spans="1:7" x14ac:dyDescent="0.3">
      <c r="A4300">
        <v>4298</v>
      </c>
      <c r="B4300" t="s">
        <v>4939</v>
      </c>
      <c r="C4300" t="s">
        <v>4209</v>
      </c>
      <c r="D4300">
        <v>119</v>
      </c>
      <c r="E4300">
        <v>96</v>
      </c>
      <c r="F4300" t="s">
        <v>3057</v>
      </c>
      <c r="G4300" t="s">
        <v>4897</v>
      </c>
    </row>
    <row r="4301" spans="1:7" x14ac:dyDescent="0.3">
      <c r="A4301">
        <v>4299</v>
      </c>
      <c r="B4301" t="s">
        <v>4940</v>
      </c>
      <c r="C4301" t="s">
        <v>4209</v>
      </c>
      <c r="D4301">
        <v>119</v>
      </c>
      <c r="E4301">
        <v>95</v>
      </c>
      <c r="F4301" t="s">
        <v>3057</v>
      </c>
      <c r="G4301" t="s">
        <v>4897</v>
      </c>
    </row>
    <row r="4302" spans="1:7" x14ac:dyDescent="0.3">
      <c r="A4302">
        <v>4300</v>
      </c>
      <c r="B4302" t="s">
        <v>4941</v>
      </c>
      <c r="C4302" t="s">
        <v>4209</v>
      </c>
      <c r="D4302">
        <v>119</v>
      </c>
      <c r="E4302">
        <v>85</v>
      </c>
      <c r="F4302" t="s">
        <v>3057</v>
      </c>
      <c r="G4302" t="s">
        <v>4897</v>
      </c>
    </row>
    <row r="4303" spans="1:7" x14ac:dyDescent="0.3">
      <c r="A4303">
        <v>4301</v>
      </c>
      <c r="B4303" t="s">
        <v>4942</v>
      </c>
      <c r="C4303" t="s">
        <v>4209</v>
      </c>
      <c r="D4303">
        <v>119</v>
      </c>
      <c r="E4303">
        <v>71</v>
      </c>
      <c r="F4303" t="s">
        <v>3057</v>
      </c>
      <c r="G4303" t="s">
        <v>4897</v>
      </c>
    </row>
    <row r="4304" spans="1:7" x14ac:dyDescent="0.3">
      <c r="A4304">
        <v>4302</v>
      </c>
      <c r="B4304" t="s">
        <v>4943</v>
      </c>
      <c r="C4304" t="s">
        <v>4459</v>
      </c>
      <c r="D4304">
        <v>70</v>
      </c>
      <c r="E4304">
        <v>49</v>
      </c>
      <c r="F4304" t="s">
        <v>4719</v>
      </c>
      <c r="G4304" t="s">
        <v>4897</v>
      </c>
    </row>
    <row r="4305" spans="1:7" x14ac:dyDescent="0.3">
      <c r="A4305">
        <v>4303</v>
      </c>
      <c r="B4305" t="s">
        <v>4944</v>
      </c>
      <c r="C4305" t="s">
        <v>4459</v>
      </c>
      <c r="D4305">
        <v>70</v>
      </c>
      <c r="E4305">
        <v>56</v>
      </c>
      <c r="F4305" t="s">
        <v>4719</v>
      </c>
      <c r="G4305" t="s">
        <v>4897</v>
      </c>
    </row>
    <row r="4306" spans="1:7" x14ac:dyDescent="0.3">
      <c r="A4306">
        <v>4304</v>
      </c>
      <c r="B4306" t="s">
        <v>4945</v>
      </c>
      <c r="C4306" t="s">
        <v>4923</v>
      </c>
      <c r="D4306">
        <v>55</v>
      </c>
      <c r="E4306">
        <v>39</v>
      </c>
      <c r="F4306" t="s">
        <v>4740</v>
      </c>
      <c r="G4306" t="s">
        <v>4897</v>
      </c>
    </row>
    <row r="4307" spans="1:7" x14ac:dyDescent="0.3">
      <c r="A4307">
        <v>4305</v>
      </c>
      <c r="B4307" t="s">
        <v>4946</v>
      </c>
      <c r="C4307" t="s">
        <v>4459</v>
      </c>
      <c r="D4307">
        <v>70</v>
      </c>
      <c r="E4307">
        <v>49</v>
      </c>
      <c r="F4307" t="s">
        <v>4719</v>
      </c>
      <c r="G4307" t="s">
        <v>4897</v>
      </c>
    </row>
    <row r="4308" spans="1:7" x14ac:dyDescent="0.3">
      <c r="A4308">
        <v>4306</v>
      </c>
      <c r="B4308" t="s">
        <v>4947</v>
      </c>
      <c r="C4308" t="s">
        <v>4459</v>
      </c>
      <c r="D4308">
        <v>70</v>
      </c>
      <c r="E4308">
        <v>56</v>
      </c>
      <c r="F4308" t="s">
        <v>4719</v>
      </c>
      <c r="G4308" t="s">
        <v>4897</v>
      </c>
    </row>
    <row r="4309" spans="1:7" x14ac:dyDescent="0.3">
      <c r="A4309">
        <v>4307</v>
      </c>
      <c r="B4309" t="s">
        <v>4948</v>
      </c>
      <c r="C4309" t="s">
        <v>4459</v>
      </c>
      <c r="D4309">
        <v>70</v>
      </c>
      <c r="E4309">
        <v>56</v>
      </c>
      <c r="F4309" t="s">
        <v>4719</v>
      </c>
      <c r="G4309" t="s">
        <v>4897</v>
      </c>
    </row>
    <row r="4310" spans="1:7" x14ac:dyDescent="0.3">
      <c r="A4310">
        <v>4308</v>
      </c>
      <c r="B4310" t="s">
        <v>4949</v>
      </c>
      <c r="C4310" t="s">
        <v>4209</v>
      </c>
      <c r="D4310">
        <v>119</v>
      </c>
      <c r="E4310">
        <v>95</v>
      </c>
      <c r="F4310" t="s">
        <v>3057</v>
      </c>
      <c r="G4310" t="s">
        <v>4897</v>
      </c>
    </row>
    <row r="4311" spans="1:7" x14ac:dyDescent="0.3">
      <c r="A4311">
        <v>4309</v>
      </c>
      <c r="B4311" t="s">
        <v>4950</v>
      </c>
      <c r="C4311" t="s">
        <v>4209</v>
      </c>
      <c r="D4311">
        <v>119</v>
      </c>
      <c r="E4311">
        <v>71</v>
      </c>
      <c r="F4311" t="s">
        <v>3057</v>
      </c>
      <c r="G4311" t="s">
        <v>4897</v>
      </c>
    </row>
    <row r="4312" spans="1:7" x14ac:dyDescent="0.3">
      <c r="A4312">
        <v>4310</v>
      </c>
      <c r="B4312" t="s">
        <v>4951</v>
      </c>
      <c r="C4312" t="s">
        <v>4459</v>
      </c>
      <c r="D4312">
        <v>70</v>
      </c>
      <c r="E4312">
        <v>56</v>
      </c>
      <c r="F4312" t="s">
        <v>4719</v>
      </c>
      <c r="G4312" t="s">
        <v>4897</v>
      </c>
    </row>
    <row r="4313" spans="1:7" x14ac:dyDescent="0.3">
      <c r="A4313">
        <v>4311</v>
      </c>
      <c r="B4313" t="s">
        <v>4952</v>
      </c>
      <c r="C4313" t="s">
        <v>4923</v>
      </c>
      <c r="D4313">
        <v>55</v>
      </c>
      <c r="E4313">
        <v>36</v>
      </c>
      <c r="F4313" t="s">
        <v>4740</v>
      </c>
      <c r="G4313" t="s">
        <v>4897</v>
      </c>
    </row>
    <row r="4314" spans="1:7" x14ac:dyDescent="0.3">
      <c r="A4314">
        <v>4312</v>
      </c>
      <c r="B4314" t="s">
        <v>4953</v>
      </c>
      <c r="C4314" t="s">
        <v>4209</v>
      </c>
      <c r="D4314">
        <v>119</v>
      </c>
      <c r="E4314">
        <v>71</v>
      </c>
      <c r="F4314" t="s">
        <v>3057</v>
      </c>
      <c r="G4314" t="s">
        <v>4897</v>
      </c>
    </row>
    <row r="4315" spans="1:7" x14ac:dyDescent="0.3">
      <c r="A4315">
        <v>4313</v>
      </c>
      <c r="B4315" t="s">
        <v>4954</v>
      </c>
      <c r="C4315" t="s">
        <v>4459</v>
      </c>
      <c r="D4315">
        <v>70</v>
      </c>
      <c r="E4315">
        <v>56</v>
      </c>
      <c r="F4315" t="s">
        <v>4719</v>
      </c>
      <c r="G4315" t="s">
        <v>4897</v>
      </c>
    </row>
    <row r="4316" spans="1:7" x14ac:dyDescent="0.3">
      <c r="A4316">
        <v>4314</v>
      </c>
      <c r="B4316" t="s">
        <v>4955</v>
      </c>
      <c r="C4316" t="s">
        <v>4459</v>
      </c>
      <c r="D4316">
        <v>70</v>
      </c>
      <c r="E4316">
        <v>56</v>
      </c>
      <c r="F4316" t="s">
        <v>4719</v>
      </c>
      <c r="G4316" t="s">
        <v>4897</v>
      </c>
    </row>
    <row r="4317" spans="1:7" x14ac:dyDescent="0.3">
      <c r="A4317">
        <v>4315</v>
      </c>
      <c r="B4317" t="s">
        <v>4956</v>
      </c>
      <c r="C4317" t="s">
        <v>4923</v>
      </c>
      <c r="D4317">
        <v>55</v>
      </c>
      <c r="E4317">
        <v>36</v>
      </c>
      <c r="F4317" t="s">
        <v>4740</v>
      </c>
      <c r="G4317" t="s">
        <v>4897</v>
      </c>
    </row>
    <row r="4318" spans="1:7" x14ac:dyDescent="0.3">
      <c r="A4318">
        <v>4316</v>
      </c>
      <c r="B4318" t="s">
        <v>4957</v>
      </c>
      <c r="C4318" t="s">
        <v>4923</v>
      </c>
      <c r="D4318">
        <v>55</v>
      </c>
      <c r="E4318">
        <v>36</v>
      </c>
      <c r="F4318" t="s">
        <v>4740</v>
      </c>
      <c r="G4318" t="s">
        <v>4897</v>
      </c>
    </row>
    <row r="4319" spans="1:7" x14ac:dyDescent="0.3">
      <c r="A4319">
        <v>4317</v>
      </c>
      <c r="B4319" t="s">
        <v>4958</v>
      </c>
      <c r="C4319" t="s">
        <v>4923</v>
      </c>
      <c r="D4319">
        <v>55</v>
      </c>
      <c r="E4319">
        <v>36</v>
      </c>
      <c r="F4319" t="s">
        <v>4740</v>
      </c>
      <c r="G4319" t="s">
        <v>4897</v>
      </c>
    </row>
    <row r="4320" spans="1:7" x14ac:dyDescent="0.3">
      <c r="A4320">
        <v>4318</v>
      </c>
      <c r="B4320" t="s">
        <v>4959</v>
      </c>
      <c r="C4320" t="s">
        <v>4923</v>
      </c>
      <c r="D4320">
        <v>55</v>
      </c>
      <c r="E4320">
        <v>39</v>
      </c>
      <c r="F4320" t="s">
        <v>4740</v>
      </c>
      <c r="G4320" t="s">
        <v>4897</v>
      </c>
    </row>
    <row r="4321" spans="1:7" x14ac:dyDescent="0.3">
      <c r="A4321">
        <v>4319</v>
      </c>
      <c r="B4321" t="s">
        <v>4960</v>
      </c>
      <c r="C4321" t="s">
        <v>4923</v>
      </c>
      <c r="D4321">
        <v>55</v>
      </c>
      <c r="E4321">
        <v>36</v>
      </c>
      <c r="F4321" t="s">
        <v>4740</v>
      </c>
      <c r="G4321" t="s">
        <v>4897</v>
      </c>
    </row>
    <row r="4322" spans="1:7" x14ac:dyDescent="0.3">
      <c r="A4322">
        <v>4320</v>
      </c>
      <c r="B4322" t="s">
        <v>4961</v>
      </c>
      <c r="C4322" t="s">
        <v>4923</v>
      </c>
      <c r="D4322">
        <v>55</v>
      </c>
      <c r="E4322">
        <v>39</v>
      </c>
      <c r="F4322" t="s">
        <v>4740</v>
      </c>
      <c r="G4322" t="s">
        <v>4897</v>
      </c>
    </row>
    <row r="4323" spans="1:7" x14ac:dyDescent="0.3">
      <c r="A4323">
        <v>4321</v>
      </c>
      <c r="B4323" t="s">
        <v>4962</v>
      </c>
      <c r="C4323" t="s">
        <v>4923</v>
      </c>
      <c r="D4323">
        <v>55</v>
      </c>
      <c r="E4323">
        <v>26</v>
      </c>
      <c r="F4323" t="s">
        <v>4740</v>
      </c>
      <c r="G4323" t="s">
        <v>4897</v>
      </c>
    </row>
    <row r="4324" spans="1:7" x14ac:dyDescent="0.3">
      <c r="A4324">
        <v>4322</v>
      </c>
      <c r="B4324" t="s">
        <v>4963</v>
      </c>
      <c r="C4324" t="s">
        <v>4459</v>
      </c>
      <c r="D4324">
        <v>70</v>
      </c>
      <c r="E4324">
        <v>49</v>
      </c>
      <c r="F4324" t="s">
        <v>4719</v>
      </c>
      <c r="G4324" t="s">
        <v>4897</v>
      </c>
    </row>
    <row r="4325" spans="1:7" x14ac:dyDescent="0.3">
      <c r="A4325">
        <v>4323</v>
      </c>
      <c r="B4325" t="s">
        <v>4964</v>
      </c>
      <c r="C4325" t="s">
        <v>4459</v>
      </c>
      <c r="D4325">
        <v>70</v>
      </c>
      <c r="E4325">
        <v>49</v>
      </c>
      <c r="F4325" t="s">
        <v>4719</v>
      </c>
      <c r="G4325" t="s">
        <v>4897</v>
      </c>
    </row>
    <row r="4326" spans="1:7" x14ac:dyDescent="0.3">
      <c r="A4326">
        <v>4324</v>
      </c>
      <c r="B4326" t="s">
        <v>4965</v>
      </c>
      <c r="C4326" t="s">
        <v>4923</v>
      </c>
      <c r="F4326" t="s">
        <v>4740</v>
      </c>
      <c r="G4326" t="s">
        <v>4897</v>
      </c>
    </row>
    <row r="4327" spans="1:7" x14ac:dyDescent="0.3">
      <c r="A4327">
        <v>4325</v>
      </c>
      <c r="B4327" t="s">
        <v>4966</v>
      </c>
      <c r="C4327" t="s">
        <v>4209</v>
      </c>
      <c r="D4327">
        <v>119</v>
      </c>
      <c r="E4327">
        <v>71</v>
      </c>
      <c r="F4327" t="s">
        <v>3057</v>
      </c>
      <c r="G4327" t="s">
        <v>4897</v>
      </c>
    </row>
    <row r="4328" spans="1:7" x14ac:dyDescent="0.3">
      <c r="A4328">
        <v>4326</v>
      </c>
      <c r="B4328" t="s">
        <v>4967</v>
      </c>
      <c r="C4328" t="s">
        <v>4459</v>
      </c>
      <c r="D4328">
        <v>70</v>
      </c>
      <c r="E4328">
        <v>49</v>
      </c>
      <c r="F4328" t="s">
        <v>4719</v>
      </c>
      <c r="G4328" t="s">
        <v>4897</v>
      </c>
    </row>
    <row r="4329" spans="1:7" x14ac:dyDescent="0.3">
      <c r="A4329">
        <v>4327</v>
      </c>
      <c r="B4329" t="s">
        <v>4968</v>
      </c>
      <c r="C4329" t="s">
        <v>4923</v>
      </c>
      <c r="D4329">
        <v>55</v>
      </c>
      <c r="E4329">
        <v>36</v>
      </c>
      <c r="F4329" t="s">
        <v>4740</v>
      </c>
      <c r="G4329" t="s">
        <v>4897</v>
      </c>
    </row>
    <row r="4330" spans="1:7" x14ac:dyDescent="0.3">
      <c r="A4330">
        <v>4328</v>
      </c>
      <c r="B4330" t="s">
        <v>4969</v>
      </c>
      <c r="C4330" t="s">
        <v>4209</v>
      </c>
      <c r="D4330">
        <v>119</v>
      </c>
      <c r="E4330">
        <v>71</v>
      </c>
      <c r="F4330" t="s">
        <v>3057</v>
      </c>
      <c r="G4330" t="s">
        <v>4897</v>
      </c>
    </row>
    <row r="4331" spans="1:7" x14ac:dyDescent="0.3">
      <c r="A4331">
        <v>4329</v>
      </c>
      <c r="B4331" t="s">
        <v>4970</v>
      </c>
      <c r="C4331" t="s">
        <v>4923</v>
      </c>
      <c r="D4331">
        <v>55</v>
      </c>
      <c r="E4331">
        <v>27</v>
      </c>
      <c r="F4331" t="s">
        <v>4740</v>
      </c>
      <c r="G4331" t="s">
        <v>4897</v>
      </c>
    </row>
    <row r="4332" spans="1:7" x14ac:dyDescent="0.3">
      <c r="A4332">
        <v>4330</v>
      </c>
      <c r="B4332" t="s">
        <v>4971</v>
      </c>
      <c r="C4332" t="s">
        <v>4923</v>
      </c>
      <c r="D4332">
        <v>55</v>
      </c>
      <c r="E4332">
        <v>36</v>
      </c>
      <c r="F4332" t="s">
        <v>4740</v>
      </c>
      <c r="G4332" t="s">
        <v>4897</v>
      </c>
    </row>
    <row r="4333" spans="1:7" x14ac:dyDescent="0.3">
      <c r="A4333">
        <v>4331</v>
      </c>
      <c r="B4333" t="s">
        <v>4972</v>
      </c>
      <c r="C4333" t="s">
        <v>4459</v>
      </c>
      <c r="D4333">
        <v>70</v>
      </c>
      <c r="E4333">
        <v>41</v>
      </c>
      <c r="F4333" t="s">
        <v>4719</v>
      </c>
      <c r="G4333" t="s">
        <v>4897</v>
      </c>
    </row>
    <row r="4334" spans="1:7" x14ac:dyDescent="0.3">
      <c r="A4334">
        <v>4332</v>
      </c>
      <c r="B4334" t="s">
        <v>4973</v>
      </c>
      <c r="C4334" t="s">
        <v>4923</v>
      </c>
      <c r="D4334">
        <v>55</v>
      </c>
      <c r="E4334">
        <v>26</v>
      </c>
      <c r="F4334" t="s">
        <v>4740</v>
      </c>
      <c r="G4334" t="s">
        <v>4897</v>
      </c>
    </row>
    <row r="4335" spans="1:7" x14ac:dyDescent="0.3">
      <c r="A4335">
        <v>4333</v>
      </c>
      <c r="B4335" t="s">
        <v>4974</v>
      </c>
      <c r="C4335" t="s">
        <v>4459</v>
      </c>
      <c r="D4335">
        <v>70</v>
      </c>
      <c r="E4335">
        <v>41</v>
      </c>
      <c r="F4335" t="s">
        <v>4719</v>
      </c>
      <c r="G4335" t="s">
        <v>4897</v>
      </c>
    </row>
    <row r="4336" spans="1:7" x14ac:dyDescent="0.3">
      <c r="A4336">
        <v>4334</v>
      </c>
      <c r="B4336" t="s">
        <v>4975</v>
      </c>
      <c r="C4336" t="s">
        <v>4976</v>
      </c>
      <c r="D4336">
        <v>63</v>
      </c>
      <c r="E4336">
        <v>58</v>
      </c>
      <c r="F4336" t="s">
        <v>11</v>
      </c>
      <c r="G4336" t="s">
        <v>4977</v>
      </c>
    </row>
    <row r="4337" spans="1:7" x14ac:dyDescent="0.3">
      <c r="A4337">
        <v>4335</v>
      </c>
      <c r="B4337" t="s">
        <v>4975</v>
      </c>
      <c r="C4337" t="s">
        <v>4976</v>
      </c>
      <c r="D4337">
        <v>85</v>
      </c>
      <c r="E4337">
        <v>79</v>
      </c>
      <c r="F4337" t="s">
        <v>188</v>
      </c>
      <c r="G4337" t="s">
        <v>4977</v>
      </c>
    </row>
    <row r="4338" spans="1:7" x14ac:dyDescent="0.3">
      <c r="A4338">
        <v>4336</v>
      </c>
      <c r="B4338" t="s">
        <v>4975</v>
      </c>
      <c r="C4338" t="s">
        <v>4976</v>
      </c>
      <c r="D4338">
        <v>115</v>
      </c>
      <c r="E4338">
        <v>105</v>
      </c>
      <c r="F4338" t="s">
        <v>12</v>
      </c>
      <c r="G4338" t="s">
        <v>4977</v>
      </c>
    </row>
    <row r="4339" spans="1:7" x14ac:dyDescent="0.3">
      <c r="A4339">
        <v>4337</v>
      </c>
      <c r="B4339" t="s">
        <v>4975</v>
      </c>
      <c r="C4339" t="s">
        <v>4976</v>
      </c>
      <c r="D4339">
        <v>173</v>
      </c>
      <c r="E4339">
        <v>159</v>
      </c>
      <c r="F4339" t="s">
        <v>1371</v>
      </c>
      <c r="G4339" t="s">
        <v>4977</v>
      </c>
    </row>
    <row r="4340" spans="1:7" x14ac:dyDescent="0.3">
      <c r="A4340">
        <v>4338</v>
      </c>
      <c r="B4340" t="s">
        <v>4975</v>
      </c>
      <c r="C4340" t="s">
        <v>4976</v>
      </c>
      <c r="D4340">
        <v>253</v>
      </c>
      <c r="E4340">
        <v>188</v>
      </c>
      <c r="F4340" t="s">
        <v>9</v>
      </c>
      <c r="G4340" t="s">
        <v>4977</v>
      </c>
    </row>
    <row r="4341" spans="1:7" x14ac:dyDescent="0.3">
      <c r="A4341">
        <v>4339</v>
      </c>
      <c r="B4341" t="s">
        <v>4978</v>
      </c>
      <c r="C4341" t="s">
        <v>4976</v>
      </c>
      <c r="D4341">
        <v>110</v>
      </c>
      <c r="E4341">
        <v>102</v>
      </c>
      <c r="F4341" t="s">
        <v>188</v>
      </c>
      <c r="G4341" t="s">
        <v>4977</v>
      </c>
    </row>
    <row r="4342" spans="1:7" x14ac:dyDescent="0.3">
      <c r="A4342">
        <v>4340</v>
      </c>
      <c r="B4342" t="s">
        <v>4978</v>
      </c>
      <c r="C4342" t="s">
        <v>4976</v>
      </c>
      <c r="D4342">
        <v>200</v>
      </c>
      <c r="E4342">
        <v>145</v>
      </c>
      <c r="F4342" t="s">
        <v>1371</v>
      </c>
      <c r="G4342" t="s">
        <v>4977</v>
      </c>
    </row>
    <row r="4343" spans="1:7" x14ac:dyDescent="0.3">
      <c r="A4343">
        <v>4341</v>
      </c>
      <c r="B4343" t="s">
        <v>4979</v>
      </c>
      <c r="C4343" t="s">
        <v>410</v>
      </c>
      <c r="D4343">
        <v>55</v>
      </c>
      <c r="E4343">
        <v>45</v>
      </c>
      <c r="F4343" t="s">
        <v>11</v>
      </c>
      <c r="G4343" t="s">
        <v>4977</v>
      </c>
    </row>
    <row r="4344" spans="1:7" x14ac:dyDescent="0.3">
      <c r="A4344">
        <v>4342</v>
      </c>
      <c r="B4344" t="s">
        <v>4979</v>
      </c>
      <c r="C4344" t="s">
        <v>410</v>
      </c>
      <c r="D4344">
        <v>105</v>
      </c>
      <c r="E4344">
        <v>97</v>
      </c>
      <c r="F4344" t="s">
        <v>12</v>
      </c>
      <c r="G4344" t="s">
        <v>4977</v>
      </c>
    </row>
    <row r="4345" spans="1:7" x14ac:dyDescent="0.3">
      <c r="A4345">
        <v>4343</v>
      </c>
      <c r="B4345" t="s">
        <v>4979</v>
      </c>
      <c r="C4345" t="s">
        <v>410</v>
      </c>
      <c r="D4345">
        <v>160</v>
      </c>
      <c r="E4345">
        <v>134</v>
      </c>
      <c r="F4345" t="s">
        <v>12</v>
      </c>
      <c r="G4345" t="s">
        <v>4977</v>
      </c>
    </row>
    <row r="4346" spans="1:7" x14ac:dyDescent="0.3">
      <c r="A4346">
        <v>4344</v>
      </c>
      <c r="B4346" t="s">
        <v>4979</v>
      </c>
      <c r="C4346" t="s">
        <v>410</v>
      </c>
      <c r="D4346">
        <v>195</v>
      </c>
      <c r="E4346">
        <v>175</v>
      </c>
      <c r="F4346" t="s">
        <v>4980</v>
      </c>
      <c r="G4346" t="s">
        <v>4977</v>
      </c>
    </row>
    <row r="4347" spans="1:7" x14ac:dyDescent="0.3">
      <c r="A4347">
        <v>4345</v>
      </c>
      <c r="B4347" t="s">
        <v>4981</v>
      </c>
      <c r="C4347" t="s">
        <v>4976</v>
      </c>
      <c r="D4347">
        <v>298</v>
      </c>
      <c r="E4347">
        <v>198</v>
      </c>
      <c r="F4347" t="s">
        <v>2082</v>
      </c>
      <c r="G4347" t="s">
        <v>4977</v>
      </c>
    </row>
    <row r="4348" spans="1:7" x14ac:dyDescent="0.3">
      <c r="A4348">
        <v>4346</v>
      </c>
      <c r="B4348" t="s">
        <v>4982</v>
      </c>
      <c r="C4348" t="s">
        <v>4983</v>
      </c>
      <c r="D4348">
        <v>182</v>
      </c>
      <c r="E4348">
        <v>121</v>
      </c>
      <c r="F4348" t="s">
        <v>4984</v>
      </c>
      <c r="G4348" t="s">
        <v>4977</v>
      </c>
    </row>
    <row r="4349" spans="1:7" x14ac:dyDescent="0.3">
      <c r="A4349">
        <v>4347</v>
      </c>
      <c r="B4349" t="s">
        <v>4985</v>
      </c>
      <c r="C4349" t="s">
        <v>2237</v>
      </c>
      <c r="D4349">
        <v>112</v>
      </c>
      <c r="E4349">
        <v>101</v>
      </c>
      <c r="F4349" t="s">
        <v>12</v>
      </c>
      <c r="G4349" t="s">
        <v>4977</v>
      </c>
    </row>
    <row r="4350" spans="1:7" x14ac:dyDescent="0.3">
      <c r="A4350">
        <v>4348</v>
      </c>
      <c r="B4350" t="s">
        <v>4985</v>
      </c>
      <c r="C4350" t="s">
        <v>2237</v>
      </c>
      <c r="D4350">
        <v>203</v>
      </c>
      <c r="E4350">
        <v>155</v>
      </c>
      <c r="F4350" t="s">
        <v>4980</v>
      </c>
      <c r="G4350" t="s">
        <v>4977</v>
      </c>
    </row>
    <row r="4351" spans="1:7" x14ac:dyDescent="0.3">
      <c r="A4351">
        <v>4349</v>
      </c>
      <c r="B4351" t="s">
        <v>4986</v>
      </c>
      <c r="C4351" t="s">
        <v>2237</v>
      </c>
      <c r="D4351">
        <v>199</v>
      </c>
      <c r="E4351">
        <v>159</v>
      </c>
      <c r="F4351" t="s">
        <v>76</v>
      </c>
      <c r="G4351" t="s">
        <v>4977</v>
      </c>
    </row>
    <row r="4352" spans="1:7" x14ac:dyDescent="0.3">
      <c r="A4352">
        <v>4350</v>
      </c>
      <c r="B4352" t="s">
        <v>4987</v>
      </c>
      <c r="C4352" t="s">
        <v>4988</v>
      </c>
      <c r="D4352">
        <v>138</v>
      </c>
      <c r="E4352">
        <v>92</v>
      </c>
      <c r="F4352" t="s">
        <v>1371</v>
      </c>
      <c r="G4352" t="s">
        <v>4977</v>
      </c>
    </row>
    <row r="4353" spans="1:7" x14ac:dyDescent="0.3">
      <c r="A4353">
        <v>4351</v>
      </c>
      <c r="B4353" t="s">
        <v>4989</v>
      </c>
      <c r="C4353" t="s">
        <v>4990</v>
      </c>
      <c r="D4353">
        <v>185</v>
      </c>
      <c r="E4353">
        <v>170</v>
      </c>
      <c r="F4353" t="s">
        <v>1697</v>
      </c>
      <c r="G4353" t="s">
        <v>4977</v>
      </c>
    </row>
    <row r="4354" spans="1:7" x14ac:dyDescent="0.3">
      <c r="A4354">
        <v>4352</v>
      </c>
      <c r="B4354" t="s">
        <v>4989</v>
      </c>
      <c r="C4354" t="s">
        <v>4990</v>
      </c>
      <c r="D4354">
        <v>220</v>
      </c>
      <c r="E4354">
        <v>172</v>
      </c>
      <c r="F4354" t="s">
        <v>11</v>
      </c>
      <c r="G4354" t="s">
        <v>4977</v>
      </c>
    </row>
    <row r="4355" spans="1:7" x14ac:dyDescent="0.3">
      <c r="A4355">
        <v>4353</v>
      </c>
      <c r="B4355" t="s">
        <v>4991</v>
      </c>
      <c r="C4355" t="s">
        <v>4976</v>
      </c>
      <c r="D4355">
        <v>114</v>
      </c>
      <c r="E4355">
        <v>106</v>
      </c>
      <c r="F4355" t="s">
        <v>12</v>
      </c>
      <c r="G4355" t="s">
        <v>4977</v>
      </c>
    </row>
    <row r="4356" spans="1:7" x14ac:dyDescent="0.3">
      <c r="A4356">
        <v>4354</v>
      </c>
      <c r="B4356" t="s">
        <v>4991</v>
      </c>
      <c r="C4356" t="s">
        <v>4976</v>
      </c>
      <c r="D4356">
        <v>208</v>
      </c>
      <c r="E4356">
        <v>143</v>
      </c>
      <c r="F4356" t="s">
        <v>76</v>
      </c>
      <c r="G4356" t="s">
        <v>4977</v>
      </c>
    </row>
    <row r="4357" spans="1:7" x14ac:dyDescent="0.3">
      <c r="A4357">
        <v>4355</v>
      </c>
      <c r="B4357" t="s">
        <v>4992</v>
      </c>
      <c r="C4357" t="s">
        <v>4990</v>
      </c>
      <c r="D4357">
        <v>170</v>
      </c>
      <c r="E4357">
        <v>134</v>
      </c>
      <c r="F4357" t="s">
        <v>720</v>
      </c>
      <c r="G4357" t="s">
        <v>4977</v>
      </c>
    </row>
    <row r="4358" spans="1:7" x14ac:dyDescent="0.3">
      <c r="A4358">
        <v>4356</v>
      </c>
      <c r="B4358" t="s">
        <v>4993</v>
      </c>
      <c r="C4358" t="s">
        <v>4976</v>
      </c>
      <c r="D4358">
        <v>200</v>
      </c>
      <c r="E4358">
        <v>145</v>
      </c>
      <c r="F4358" t="s">
        <v>1371</v>
      </c>
      <c r="G4358" t="s">
        <v>4977</v>
      </c>
    </row>
    <row r="4359" spans="1:7" x14ac:dyDescent="0.3">
      <c r="A4359">
        <v>4357</v>
      </c>
      <c r="B4359" t="s">
        <v>4993</v>
      </c>
      <c r="C4359" t="s">
        <v>4976</v>
      </c>
      <c r="D4359">
        <v>110</v>
      </c>
      <c r="E4359">
        <v>102</v>
      </c>
      <c r="F4359" t="s">
        <v>188</v>
      </c>
      <c r="G4359" t="s">
        <v>4977</v>
      </c>
    </row>
    <row r="4360" spans="1:7" x14ac:dyDescent="0.3">
      <c r="A4360">
        <v>4358</v>
      </c>
      <c r="B4360" t="s">
        <v>4994</v>
      </c>
      <c r="C4360" t="s">
        <v>2237</v>
      </c>
      <c r="D4360">
        <v>270</v>
      </c>
      <c r="E4360">
        <v>190</v>
      </c>
      <c r="F4360" t="s">
        <v>201</v>
      </c>
      <c r="G4360" t="s">
        <v>4977</v>
      </c>
    </row>
    <row r="4361" spans="1:7" x14ac:dyDescent="0.3">
      <c r="A4361">
        <v>4359</v>
      </c>
      <c r="B4361" t="s">
        <v>4995</v>
      </c>
      <c r="C4361" t="s">
        <v>4976</v>
      </c>
      <c r="D4361">
        <v>280</v>
      </c>
      <c r="E4361">
        <v>140</v>
      </c>
      <c r="F4361" t="s">
        <v>4996</v>
      </c>
      <c r="G4361" t="s">
        <v>4977</v>
      </c>
    </row>
    <row r="4362" spans="1:7" x14ac:dyDescent="0.3">
      <c r="A4362">
        <v>4360</v>
      </c>
      <c r="B4362" t="s">
        <v>4997</v>
      </c>
      <c r="C4362" t="s">
        <v>4990</v>
      </c>
      <c r="D4362">
        <v>120</v>
      </c>
      <c r="E4362">
        <v>110</v>
      </c>
      <c r="F4362" t="s">
        <v>834</v>
      </c>
      <c r="G4362" t="s">
        <v>4977</v>
      </c>
    </row>
    <row r="4363" spans="1:7" x14ac:dyDescent="0.3">
      <c r="A4363">
        <v>4361</v>
      </c>
      <c r="B4363" t="s">
        <v>4997</v>
      </c>
      <c r="C4363" t="s">
        <v>4990</v>
      </c>
      <c r="D4363">
        <v>210</v>
      </c>
      <c r="E4363">
        <v>195</v>
      </c>
      <c r="F4363" t="s">
        <v>1619</v>
      </c>
      <c r="G4363" t="s">
        <v>4977</v>
      </c>
    </row>
    <row r="4364" spans="1:7" x14ac:dyDescent="0.3">
      <c r="A4364">
        <v>4362</v>
      </c>
      <c r="B4364" t="s">
        <v>4998</v>
      </c>
      <c r="C4364" t="s">
        <v>4976</v>
      </c>
      <c r="D4364">
        <v>276</v>
      </c>
      <c r="E4364">
        <v>138</v>
      </c>
      <c r="F4364" t="s">
        <v>2082</v>
      </c>
      <c r="G4364" t="s">
        <v>4977</v>
      </c>
    </row>
    <row r="4365" spans="1:7" x14ac:dyDescent="0.3">
      <c r="A4365">
        <v>4363</v>
      </c>
      <c r="B4365" t="s">
        <v>4998</v>
      </c>
      <c r="C4365" t="s">
        <v>4976</v>
      </c>
      <c r="D4365">
        <v>143</v>
      </c>
      <c r="E4365">
        <v>128</v>
      </c>
      <c r="F4365" t="s">
        <v>715</v>
      </c>
      <c r="G4365" t="s">
        <v>4977</v>
      </c>
    </row>
    <row r="4366" spans="1:7" x14ac:dyDescent="0.3">
      <c r="A4366">
        <v>4364</v>
      </c>
      <c r="B4366" t="s">
        <v>4999</v>
      </c>
      <c r="C4366" t="s">
        <v>4990</v>
      </c>
      <c r="D4366">
        <v>120</v>
      </c>
      <c r="E4366">
        <v>110</v>
      </c>
      <c r="F4366" t="s">
        <v>1697</v>
      </c>
      <c r="G4366" t="s">
        <v>4977</v>
      </c>
    </row>
    <row r="4367" spans="1:7" x14ac:dyDescent="0.3">
      <c r="A4367">
        <v>4365</v>
      </c>
      <c r="B4367" t="s">
        <v>4999</v>
      </c>
      <c r="C4367" t="s">
        <v>4990</v>
      </c>
      <c r="D4367">
        <v>210</v>
      </c>
      <c r="E4367">
        <v>195</v>
      </c>
      <c r="F4367" t="s">
        <v>1619</v>
      </c>
      <c r="G4367" t="s">
        <v>4977</v>
      </c>
    </row>
    <row r="4368" spans="1:7" x14ac:dyDescent="0.3">
      <c r="A4368">
        <v>4366</v>
      </c>
      <c r="B4368" t="s">
        <v>5000</v>
      </c>
      <c r="C4368" t="s">
        <v>4976</v>
      </c>
      <c r="D4368">
        <v>164</v>
      </c>
      <c r="E4368">
        <v>144</v>
      </c>
      <c r="F4368" t="s">
        <v>1371</v>
      </c>
      <c r="G4368" t="s">
        <v>4977</v>
      </c>
    </row>
    <row r="4369" spans="1:7" x14ac:dyDescent="0.3">
      <c r="A4369">
        <v>4367</v>
      </c>
      <c r="B4369" t="s">
        <v>5001</v>
      </c>
      <c r="C4369" t="s">
        <v>4225</v>
      </c>
      <c r="D4369">
        <v>95</v>
      </c>
      <c r="E4369">
        <v>80</v>
      </c>
      <c r="F4369" t="s">
        <v>188</v>
      </c>
      <c r="G4369" t="s">
        <v>4977</v>
      </c>
    </row>
    <row r="4370" spans="1:7" x14ac:dyDescent="0.3">
      <c r="A4370">
        <v>4368</v>
      </c>
      <c r="B4370" t="s">
        <v>5002</v>
      </c>
      <c r="C4370" t="s">
        <v>4976</v>
      </c>
      <c r="D4370">
        <v>125</v>
      </c>
      <c r="E4370">
        <v>112</v>
      </c>
      <c r="F4370" t="s">
        <v>720</v>
      </c>
      <c r="G4370" t="s">
        <v>4977</v>
      </c>
    </row>
    <row r="4371" spans="1:7" x14ac:dyDescent="0.3">
      <c r="A4371">
        <v>4369</v>
      </c>
      <c r="B4371" t="s">
        <v>5003</v>
      </c>
      <c r="C4371" t="s">
        <v>4990</v>
      </c>
      <c r="D4371">
        <v>135</v>
      </c>
      <c r="E4371">
        <v>125</v>
      </c>
      <c r="F4371" t="s">
        <v>1697</v>
      </c>
      <c r="G4371" t="s">
        <v>4977</v>
      </c>
    </row>
    <row r="4372" spans="1:7" x14ac:dyDescent="0.3">
      <c r="A4372">
        <v>4370</v>
      </c>
      <c r="B4372" t="s">
        <v>5004</v>
      </c>
      <c r="C4372" t="s">
        <v>4154</v>
      </c>
      <c r="D4372">
        <v>120</v>
      </c>
      <c r="E4372">
        <v>105</v>
      </c>
      <c r="F4372" t="s">
        <v>12</v>
      </c>
      <c r="G4372" t="s">
        <v>4977</v>
      </c>
    </row>
    <row r="4373" spans="1:7" x14ac:dyDescent="0.3">
      <c r="A4373">
        <v>4371</v>
      </c>
      <c r="B4373" t="s">
        <v>5005</v>
      </c>
      <c r="C4373" t="s">
        <v>4976</v>
      </c>
      <c r="D4373">
        <v>125</v>
      </c>
      <c r="E4373">
        <v>112</v>
      </c>
      <c r="F4373" t="s">
        <v>720</v>
      </c>
      <c r="G4373" t="s">
        <v>4977</v>
      </c>
    </row>
    <row r="4374" spans="1:7" x14ac:dyDescent="0.3">
      <c r="A4374">
        <v>4372</v>
      </c>
      <c r="B4374" t="s">
        <v>5006</v>
      </c>
      <c r="C4374" t="s">
        <v>4988</v>
      </c>
      <c r="D4374">
        <v>97</v>
      </c>
      <c r="E4374">
        <v>76</v>
      </c>
      <c r="F4374" t="s">
        <v>188</v>
      </c>
      <c r="G4374" t="s">
        <v>4977</v>
      </c>
    </row>
    <row r="4375" spans="1:7" x14ac:dyDescent="0.3">
      <c r="A4375">
        <v>4373</v>
      </c>
      <c r="B4375" t="s">
        <v>5007</v>
      </c>
      <c r="C4375" t="s">
        <v>4976</v>
      </c>
      <c r="D4375">
        <v>121</v>
      </c>
      <c r="E4375">
        <v>111</v>
      </c>
      <c r="F4375" t="s">
        <v>5008</v>
      </c>
      <c r="G4375" t="s">
        <v>4977</v>
      </c>
    </row>
    <row r="4376" spans="1:7" x14ac:dyDescent="0.3">
      <c r="A4376">
        <v>4374</v>
      </c>
      <c r="B4376" t="s">
        <v>5009</v>
      </c>
      <c r="C4376" t="s">
        <v>5010</v>
      </c>
      <c r="D4376">
        <v>280</v>
      </c>
      <c r="E4376">
        <v>140</v>
      </c>
      <c r="F4376" t="s">
        <v>76</v>
      </c>
      <c r="G4376" t="s">
        <v>4977</v>
      </c>
    </row>
    <row r="4377" spans="1:7" x14ac:dyDescent="0.3">
      <c r="A4377">
        <v>4375</v>
      </c>
      <c r="B4377" t="s">
        <v>5011</v>
      </c>
      <c r="C4377" t="s">
        <v>4976</v>
      </c>
      <c r="D4377">
        <v>130</v>
      </c>
      <c r="E4377">
        <v>98</v>
      </c>
      <c r="F4377" t="s">
        <v>613</v>
      </c>
      <c r="G4377" t="s">
        <v>4977</v>
      </c>
    </row>
    <row r="4378" spans="1:7" x14ac:dyDescent="0.3">
      <c r="A4378">
        <v>4376</v>
      </c>
      <c r="B4378" t="s">
        <v>5012</v>
      </c>
      <c r="C4378" t="s">
        <v>4976</v>
      </c>
      <c r="D4378">
        <v>130</v>
      </c>
      <c r="E4378">
        <v>98</v>
      </c>
      <c r="F4378" t="s">
        <v>613</v>
      </c>
      <c r="G4378" t="s">
        <v>4977</v>
      </c>
    </row>
    <row r="4379" spans="1:7" x14ac:dyDescent="0.3">
      <c r="A4379">
        <v>4377</v>
      </c>
      <c r="B4379" t="s">
        <v>5013</v>
      </c>
      <c r="C4379" t="s">
        <v>5014</v>
      </c>
      <c r="D4379">
        <v>165</v>
      </c>
      <c r="E4379">
        <v>150</v>
      </c>
      <c r="F4379" t="s">
        <v>401</v>
      </c>
      <c r="G4379" t="s">
        <v>4977</v>
      </c>
    </row>
    <row r="4380" spans="1:7" x14ac:dyDescent="0.3">
      <c r="A4380">
        <v>4378</v>
      </c>
      <c r="B4380" t="s">
        <v>5013</v>
      </c>
      <c r="C4380" t="s">
        <v>5014</v>
      </c>
      <c r="D4380">
        <v>315</v>
      </c>
      <c r="E4380">
        <v>265</v>
      </c>
      <c r="F4380" t="s">
        <v>391</v>
      </c>
      <c r="G4380" t="s">
        <v>4977</v>
      </c>
    </row>
    <row r="4381" spans="1:7" x14ac:dyDescent="0.3">
      <c r="A4381">
        <v>4379</v>
      </c>
      <c r="B4381" t="s">
        <v>5015</v>
      </c>
      <c r="C4381" t="s">
        <v>4976</v>
      </c>
      <c r="D4381">
        <v>150</v>
      </c>
      <c r="E4381">
        <v>125</v>
      </c>
      <c r="F4381" t="s">
        <v>401</v>
      </c>
      <c r="G4381" t="s">
        <v>4977</v>
      </c>
    </row>
    <row r="4382" spans="1:7" x14ac:dyDescent="0.3">
      <c r="A4382">
        <v>4380</v>
      </c>
      <c r="B4382" t="s">
        <v>5016</v>
      </c>
      <c r="C4382" t="s">
        <v>5014</v>
      </c>
      <c r="D4382">
        <v>315</v>
      </c>
      <c r="E4382">
        <v>275</v>
      </c>
      <c r="F4382" t="s">
        <v>391</v>
      </c>
      <c r="G4382" t="s">
        <v>4977</v>
      </c>
    </row>
    <row r="4383" spans="1:7" x14ac:dyDescent="0.3">
      <c r="A4383">
        <v>4381</v>
      </c>
      <c r="B4383" t="s">
        <v>5017</v>
      </c>
      <c r="C4383" t="s">
        <v>4976</v>
      </c>
      <c r="D4383">
        <v>150</v>
      </c>
      <c r="E4383">
        <v>139</v>
      </c>
      <c r="F4383" t="s">
        <v>401</v>
      </c>
      <c r="G4383" t="s">
        <v>4977</v>
      </c>
    </row>
    <row r="4384" spans="1:7" x14ac:dyDescent="0.3">
      <c r="A4384">
        <v>4382</v>
      </c>
      <c r="B4384" t="s">
        <v>5018</v>
      </c>
      <c r="C4384" t="s">
        <v>4976</v>
      </c>
      <c r="D4384">
        <v>55</v>
      </c>
      <c r="E4384">
        <v>48</v>
      </c>
      <c r="F4384" t="s">
        <v>4163</v>
      </c>
      <c r="G4384" t="s">
        <v>4977</v>
      </c>
    </row>
    <row r="4385" spans="1:7" x14ac:dyDescent="0.3">
      <c r="A4385">
        <v>4383</v>
      </c>
      <c r="B4385" t="s">
        <v>5019</v>
      </c>
      <c r="C4385" t="s">
        <v>5020</v>
      </c>
      <c r="D4385">
        <v>90</v>
      </c>
      <c r="E4385">
        <v>70</v>
      </c>
      <c r="F4385" t="s">
        <v>280</v>
      </c>
      <c r="G4385" t="s">
        <v>4977</v>
      </c>
    </row>
    <row r="4386" spans="1:7" x14ac:dyDescent="0.3">
      <c r="A4386">
        <v>4384</v>
      </c>
      <c r="B4386" t="s">
        <v>5021</v>
      </c>
      <c r="C4386" t="s">
        <v>4976</v>
      </c>
      <c r="D4386">
        <v>135</v>
      </c>
      <c r="E4386">
        <v>85</v>
      </c>
      <c r="F4386" t="s">
        <v>2691</v>
      </c>
      <c r="G4386" t="s">
        <v>4977</v>
      </c>
    </row>
    <row r="4387" spans="1:7" x14ac:dyDescent="0.3">
      <c r="A4387">
        <v>4385</v>
      </c>
      <c r="B4387" t="s">
        <v>5022</v>
      </c>
      <c r="C4387" t="s">
        <v>5023</v>
      </c>
      <c r="D4387">
        <v>120</v>
      </c>
      <c r="E4387">
        <v>89</v>
      </c>
      <c r="F4387" t="s">
        <v>3192</v>
      </c>
      <c r="G4387" t="s">
        <v>4977</v>
      </c>
    </row>
    <row r="4388" spans="1:7" x14ac:dyDescent="0.3">
      <c r="A4388">
        <v>4386</v>
      </c>
      <c r="B4388" t="s">
        <v>5024</v>
      </c>
      <c r="C4388" t="s">
        <v>5023</v>
      </c>
      <c r="D4388">
        <v>190</v>
      </c>
      <c r="E4388">
        <v>170</v>
      </c>
      <c r="F4388" t="s">
        <v>2739</v>
      </c>
      <c r="G4388" t="s">
        <v>4977</v>
      </c>
    </row>
    <row r="4389" spans="1:7" x14ac:dyDescent="0.3">
      <c r="A4389">
        <v>4387</v>
      </c>
      <c r="B4389" t="s">
        <v>5025</v>
      </c>
      <c r="C4389" t="s">
        <v>4976</v>
      </c>
      <c r="D4389">
        <v>120</v>
      </c>
      <c r="E4389">
        <v>85</v>
      </c>
      <c r="F4389" t="s">
        <v>3192</v>
      </c>
      <c r="G4389" t="s">
        <v>4977</v>
      </c>
    </row>
    <row r="4390" spans="1:7" x14ac:dyDescent="0.3">
      <c r="A4390">
        <v>4388</v>
      </c>
      <c r="B4390" t="s">
        <v>5026</v>
      </c>
      <c r="C4390" t="s">
        <v>4976</v>
      </c>
      <c r="D4390">
        <v>240</v>
      </c>
      <c r="E4390">
        <v>180</v>
      </c>
      <c r="F4390" t="s">
        <v>2739</v>
      </c>
      <c r="G4390" t="s">
        <v>4977</v>
      </c>
    </row>
    <row r="4391" spans="1:7" x14ac:dyDescent="0.3">
      <c r="A4391">
        <v>4389</v>
      </c>
      <c r="B4391" t="s">
        <v>5027</v>
      </c>
      <c r="C4391" t="s">
        <v>4976</v>
      </c>
      <c r="D4391">
        <v>150</v>
      </c>
      <c r="E4391">
        <v>99</v>
      </c>
      <c r="F4391" t="s">
        <v>2739</v>
      </c>
      <c r="G4391" t="s">
        <v>4977</v>
      </c>
    </row>
    <row r="4392" spans="1:7" x14ac:dyDescent="0.3">
      <c r="A4392">
        <v>4390</v>
      </c>
      <c r="B4392" t="s">
        <v>5028</v>
      </c>
      <c r="C4392" t="s">
        <v>4990</v>
      </c>
      <c r="D4392">
        <v>145</v>
      </c>
      <c r="E4392">
        <v>105</v>
      </c>
      <c r="F4392" t="s">
        <v>307</v>
      </c>
      <c r="G4392" t="s">
        <v>4977</v>
      </c>
    </row>
    <row r="4393" spans="1:7" x14ac:dyDescent="0.3">
      <c r="A4393">
        <v>4391</v>
      </c>
      <c r="B4393" t="s">
        <v>5029</v>
      </c>
      <c r="C4393" t="s">
        <v>4976</v>
      </c>
      <c r="D4393">
        <v>120</v>
      </c>
      <c r="E4393">
        <v>85</v>
      </c>
      <c r="F4393" t="s">
        <v>3192</v>
      </c>
      <c r="G4393" t="s">
        <v>4977</v>
      </c>
    </row>
    <row r="4394" spans="1:7" x14ac:dyDescent="0.3">
      <c r="A4394">
        <v>4392</v>
      </c>
      <c r="B4394" t="s">
        <v>5030</v>
      </c>
      <c r="C4394" t="s">
        <v>4976</v>
      </c>
      <c r="D4394">
        <v>99</v>
      </c>
      <c r="E4394">
        <v>74</v>
      </c>
      <c r="F4394" t="s">
        <v>3252</v>
      </c>
      <c r="G4394" t="s">
        <v>4977</v>
      </c>
    </row>
    <row r="4395" spans="1:7" x14ac:dyDescent="0.3">
      <c r="A4395">
        <v>4393</v>
      </c>
      <c r="B4395" t="s">
        <v>5031</v>
      </c>
      <c r="C4395" t="s">
        <v>4976</v>
      </c>
      <c r="D4395">
        <v>99</v>
      </c>
      <c r="E4395">
        <v>74</v>
      </c>
      <c r="F4395" t="s">
        <v>2691</v>
      </c>
      <c r="G4395" t="s">
        <v>4977</v>
      </c>
    </row>
    <row r="4396" spans="1:7" x14ac:dyDescent="0.3">
      <c r="A4396">
        <v>4394</v>
      </c>
      <c r="B4396" t="s">
        <v>5032</v>
      </c>
      <c r="C4396" t="s">
        <v>5033</v>
      </c>
      <c r="D4396">
        <v>64</v>
      </c>
      <c r="E4396">
        <v>45</v>
      </c>
      <c r="F4396" t="s">
        <v>2739</v>
      </c>
      <c r="G4396" t="s">
        <v>4977</v>
      </c>
    </row>
    <row r="4397" spans="1:7" x14ac:dyDescent="0.3">
      <c r="A4397">
        <v>4395</v>
      </c>
      <c r="B4397" t="s">
        <v>5034</v>
      </c>
      <c r="C4397" t="s">
        <v>4976</v>
      </c>
      <c r="D4397">
        <v>150</v>
      </c>
      <c r="E4397">
        <v>105</v>
      </c>
      <c r="F4397" t="s">
        <v>2739</v>
      </c>
      <c r="G4397" t="s">
        <v>4977</v>
      </c>
    </row>
    <row r="4398" spans="1:7" x14ac:dyDescent="0.3">
      <c r="A4398">
        <v>4396</v>
      </c>
      <c r="B4398" t="s">
        <v>5035</v>
      </c>
      <c r="C4398" t="s">
        <v>4990</v>
      </c>
      <c r="D4398">
        <v>200</v>
      </c>
      <c r="E4398">
        <v>175</v>
      </c>
      <c r="F4398" t="s">
        <v>2739</v>
      </c>
      <c r="G4398" t="s">
        <v>4977</v>
      </c>
    </row>
    <row r="4399" spans="1:7" x14ac:dyDescent="0.3">
      <c r="A4399">
        <v>4397</v>
      </c>
      <c r="B4399" t="s">
        <v>5036</v>
      </c>
      <c r="C4399" t="s">
        <v>5037</v>
      </c>
      <c r="D4399">
        <v>39</v>
      </c>
      <c r="E4399">
        <v>25</v>
      </c>
      <c r="F4399" t="s">
        <v>2712</v>
      </c>
      <c r="G4399" t="s">
        <v>4977</v>
      </c>
    </row>
    <row r="4400" spans="1:7" x14ac:dyDescent="0.3">
      <c r="A4400">
        <v>4398</v>
      </c>
      <c r="B4400" t="s">
        <v>5038</v>
      </c>
      <c r="C4400" t="s">
        <v>4976</v>
      </c>
      <c r="D4400">
        <v>79</v>
      </c>
      <c r="E4400">
        <v>59</v>
      </c>
      <c r="F4400" t="s">
        <v>2712</v>
      </c>
      <c r="G4400" t="s">
        <v>4977</v>
      </c>
    </row>
    <row r="4401" spans="1:7" x14ac:dyDescent="0.3">
      <c r="A4401">
        <v>4399</v>
      </c>
      <c r="B4401" t="s">
        <v>5039</v>
      </c>
      <c r="C4401" t="s">
        <v>4976</v>
      </c>
      <c r="D4401">
        <v>79</v>
      </c>
      <c r="E4401">
        <v>59</v>
      </c>
      <c r="F4401" t="s">
        <v>2712</v>
      </c>
      <c r="G4401" t="s">
        <v>4977</v>
      </c>
    </row>
    <row r="4402" spans="1:7" x14ac:dyDescent="0.3">
      <c r="A4402">
        <v>4400</v>
      </c>
      <c r="B4402" t="s">
        <v>5040</v>
      </c>
      <c r="C4402" t="s">
        <v>4976</v>
      </c>
      <c r="D4402">
        <v>99</v>
      </c>
      <c r="E4402">
        <v>74</v>
      </c>
      <c r="F4402" t="s">
        <v>2691</v>
      </c>
      <c r="G4402" t="s">
        <v>4977</v>
      </c>
    </row>
    <row r="4403" spans="1:7" x14ac:dyDescent="0.3">
      <c r="A4403">
        <v>4401</v>
      </c>
      <c r="B4403" t="s">
        <v>5041</v>
      </c>
      <c r="C4403" t="s">
        <v>5033</v>
      </c>
      <c r="D4403">
        <v>64</v>
      </c>
      <c r="E4403">
        <v>45</v>
      </c>
      <c r="F4403" t="s">
        <v>2739</v>
      </c>
      <c r="G4403" t="s">
        <v>4977</v>
      </c>
    </row>
    <row r="4404" spans="1:7" x14ac:dyDescent="0.3">
      <c r="A4404">
        <v>4402</v>
      </c>
      <c r="B4404" t="s">
        <v>5042</v>
      </c>
      <c r="C4404" t="s">
        <v>5037</v>
      </c>
      <c r="D4404">
        <v>89</v>
      </c>
      <c r="E4404">
        <v>59</v>
      </c>
      <c r="F4404" t="s">
        <v>2739</v>
      </c>
      <c r="G4404" t="s">
        <v>4977</v>
      </c>
    </row>
    <row r="4405" spans="1:7" x14ac:dyDescent="0.3">
      <c r="A4405">
        <v>4403</v>
      </c>
      <c r="B4405" t="s">
        <v>5043</v>
      </c>
      <c r="C4405" t="s">
        <v>4990</v>
      </c>
      <c r="D4405">
        <v>110</v>
      </c>
      <c r="E4405">
        <v>75</v>
      </c>
      <c r="F4405" t="s">
        <v>2739</v>
      </c>
      <c r="G4405" t="s">
        <v>4977</v>
      </c>
    </row>
    <row r="4406" spans="1:7" x14ac:dyDescent="0.3">
      <c r="A4406">
        <v>4404</v>
      </c>
      <c r="B4406" t="s">
        <v>5044</v>
      </c>
      <c r="C4406" t="s">
        <v>5033</v>
      </c>
      <c r="D4406">
        <v>18</v>
      </c>
      <c r="E4406">
        <v>10</v>
      </c>
      <c r="F4406" t="s">
        <v>2712</v>
      </c>
      <c r="G4406" t="s">
        <v>4977</v>
      </c>
    </row>
    <row r="4407" spans="1:7" x14ac:dyDescent="0.3">
      <c r="A4407">
        <v>4405</v>
      </c>
      <c r="B4407" t="s">
        <v>5045</v>
      </c>
      <c r="C4407" t="s">
        <v>4990</v>
      </c>
      <c r="D4407">
        <v>100</v>
      </c>
      <c r="E4407">
        <v>79</v>
      </c>
      <c r="F4407" t="s">
        <v>2712</v>
      </c>
      <c r="G4407" t="s">
        <v>4977</v>
      </c>
    </row>
    <row r="4408" spans="1:7" x14ac:dyDescent="0.3">
      <c r="A4408">
        <v>4406</v>
      </c>
      <c r="B4408" t="s">
        <v>5046</v>
      </c>
      <c r="C4408" t="s">
        <v>5033</v>
      </c>
      <c r="D4408">
        <v>99</v>
      </c>
      <c r="E4408">
        <v>59</v>
      </c>
      <c r="F4408" t="s">
        <v>2691</v>
      </c>
      <c r="G4408" t="s">
        <v>4977</v>
      </c>
    </row>
    <row r="4409" spans="1:7" x14ac:dyDescent="0.3">
      <c r="A4409">
        <v>4407</v>
      </c>
      <c r="B4409" t="s">
        <v>5047</v>
      </c>
      <c r="C4409" t="s">
        <v>5048</v>
      </c>
      <c r="D4409">
        <v>675</v>
      </c>
      <c r="E4409">
        <v>535</v>
      </c>
      <c r="F4409" t="s">
        <v>3882</v>
      </c>
      <c r="G4409" t="s">
        <v>1510</v>
      </c>
    </row>
    <row r="4410" spans="1:7" x14ac:dyDescent="0.3">
      <c r="A4410">
        <v>4408</v>
      </c>
      <c r="B4410" t="s">
        <v>5047</v>
      </c>
      <c r="C4410" t="s">
        <v>5048</v>
      </c>
      <c r="D4410">
        <v>549</v>
      </c>
      <c r="E4410">
        <v>367</v>
      </c>
      <c r="F4410" t="s">
        <v>5049</v>
      </c>
      <c r="G4410" t="s">
        <v>1510</v>
      </c>
    </row>
    <row r="4411" spans="1:7" x14ac:dyDescent="0.3">
      <c r="A4411">
        <v>4409</v>
      </c>
      <c r="B4411" t="s">
        <v>5047</v>
      </c>
      <c r="C4411" t="s">
        <v>5048</v>
      </c>
      <c r="D4411">
        <v>185</v>
      </c>
      <c r="E4411">
        <v>171</v>
      </c>
      <c r="F4411" t="s">
        <v>3139</v>
      </c>
      <c r="G4411" t="s">
        <v>1510</v>
      </c>
    </row>
    <row r="4412" spans="1:7" x14ac:dyDescent="0.3">
      <c r="A4412">
        <v>4410</v>
      </c>
      <c r="B4412" t="s">
        <v>5050</v>
      </c>
      <c r="C4412" t="s">
        <v>5051</v>
      </c>
      <c r="D4412">
        <v>500</v>
      </c>
      <c r="E4412">
        <v>335</v>
      </c>
      <c r="F4412" t="s">
        <v>5052</v>
      </c>
      <c r="G4412" t="s">
        <v>1510</v>
      </c>
    </row>
    <row r="4413" spans="1:7" x14ac:dyDescent="0.3">
      <c r="A4413">
        <v>4411</v>
      </c>
      <c r="B4413" t="s">
        <v>5053</v>
      </c>
      <c r="C4413" t="s">
        <v>5051</v>
      </c>
      <c r="D4413">
        <v>123</v>
      </c>
      <c r="E4413">
        <v>113</v>
      </c>
      <c r="F4413" t="s">
        <v>3151</v>
      </c>
      <c r="G4413" t="s">
        <v>1510</v>
      </c>
    </row>
    <row r="4414" spans="1:7" x14ac:dyDescent="0.3">
      <c r="A4414">
        <v>4412</v>
      </c>
      <c r="B4414" t="s">
        <v>5053</v>
      </c>
      <c r="C4414" t="s">
        <v>5051</v>
      </c>
      <c r="D4414">
        <v>245</v>
      </c>
      <c r="E4414">
        <v>185</v>
      </c>
      <c r="F4414" t="s">
        <v>5054</v>
      </c>
      <c r="G4414" t="s">
        <v>1510</v>
      </c>
    </row>
    <row r="4415" spans="1:7" x14ac:dyDescent="0.3">
      <c r="A4415">
        <v>4413</v>
      </c>
      <c r="B4415" t="s">
        <v>5055</v>
      </c>
      <c r="C4415" t="s">
        <v>5056</v>
      </c>
      <c r="D4415">
        <v>399</v>
      </c>
      <c r="E4415">
        <v>298</v>
      </c>
      <c r="F4415" t="s">
        <v>5057</v>
      </c>
      <c r="G4415" t="s">
        <v>1510</v>
      </c>
    </row>
    <row r="4416" spans="1:7" x14ac:dyDescent="0.3">
      <c r="A4416">
        <v>4414</v>
      </c>
      <c r="B4416" t="s">
        <v>5058</v>
      </c>
      <c r="C4416" t="s">
        <v>5048</v>
      </c>
      <c r="D4416">
        <v>499</v>
      </c>
      <c r="E4416">
        <v>364</v>
      </c>
      <c r="F4416" t="s">
        <v>5049</v>
      </c>
      <c r="G4416" t="s">
        <v>1510</v>
      </c>
    </row>
    <row r="4417" spans="1:7" x14ac:dyDescent="0.3">
      <c r="A4417">
        <v>4415</v>
      </c>
      <c r="B4417" t="s">
        <v>5059</v>
      </c>
      <c r="C4417" t="s">
        <v>5048</v>
      </c>
      <c r="D4417">
        <v>275</v>
      </c>
      <c r="E4417">
        <v>245</v>
      </c>
      <c r="F4417" t="s">
        <v>5060</v>
      </c>
      <c r="G4417" t="s">
        <v>1510</v>
      </c>
    </row>
    <row r="4418" spans="1:7" x14ac:dyDescent="0.3">
      <c r="A4418">
        <v>4416</v>
      </c>
      <c r="B4418" t="s">
        <v>5059</v>
      </c>
      <c r="C4418" t="s">
        <v>5048</v>
      </c>
      <c r="D4418">
        <v>499</v>
      </c>
      <c r="E4418">
        <v>372</v>
      </c>
      <c r="F4418" t="s">
        <v>5054</v>
      </c>
      <c r="G4418" t="s">
        <v>1510</v>
      </c>
    </row>
    <row r="4419" spans="1:7" x14ac:dyDescent="0.3">
      <c r="A4419">
        <v>4417</v>
      </c>
      <c r="B4419" t="s">
        <v>5059</v>
      </c>
      <c r="C4419" t="s">
        <v>5048</v>
      </c>
      <c r="D4419">
        <v>190</v>
      </c>
      <c r="E4419">
        <v>176</v>
      </c>
      <c r="F4419" t="s">
        <v>3139</v>
      </c>
      <c r="G4419" t="s">
        <v>1510</v>
      </c>
    </row>
    <row r="4420" spans="1:7" x14ac:dyDescent="0.3">
      <c r="A4420">
        <v>4418</v>
      </c>
      <c r="B4420" t="s">
        <v>5059</v>
      </c>
      <c r="C4420" t="s">
        <v>5048</v>
      </c>
      <c r="D4420">
        <v>350</v>
      </c>
      <c r="E4420">
        <v>320</v>
      </c>
      <c r="F4420" t="s">
        <v>5061</v>
      </c>
      <c r="G4420" t="s">
        <v>1510</v>
      </c>
    </row>
    <row r="4421" spans="1:7" x14ac:dyDescent="0.3">
      <c r="A4421">
        <v>4419</v>
      </c>
      <c r="B4421" t="s">
        <v>5059</v>
      </c>
      <c r="C4421" t="s">
        <v>5048</v>
      </c>
      <c r="D4421">
        <v>275</v>
      </c>
      <c r="E4421">
        <v>230</v>
      </c>
      <c r="F4421" t="s">
        <v>1094</v>
      </c>
      <c r="G4421" t="s">
        <v>1510</v>
      </c>
    </row>
    <row r="4422" spans="1:7" x14ac:dyDescent="0.3">
      <c r="A4422">
        <v>4420</v>
      </c>
      <c r="B4422" t="s">
        <v>5062</v>
      </c>
      <c r="C4422" t="s">
        <v>5048</v>
      </c>
      <c r="D4422">
        <v>45</v>
      </c>
      <c r="E4422">
        <v>41</v>
      </c>
      <c r="F4422" t="s">
        <v>3192</v>
      </c>
      <c r="G4422" t="s">
        <v>1510</v>
      </c>
    </row>
    <row r="4423" spans="1:7" x14ac:dyDescent="0.3">
      <c r="A4423">
        <v>4421</v>
      </c>
      <c r="B4423" t="s">
        <v>5062</v>
      </c>
      <c r="C4423" t="s">
        <v>5048</v>
      </c>
      <c r="D4423">
        <v>144</v>
      </c>
      <c r="E4423">
        <v>121</v>
      </c>
      <c r="F4423" t="s">
        <v>3151</v>
      </c>
      <c r="G4423" t="s">
        <v>1510</v>
      </c>
    </row>
    <row r="4424" spans="1:7" x14ac:dyDescent="0.3">
      <c r="A4424">
        <v>4422</v>
      </c>
      <c r="B4424" t="s">
        <v>5063</v>
      </c>
      <c r="C4424" t="s">
        <v>5051</v>
      </c>
      <c r="D4424">
        <v>90</v>
      </c>
      <c r="E4424">
        <v>82</v>
      </c>
      <c r="F4424" t="s">
        <v>3151</v>
      </c>
      <c r="G4424" t="s">
        <v>1510</v>
      </c>
    </row>
    <row r="4425" spans="1:7" x14ac:dyDescent="0.3">
      <c r="A4425">
        <v>4423</v>
      </c>
      <c r="B4425" t="s">
        <v>5064</v>
      </c>
      <c r="C4425" t="s">
        <v>5065</v>
      </c>
      <c r="D4425">
        <v>180</v>
      </c>
      <c r="E4425">
        <v>165</v>
      </c>
      <c r="F4425" t="s">
        <v>4163</v>
      </c>
      <c r="G4425" t="s">
        <v>5066</v>
      </c>
    </row>
    <row r="4426" spans="1:7" x14ac:dyDescent="0.3">
      <c r="A4426">
        <v>4424</v>
      </c>
      <c r="B4426" t="s">
        <v>5067</v>
      </c>
      <c r="C4426" t="s">
        <v>5051</v>
      </c>
      <c r="D4426">
        <v>145</v>
      </c>
      <c r="E4426">
        <v>120</v>
      </c>
      <c r="F4426" t="s">
        <v>3151</v>
      </c>
      <c r="G4426" t="s">
        <v>1510</v>
      </c>
    </row>
    <row r="4427" spans="1:7" x14ac:dyDescent="0.3">
      <c r="A4427">
        <v>4425</v>
      </c>
      <c r="B4427" t="s">
        <v>5068</v>
      </c>
      <c r="C4427" t="s">
        <v>5048</v>
      </c>
      <c r="D4427">
        <v>90</v>
      </c>
      <c r="E4427">
        <v>83</v>
      </c>
      <c r="F4427" t="s">
        <v>3151</v>
      </c>
      <c r="G4427" t="s">
        <v>1510</v>
      </c>
    </row>
    <row r="4428" spans="1:7" x14ac:dyDescent="0.3">
      <c r="A4428">
        <v>4426</v>
      </c>
      <c r="B4428" t="s">
        <v>5069</v>
      </c>
      <c r="C4428" t="s">
        <v>5048</v>
      </c>
      <c r="D4428">
        <v>290</v>
      </c>
      <c r="E4428">
        <v>265</v>
      </c>
      <c r="F4428" t="s">
        <v>2632</v>
      </c>
      <c r="G4428" t="s">
        <v>1510</v>
      </c>
    </row>
    <row r="4429" spans="1:7" x14ac:dyDescent="0.3">
      <c r="A4429">
        <v>4427</v>
      </c>
      <c r="B4429" t="s">
        <v>5069</v>
      </c>
      <c r="C4429" t="s">
        <v>5048</v>
      </c>
      <c r="D4429">
        <v>159</v>
      </c>
      <c r="E4429">
        <v>146</v>
      </c>
      <c r="F4429" t="s">
        <v>3139</v>
      </c>
      <c r="G4429" t="s">
        <v>1510</v>
      </c>
    </row>
    <row r="4430" spans="1:7" x14ac:dyDescent="0.3">
      <c r="A4430">
        <v>4428</v>
      </c>
      <c r="B4430" t="s">
        <v>5062</v>
      </c>
      <c r="C4430" t="s">
        <v>5048</v>
      </c>
      <c r="D4430">
        <v>290</v>
      </c>
      <c r="E4430">
        <v>230</v>
      </c>
      <c r="F4430" t="s">
        <v>5054</v>
      </c>
      <c r="G4430" t="s">
        <v>1510</v>
      </c>
    </row>
    <row r="4431" spans="1:7" x14ac:dyDescent="0.3">
      <c r="A4431">
        <v>4429</v>
      </c>
      <c r="B4431" t="s">
        <v>5070</v>
      </c>
      <c r="C4431" t="s">
        <v>5051</v>
      </c>
      <c r="D4431">
        <v>260</v>
      </c>
      <c r="E4431">
        <v>241</v>
      </c>
      <c r="F4431" t="s">
        <v>5054</v>
      </c>
      <c r="G4431" t="s">
        <v>1510</v>
      </c>
    </row>
    <row r="4432" spans="1:7" x14ac:dyDescent="0.3">
      <c r="A4432">
        <v>4430</v>
      </c>
      <c r="B4432" t="s">
        <v>5071</v>
      </c>
      <c r="C4432" t="s">
        <v>5072</v>
      </c>
      <c r="D4432">
        <v>99</v>
      </c>
      <c r="E4432">
        <v>89</v>
      </c>
      <c r="F4432" t="s">
        <v>3151</v>
      </c>
      <c r="G4432" t="s">
        <v>1510</v>
      </c>
    </row>
    <row r="4433" spans="1:7" x14ac:dyDescent="0.3">
      <c r="A4433">
        <v>4431</v>
      </c>
      <c r="B4433" t="s">
        <v>5073</v>
      </c>
      <c r="C4433" t="s">
        <v>5048</v>
      </c>
      <c r="D4433">
        <v>95</v>
      </c>
      <c r="E4433">
        <v>88</v>
      </c>
      <c r="F4433" t="s">
        <v>3905</v>
      </c>
      <c r="G4433" t="s">
        <v>1510</v>
      </c>
    </row>
    <row r="4434" spans="1:7" x14ac:dyDescent="0.3">
      <c r="A4434">
        <v>4432</v>
      </c>
      <c r="B4434" t="s">
        <v>5074</v>
      </c>
      <c r="C4434" t="s">
        <v>4147</v>
      </c>
      <c r="D4434">
        <v>225</v>
      </c>
      <c r="E4434">
        <v>112</v>
      </c>
      <c r="F4434" t="s">
        <v>1109</v>
      </c>
      <c r="G4434" t="s">
        <v>5075</v>
      </c>
    </row>
    <row r="4435" spans="1:7" x14ac:dyDescent="0.3">
      <c r="A4435">
        <v>4433</v>
      </c>
      <c r="B4435" t="s">
        <v>5076</v>
      </c>
      <c r="C4435" t="s">
        <v>5077</v>
      </c>
      <c r="D4435">
        <v>375</v>
      </c>
      <c r="E4435">
        <v>275</v>
      </c>
      <c r="F4435" t="s">
        <v>3013</v>
      </c>
      <c r="G4435" t="s">
        <v>5075</v>
      </c>
    </row>
    <row r="4436" spans="1:7" x14ac:dyDescent="0.3">
      <c r="A4436">
        <v>4434</v>
      </c>
      <c r="B4436" t="s">
        <v>5078</v>
      </c>
      <c r="C4436" t="s">
        <v>5079</v>
      </c>
      <c r="D4436">
        <v>210</v>
      </c>
      <c r="E4436">
        <v>145</v>
      </c>
      <c r="F4436" t="s">
        <v>1109</v>
      </c>
      <c r="G4436" t="s">
        <v>5075</v>
      </c>
    </row>
    <row r="4437" spans="1:7" x14ac:dyDescent="0.3">
      <c r="A4437">
        <v>4435</v>
      </c>
      <c r="B4437" t="s">
        <v>5078</v>
      </c>
      <c r="C4437" t="s">
        <v>5079</v>
      </c>
      <c r="D4437">
        <v>360</v>
      </c>
      <c r="E4437">
        <v>180</v>
      </c>
      <c r="F4437" t="s">
        <v>3013</v>
      </c>
      <c r="G4437" t="s">
        <v>5075</v>
      </c>
    </row>
    <row r="4438" spans="1:7" x14ac:dyDescent="0.3">
      <c r="A4438">
        <v>4436</v>
      </c>
      <c r="B4438" t="s">
        <v>5080</v>
      </c>
      <c r="C4438" t="s">
        <v>5081</v>
      </c>
      <c r="D4438">
        <v>275</v>
      </c>
      <c r="E4438">
        <v>175</v>
      </c>
      <c r="F4438" t="s">
        <v>1109</v>
      </c>
      <c r="G4438" t="s">
        <v>5075</v>
      </c>
    </row>
    <row r="4439" spans="1:7" x14ac:dyDescent="0.3">
      <c r="A4439">
        <v>4437</v>
      </c>
      <c r="B4439" t="s">
        <v>5082</v>
      </c>
      <c r="C4439" t="s">
        <v>5083</v>
      </c>
      <c r="D4439">
        <v>325</v>
      </c>
      <c r="E4439">
        <v>162</v>
      </c>
      <c r="F4439" t="s">
        <v>399</v>
      </c>
      <c r="G4439" t="s">
        <v>5075</v>
      </c>
    </row>
    <row r="4440" spans="1:7" x14ac:dyDescent="0.3">
      <c r="A4440">
        <v>4438</v>
      </c>
      <c r="B4440" t="s">
        <v>5084</v>
      </c>
      <c r="C4440" t="s">
        <v>5081</v>
      </c>
      <c r="D4440">
        <v>275</v>
      </c>
      <c r="E4440">
        <v>175</v>
      </c>
      <c r="F4440" t="s">
        <v>1109</v>
      </c>
      <c r="G4440" t="s">
        <v>5075</v>
      </c>
    </row>
    <row r="4441" spans="1:7" x14ac:dyDescent="0.3">
      <c r="A4441">
        <v>4439</v>
      </c>
      <c r="B4441" t="s">
        <v>5085</v>
      </c>
      <c r="C4441" t="s">
        <v>5081</v>
      </c>
      <c r="D4441">
        <v>275</v>
      </c>
      <c r="E4441">
        <v>137</v>
      </c>
      <c r="F4441" t="s">
        <v>4172</v>
      </c>
      <c r="G4441" t="s">
        <v>5075</v>
      </c>
    </row>
    <row r="4442" spans="1:7" x14ac:dyDescent="0.3">
      <c r="A4442">
        <v>4440</v>
      </c>
      <c r="B4442" t="s">
        <v>5086</v>
      </c>
      <c r="C4442" t="s">
        <v>4147</v>
      </c>
      <c r="D4442">
        <v>199</v>
      </c>
      <c r="E4442">
        <v>144</v>
      </c>
      <c r="F4442" t="s">
        <v>2599</v>
      </c>
      <c r="G4442" t="s">
        <v>5075</v>
      </c>
    </row>
    <row r="4443" spans="1:7" x14ac:dyDescent="0.3">
      <c r="A4443">
        <v>4441</v>
      </c>
      <c r="B4443" t="s">
        <v>5087</v>
      </c>
      <c r="C4443" t="s">
        <v>5081</v>
      </c>
      <c r="D4443">
        <v>275</v>
      </c>
      <c r="E4443">
        <v>137</v>
      </c>
      <c r="F4443" t="s">
        <v>4172</v>
      </c>
      <c r="G4443" t="s">
        <v>1510</v>
      </c>
    </row>
    <row r="4444" spans="1:7" x14ac:dyDescent="0.3">
      <c r="A4444">
        <v>4442</v>
      </c>
      <c r="B4444" t="s">
        <v>5088</v>
      </c>
      <c r="C4444" t="s">
        <v>5081</v>
      </c>
      <c r="D4444">
        <v>650</v>
      </c>
      <c r="E4444">
        <v>325</v>
      </c>
      <c r="F4444" t="s">
        <v>4163</v>
      </c>
      <c r="G4444" t="s">
        <v>5075</v>
      </c>
    </row>
    <row r="4445" spans="1:7" x14ac:dyDescent="0.3">
      <c r="A4445">
        <v>4443</v>
      </c>
      <c r="B4445" t="s">
        <v>5089</v>
      </c>
      <c r="C4445" t="s">
        <v>5081</v>
      </c>
      <c r="D4445">
        <v>650</v>
      </c>
      <c r="E4445">
        <v>325</v>
      </c>
      <c r="F4445" t="s">
        <v>4163</v>
      </c>
      <c r="G4445" t="s">
        <v>5075</v>
      </c>
    </row>
    <row r="4446" spans="1:7" x14ac:dyDescent="0.3">
      <c r="A4446">
        <v>4444</v>
      </c>
      <c r="B4446" t="s">
        <v>5090</v>
      </c>
      <c r="C4446" t="s">
        <v>5083</v>
      </c>
      <c r="D4446">
        <v>325</v>
      </c>
      <c r="E4446">
        <v>162</v>
      </c>
      <c r="F4446" t="s">
        <v>399</v>
      </c>
      <c r="G4446" t="s">
        <v>5075</v>
      </c>
    </row>
    <row r="4447" spans="1:7" x14ac:dyDescent="0.3">
      <c r="A4447">
        <v>4445</v>
      </c>
      <c r="B4447" t="s">
        <v>5091</v>
      </c>
      <c r="C4447" t="s">
        <v>5081</v>
      </c>
      <c r="D4447">
        <v>275</v>
      </c>
      <c r="E4447">
        <v>169</v>
      </c>
      <c r="F4447" t="s">
        <v>1109</v>
      </c>
      <c r="G4447" t="s">
        <v>5075</v>
      </c>
    </row>
    <row r="4448" spans="1:7" x14ac:dyDescent="0.3">
      <c r="A4448">
        <v>4446</v>
      </c>
      <c r="B4448" t="s">
        <v>5092</v>
      </c>
      <c r="C4448" t="s">
        <v>5077</v>
      </c>
      <c r="D4448">
        <v>375</v>
      </c>
      <c r="E4448">
        <v>295</v>
      </c>
      <c r="F4448" t="s">
        <v>3013</v>
      </c>
      <c r="G4448" t="s">
        <v>5075</v>
      </c>
    </row>
    <row r="4449" spans="1:7" x14ac:dyDescent="0.3">
      <c r="A4449">
        <v>4447</v>
      </c>
      <c r="B4449" t="s">
        <v>5093</v>
      </c>
      <c r="C4449" t="s">
        <v>4147</v>
      </c>
      <c r="D4449">
        <v>199</v>
      </c>
      <c r="E4449">
        <v>149</v>
      </c>
      <c r="F4449" t="s">
        <v>2599</v>
      </c>
      <c r="G4449" t="s">
        <v>5075</v>
      </c>
    </row>
    <row r="4450" spans="1:7" x14ac:dyDescent="0.3">
      <c r="A4450">
        <v>4448</v>
      </c>
      <c r="B4450" t="s">
        <v>5094</v>
      </c>
      <c r="C4450" t="s">
        <v>5095</v>
      </c>
      <c r="D4450">
        <v>315</v>
      </c>
      <c r="E4450">
        <v>157</v>
      </c>
      <c r="F4450" t="s">
        <v>471</v>
      </c>
      <c r="G4450" t="s">
        <v>5075</v>
      </c>
    </row>
    <row r="4451" spans="1:7" x14ac:dyDescent="0.3">
      <c r="A4451">
        <v>4449</v>
      </c>
      <c r="B4451" t="s">
        <v>5096</v>
      </c>
      <c r="C4451" t="s">
        <v>5081</v>
      </c>
      <c r="D4451">
        <v>650</v>
      </c>
      <c r="E4451">
        <v>325</v>
      </c>
      <c r="F4451" t="s">
        <v>4163</v>
      </c>
      <c r="G4451" t="s">
        <v>5075</v>
      </c>
    </row>
    <row r="4452" spans="1:7" x14ac:dyDescent="0.3">
      <c r="A4452">
        <v>4450</v>
      </c>
      <c r="B4452" t="s">
        <v>5097</v>
      </c>
      <c r="C4452" t="s">
        <v>5083</v>
      </c>
      <c r="D4452">
        <v>325</v>
      </c>
      <c r="E4452">
        <v>162</v>
      </c>
      <c r="F4452" t="s">
        <v>399</v>
      </c>
      <c r="G4452" t="s">
        <v>5075</v>
      </c>
    </row>
    <row r="4453" spans="1:7" x14ac:dyDescent="0.3">
      <c r="A4453">
        <v>4451</v>
      </c>
      <c r="B4453" t="s">
        <v>5098</v>
      </c>
      <c r="C4453" t="s">
        <v>5095</v>
      </c>
      <c r="D4453">
        <v>599</v>
      </c>
      <c r="E4453">
        <v>299</v>
      </c>
      <c r="F4453" t="s">
        <v>4163</v>
      </c>
      <c r="G4453" t="s">
        <v>5075</v>
      </c>
    </row>
    <row r="4454" spans="1:7" x14ac:dyDescent="0.3">
      <c r="A4454">
        <v>4452</v>
      </c>
      <c r="B4454" t="s">
        <v>5099</v>
      </c>
      <c r="C4454" t="s">
        <v>5095</v>
      </c>
      <c r="D4454">
        <v>599</v>
      </c>
      <c r="E4454">
        <v>299</v>
      </c>
      <c r="F4454" t="s">
        <v>4163</v>
      </c>
      <c r="G4454" t="s">
        <v>5075</v>
      </c>
    </row>
    <row r="4455" spans="1:7" x14ac:dyDescent="0.3">
      <c r="A4455">
        <v>4453</v>
      </c>
      <c r="B4455" t="s">
        <v>5100</v>
      </c>
      <c r="C4455" t="s">
        <v>5077</v>
      </c>
      <c r="D4455">
        <v>330</v>
      </c>
      <c r="E4455">
        <v>165</v>
      </c>
      <c r="F4455" t="s">
        <v>4172</v>
      </c>
      <c r="G4455" t="s">
        <v>5075</v>
      </c>
    </row>
    <row r="4456" spans="1:7" x14ac:dyDescent="0.3">
      <c r="A4456">
        <v>4454</v>
      </c>
      <c r="B4456" t="s">
        <v>5101</v>
      </c>
      <c r="C4456" t="s">
        <v>5102</v>
      </c>
      <c r="D4456">
        <v>280</v>
      </c>
      <c r="E4456">
        <v>190</v>
      </c>
      <c r="F4456" t="s">
        <v>5103</v>
      </c>
      <c r="G4456" t="s">
        <v>5075</v>
      </c>
    </row>
    <row r="4457" spans="1:7" x14ac:dyDescent="0.3">
      <c r="A4457">
        <v>4455</v>
      </c>
      <c r="B4457" t="s">
        <v>5104</v>
      </c>
      <c r="C4457" t="s">
        <v>5105</v>
      </c>
      <c r="D4457">
        <v>269</v>
      </c>
      <c r="E4457">
        <v>99</v>
      </c>
      <c r="F4457" t="s">
        <v>1109</v>
      </c>
      <c r="G4457" t="s">
        <v>5075</v>
      </c>
    </row>
    <row r="4458" spans="1:7" x14ac:dyDescent="0.3">
      <c r="A4458">
        <v>4456</v>
      </c>
      <c r="B4458" t="s">
        <v>5106</v>
      </c>
      <c r="C4458" t="s">
        <v>4273</v>
      </c>
      <c r="D4458">
        <v>649</v>
      </c>
      <c r="E4458">
        <v>359</v>
      </c>
      <c r="F4458" t="s">
        <v>4163</v>
      </c>
      <c r="G4458" t="s">
        <v>5075</v>
      </c>
    </row>
    <row r="4459" spans="1:7" x14ac:dyDescent="0.3">
      <c r="A4459">
        <v>4457</v>
      </c>
      <c r="B4459" t="s">
        <v>5107</v>
      </c>
      <c r="C4459" t="s">
        <v>4147</v>
      </c>
      <c r="D4459">
        <v>199</v>
      </c>
      <c r="E4459">
        <v>144</v>
      </c>
      <c r="F4459" t="s">
        <v>2599</v>
      </c>
      <c r="G4459" t="s">
        <v>5075</v>
      </c>
    </row>
    <row r="4460" spans="1:7" x14ac:dyDescent="0.3">
      <c r="A4460">
        <v>4458</v>
      </c>
      <c r="B4460" t="s">
        <v>5108</v>
      </c>
      <c r="C4460" t="s">
        <v>5095</v>
      </c>
      <c r="D4460">
        <v>210</v>
      </c>
      <c r="E4460">
        <v>145</v>
      </c>
      <c r="F4460" t="s">
        <v>1109</v>
      </c>
      <c r="G4460" t="s">
        <v>5075</v>
      </c>
    </row>
    <row r="4461" spans="1:7" x14ac:dyDescent="0.3">
      <c r="A4461">
        <v>4459</v>
      </c>
      <c r="B4461" t="s">
        <v>5109</v>
      </c>
      <c r="C4461" t="s">
        <v>5083</v>
      </c>
      <c r="D4461">
        <v>325</v>
      </c>
      <c r="E4461">
        <v>162</v>
      </c>
      <c r="F4461" t="s">
        <v>399</v>
      </c>
      <c r="G4461" t="s">
        <v>5075</v>
      </c>
    </row>
    <row r="4462" spans="1:7" x14ac:dyDescent="0.3">
      <c r="A4462">
        <v>4460</v>
      </c>
      <c r="B4462" t="s">
        <v>5110</v>
      </c>
      <c r="C4462" t="s">
        <v>5102</v>
      </c>
      <c r="D4462">
        <v>280</v>
      </c>
      <c r="E4462">
        <v>195</v>
      </c>
      <c r="F4462" t="s">
        <v>5103</v>
      </c>
      <c r="G4462" t="s">
        <v>5075</v>
      </c>
    </row>
    <row r="4463" spans="1:7" x14ac:dyDescent="0.3">
      <c r="A4463">
        <v>4461</v>
      </c>
      <c r="B4463" t="s">
        <v>5111</v>
      </c>
      <c r="C4463" t="s">
        <v>5105</v>
      </c>
      <c r="D4463">
        <v>269</v>
      </c>
      <c r="E4463">
        <v>99</v>
      </c>
      <c r="F4463" t="s">
        <v>1109</v>
      </c>
      <c r="G4463" t="s">
        <v>5075</v>
      </c>
    </row>
    <row r="4464" spans="1:7" x14ac:dyDescent="0.3">
      <c r="A4464">
        <v>4462</v>
      </c>
      <c r="B4464" t="s">
        <v>5112</v>
      </c>
      <c r="C4464" t="s">
        <v>5079</v>
      </c>
      <c r="D4464">
        <v>360</v>
      </c>
      <c r="E4464">
        <v>180</v>
      </c>
      <c r="F4464" t="s">
        <v>3013</v>
      </c>
      <c r="G4464" t="s">
        <v>5075</v>
      </c>
    </row>
    <row r="4465" spans="1:7" x14ac:dyDescent="0.3">
      <c r="A4465">
        <v>4463</v>
      </c>
      <c r="B4465" t="s">
        <v>5113</v>
      </c>
      <c r="C4465" t="s">
        <v>5095</v>
      </c>
      <c r="D4465">
        <v>599</v>
      </c>
      <c r="E4465">
        <v>299</v>
      </c>
      <c r="F4465" t="s">
        <v>4163</v>
      </c>
      <c r="G4465" t="s">
        <v>5075</v>
      </c>
    </row>
    <row r="4466" spans="1:7" x14ac:dyDescent="0.3">
      <c r="A4466">
        <v>4464</v>
      </c>
      <c r="B4466" t="s">
        <v>5114</v>
      </c>
      <c r="C4466" t="s">
        <v>5102</v>
      </c>
      <c r="D4466">
        <v>280</v>
      </c>
      <c r="E4466">
        <v>150</v>
      </c>
      <c r="F4466" t="s">
        <v>5103</v>
      </c>
      <c r="G4466" t="s">
        <v>5075</v>
      </c>
    </row>
    <row r="4467" spans="1:7" x14ac:dyDescent="0.3">
      <c r="A4467">
        <v>4465</v>
      </c>
      <c r="B4467" t="s">
        <v>5115</v>
      </c>
      <c r="C4467" t="s">
        <v>4273</v>
      </c>
      <c r="D4467">
        <v>649</v>
      </c>
      <c r="E4467">
        <v>349</v>
      </c>
      <c r="F4467" t="s">
        <v>4163</v>
      </c>
      <c r="G4467" t="s">
        <v>5075</v>
      </c>
    </row>
    <row r="4468" spans="1:7" x14ac:dyDescent="0.3">
      <c r="A4468">
        <v>4466</v>
      </c>
      <c r="B4468" t="s">
        <v>5116</v>
      </c>
      <c r="C4468" t="s">
        <v>5079</v>
      </c>
      <c r="D4468">
        <v>220</v>
      </c>
      <c r="E4468">
        <v>145</v>
      </c>
      <c r="F4468" t="s">
        <v>1109</v>
      </c>
      <c r="G4468" t="s">
        <v>5075</v>
      </c>
    </row>
    <row r="4469" spans="1:7" x14ac:dyDescent="0.3">
      <c r="A4469">
        <v>4467</v>
      </c>
      <c r="B4469" t="s">
        <v>5117</v>
      </c>
      <c r="C4469" t="s">
        <v>5079</v>
      </c>
      <c r="D4469">
        <v>210</v>
      </c>
      <c r="E4469">
        <v>105</v>
      </c>
      <c r="F4469" t="s">
        <v>1109</v>
      </c>
      <c r="G4469" t="s">
        <v>5075</v>
      </c>
    </row>
    <row r="4470" spans="1:7" x14ac:dyDescent="0.3">
      <c r="A4470">
        <v>4468</v>
      </c>
      <c r="B4470" t="s">
        <v>5118</v>
      </c>
      <c r="C4470" t="s">
        <v>5095</v>
      </c>
      <c r="D4470">
        <v>210</v>
      </c>
      <c r="E4470">
        <v>155</v>
      </c>
      <c r="F4470" t="s">
        <v>1109</v>
      </c>
      <c r="G4470" t="s">
        <v>5075</v>
      </c>
    </row>
    <row r="4471" spans="1:7" x14ac:dyDescent="0.3">
      <c r="A4471">
        <v>4469</v>
      </c>
      <c r="B4471" t="s">
        <v>5119</v>
      </c>
      <c r="C4471" t="s">
        <v>4267</v>
      </c>
      <c r="D4471">
        <v>349</v>
      </c>
      <c r="E4471">
        <v>279</v>
      </c>
      <c r="F4471" t="s">
        <v>4172</v>
      </c>
      <c r="G4471" t="s">
        <v>5075</v>
      </c>
    </row>
    <row r="4472" spans="1:7" x14ac:dyDescent="0.3">
      <c r="A4472">
        <v>4470</v>
      </c>
      <c r="B4472" t="s">
        <v>5120</v>
      </c>
      <c r="C4472" t="s">
        <v>5077</v>
      </c>
      <c r="D4472">
        <v>349</v>
      </c>
      <c r="E4472">
        <v>174</v>
      </c>
      <c r="F4472" t="s">
        <v>2599</v>
      </c>
      <c r="G4472" t="s">
        <v>5075</v>
      </c>
    </row>
    <row r="4473" spans="1:7" x14ac:dyDescent="0.3">
      <c r="A4473">
        <v>4471</v>
      </c>
      <c r="B4473" t="s">
        <v>5121</v>
      </c>
      <c r="C4473" t="s">
        <v>5077</v>
      </c>
      <c r="D4473">
        <v>399</v>
      </c>
      <c r="E4473">
        <v>199</v>
      </c>
      <c r="F4473" t="s">
        <v>2599</v>
      </c>
      <c r="G4473" t="s">
        <v>5075</v>
      </c>
    </row>
    <row r="4474" spans="1:7" x14ac:dyDescent="0.3">
      <c r="A4474">
        <v>4472</v>
      </c>
      <c r="B4474" t="s">
        <v>5122</v>
      </c>
      <c r="C4474" t="s">
        <v>5081</v>
      </c>
      <c r="D4474">
        <v>275</v>
      </c>
      <c r="E4474">
        <v>137</v>
      </c>
      <c r="F4474" t="s">
        <v>4172</v>
      </c>
      <c r="G4474" t="s">
        <v>5075</v>
      </c>
    </row>
    <row r="4475" spans="1:7" x14ac:dyDescent="0.3">
      <c r="A4475">
        <v>4473</v>
      </c>
      <c r="B4475" t="s">
        <v>5123</v>
      </c>
      <c r="C4475" t="s">
        <v>4147</v>
      </c>
      <c r="D4475">
        <v>199</v>
      </c>
      <c r="E4475">
        <v>124</v>
      </c>
      <c r="F4475" t="s">
        <v>2599</v>
      </c>
      <c r="G4475" t="s">
        <v>5075</v>
      </c>
    </row>
    <row r="4476" spans="1:7" x14ac:dyDescent="0.3">
      <c r="A4476">
        <v>4474</v>
      </c>
      <c r="B4476" t="s">
        <v>5124</v>
      </c>
      <c r="C4476" t="s">
        <v>4147</v>
      </c>
      <c r="D4476">
        <v>225</v>
      </c>
      <c r="E4476">
        <v>132</v>
      </c>
      <c r="F4476" t="s">
        <v>1109</v>
      </c>
      <c r="G4476" t="s">
        <v>5075</v>
      </c>
    </row>
    <row r="4477" spans="1:7" x14ac:dyDescent="0.3">
      <c r="A4477">
        <v>4475</v>
      </c>
      <c r="B4477" t="s">
        <v>5125</v>
      </c>
      <c r="C4477" t="s">
        <v>4273</v>
      </c>
      <c r="D4477">
        <v>225</v>
      </c>
      <c r="E4477">
        <v>159</v>
      </c>
      <c r="F4477" t="s">
        <v>1109</v>
      </c>
      <c r="G4477" t="s">
        <v>5075</v>
      </c>
    </row>
    <row r="4478" spans="1:7" x14ac:dyDescent="0.3">
      <c r="A4478">
        <v>4476</v>
      </c>
      <c r="B4478" t="s">
        <v>5126</v>
      </c>
      <c r="C4478" t="s">
        <v>5081</v>
      </c>
      <c r="D4478">
        <v>275</v>
      </c>
      <c r="E4478">
        <v>155</v>
      </c>
      <c r="F4478" t="s">
        <v>1109</v>
      </c>
      <c r="G4478" t="s">
        <v>5075</v>
      </c>
    </row>
    <row r="4479" spans="1:7" x14ac:dyDescent="0.3">
      <c r="A4479">
        <v>4477</v>
      </c>
      <c r="B4479" t="s">
        <v>5127</v>
      </c>
      <c r="C4479" t="s">
        <v>4147</v>
      </c>
      <c r="D4479">
        <v>199</v>
      </c>
      <c r="E4479">
        <v>149</v>
      </c>
      <c r="F4479" t="s">
        <v>2599</v>
      </c>
      <c r="G4479" t="s">
        <v>5075</v>
      </c>
    </row>
    <row r="4480" spans="1:7" x14ac:dyDescent="0.3">
      <c r="A4480">
        <v>4478</v>
      </c>
      <c r="B4480" t="s">
        <v>5128</v>
      </c>
      <c r="C4480" t="s">
        <v>4147</v>
      </c>
      <c r="D4480">
        <v>225</v>
      </c>
      <c r="E4480">
        <v>145</v>
      </c>
      <c r="F4480" t="s">
        <v>1109</v>
      </c>
      <c r="G4480" t="s">
        <v>5075</v>
      </c>
    </row>
    <row r="4481" spans="1:7" x14ac:dyDescent="0.3">
      <c r="A4481">
        <v>4479</v>
      </c>
      <c r="B4481" t="s">
        <v>5129</v>
      </c>
      <c r="C4481" t="s">
        <v>5130</v>
      </c>
      <c r="D4481">
        <v>220</v>
      </c>
      <c r="E4481">
        <v>160</v>
      </c>
      <c r="F4481" t="s">
        <v>1109</v>
      </c>
      <c r="G4481" t="s">
        <v>5075</v>
      </c>
    </row>
    <row r="4482" spans="1:7" x14ac:dyDescent="0.3">
      <c r="A4482">
        <v>4480</v>
      </c>
      <c r="B4482" t="s">
        <v>5131</v>
      </c>
      <c r="C4482" t="s">
        <v>5132</v>
      </c>
      <c r="D4482">
        <v>250</v>
      </c>
      <c r="E4482">
        <v>145</v>
      </c>
      <c r="F4482" t="s">
        <v>1109</v>
      </c>
      <c r="G4482" t="s">
        <v>5075</v>
      </c>
    </row>
    <row r="4483" spans="1:7" x14ac:dyDescent="0.3">
      <c r="A4483">
        <v>4481</v>
      </c>
      <c r="B4483" t="s">
        <v>5133</v>
      </c>
      <c r="C4483" t="s">
        <v>4147</v>
      </c>
      <c r="D4483">
        <v>275</v>
      </c>
      <c r="E4483">
        <v>175</v>
      </c>
      <c r="F4483" t="s">
        <v>1109</v>
      </c>
      <c r="G4483" t="s">
        <v>5075</v>
      </c>
    </row>
    <row r="4484" spans="1:7" x14ac:dyDescent="0.3">
      <c r="A4484">
        <v>4482</v>
      </c>
      <c r="B4484" t="s">
        <v>5134</v>
      </c>
      <c r="C4484" t="s">
        <v>5130</v>
      </c>
      <c r="D4484">
        <v>220</v>
      </c>
      <c r="E4484">
        <v>160</v>
      </c>
      <c r="F4484" t="s">
        <v>1109</v>
      </c>
      <c r="G4484" t="s">
        <v>5075</v>
      </c>
    </row>
    <row r="4485" spans="1:7" x14ac:dyDescent="0.3">
      <c r="A4485">
        <v>4483</v>
      </c>
      <c r="B4485" t="s">
        <v>5135</v>
      </c>
      <c r="C4485" t="s">
        <v>4147</v>
      </c>
      <c r="D4485">
        <v>225</v>
      </c>
      <c r="E4485">
        <v>149</v>
      </c>
      <c r="F4485" t="s">
        <v>1109</v>
      </c>
      <c r="G4485" t="s">
        <v>5075</v>
      </c>
    </row>
    <row r="4486" spans="1:7" x14ac:dyDescent="0.3">
      <c r="A4486">
        <v>4484</v>
      </c>
      <c r="B4486" t="s">
        <v>5136</v>
      </c>
      <c r="C4486" t="s">
        <v>4147</v>
      </c>
      <c r="D4486">
        <v>225</v>
      </c>
      <c r="E4486">
        <v>160</v>
      </c>
      <c r="F4486" t="s">
        <v>1109</v>
      </c>
      <c r="G4486" t="s">
        <v>5075</v>
      </c>
    </row>
    <row r="4487" spans="1:7" x14ac:dyDescent="0.3">
      <c r="A4487">
        <v>4485</v>
      </c>
      <c r="B4487" t="s">
        <v>5137</v>
      </c>
      <c r="C4487" t="s">
        <v>4303</v>
      </c>
      <c r="D4487">
        <v>525</v>
      </c>
      <c r="E4487">
        <v>367</v>
      </c>
      <c r="F4487" t="s">
        <v>1109</v>
      </c>
      <c r="G4487" t="s">
        <v>5075</v>
      </c>
    </row>
    <row r="4488" spans="1:7" x14ac:dyDescent="0.3">
      <c r="A4488">
        <v>4486</v>
      </c>
      <c r="B4488" t="s">
        <v>5138</v>
      </c>
      <c r="C4488" t="s">
        <v>4303</v>
      </c>
      <c r="D4488">
        <v>345</v>
      </c>
      <c r="E4488">
        <v>241</v>
      </c>
      <c r="F4488" t="s">
        <v>216</v>
      </c>
      <c r="G4488" t="s">
        <v>5075</v>
      </c>
    </row>
    <row r="4489" spans="1:7" x14ac:dyDescent="0.3">
      <c r="A4489">
        <v>4487</v>
      </c>
      <c r="B4489" t="s">
        <v>5139</v>
      </c>
      <c r="C4489" t="s">
        <v>5140</v>
      </c>
      <c r="D4489">
        <v>260</v>
      </c>
      <c r="E4489">
        <v>240</v>
      </c>
      <c r="F4489" t="s">
        <v>2739</v>
      </c>
      <c r="G4489" t="s">
        <v>5141</v>
      </c>
    </row>
    <row r="4490" spans="1:7" x14ac:dyDescent="0.3">
      <c r="A4490">
        <v>4488</v>
      </c>
      <c r="B4490" t="s">
        <v>5139</v>
      </c>
      <c r="C4490" t="s">
        <v>5140</v>
      </c>
      <c r="D4490">
        <v>499</v>
      </c>
      <c r="E4490">
        <v>459</v>
      </c>
      <c r="F4490" t="s">
        <v>2691</v>
      </c>
      <c r="G4490" t="s">
        <v>5141</v>
      </c>
    </row>
    <row r="4491" spans="1:7" x14ac:dyDescent="0.3">
      <c r="A4491">
        <v>4489</v>
      </c>
      <c r="B4491" t="s">
        <v>5139</v>
      </c>
      <c r="C4491" t="s">
        <v>5140</v>
      </c>
      <c r="D4491">
        <v>899</v>
      </c>
      <c r="E4491">
        <v>835</v>
      </c>
      <c r="F4491" t="s">
        <v>3844</v>
      </c>
      <c r="G4491" t="s">
        <v>5141</v>
      </c>
    </row>
    <row r="4492" spans="1:7" x14ac:dyDescent="0.3">
      <c r="A4492">
        <v>4490</v>
      </c>
      <c r="B4492" t="s">
        <v>5139</v>
      </c>
      <c r="C4492" t="s">
        <v>5140</v>
      </c>
      <c r="D4492">
        <v>1299</v>
      </c>
      <c r="E4492">
        <v>1184</v>
      </c>
      <c r="F4492" t="s">
        <v>3300</v>
      </c>
      <c r="G4492" t="s">
        <v>5141</v>
      </c>
    </row>
    <row r="4493" spans="1:7" x14ac:dyDescent="0.3">
      <c r="A4493">
        <v>4491</v>
      </c>
      <c r="B4493" t="s">
        <v>5142</v>
      </c>
      <c r="C4493" t="s">
        <v>5140</v>
      </c>
      <c r="D4493">
        <v>150</v>
      </c>
      <c r="E4493">
        <v>115</v>
      </c>
      <c r="F4493" t="s">
        <v>1094</v>
      </c>
      <c r="G4493" t="s">
        <v>5141</v>
      </c>
    </row>
    <row r="4494" spans="1:7" x14ac:dyDescent="0.3">
      <c r="A4494">
        <v>4492</v>
      </c>
      <c r="B4494" t="s">
        <v>5142</v>
      </c>
      <c r="C4494" t="s">
        <v>5140</v>
      </c>
      <c r="D4494">
        <v>88</v>
      </c>
      <c r="E4494">
        <v>75</v>
      </c>
      <c r="F4494" t="s">
        <v>727</v>
      </c>
      <c r="G4494" t="s">
        <v>5141</v>
      </c>
    </row>
    <row r="4495" spans="1:7" x14ac:dyDescent="0.3">
      <c r="A4495">
        <v>4493</v>
      </c>
      <c r="B4495" t="s">
        <v>5143</v>
      </c>
      <c r="C4495" t="s">
        <v>5140</v>
      </c>
      <c r="D4495">
        <v>1149</v>
      </c>
      <c r="E4495">
        <v>1039</v>
      </c>
      <c r="F4495" t="s">
        <v>2691</v>
      </c>
      <c r="G4495" t="s">
        <v>5141</v>
      </c>
    </row>
    <row r="4496" spans="1:7" x14ac:dyDescent="0.3">
      <c r="A4496">
        <v>4494</v>
      </c>
      <c r="B4496" t="s">
        <v>5144</v>
      </c>
      <c r="C4496" t="s">
        <v>5140</v>
      </c>
      <c r="D4496">
        <v>180</v>
      </c>
      <c r="E4496">
        <v>165</v>
      </c>
      <c r="F4496" t="s">
        <v>3192</v>
      </c>
      <c r="G4496" t="s">
        <v>5141</v>
      </c>
    </row>
    <row r="4497" spans="1:7" x14ac:dyDescent="0.3">
      <c r="A4497">
        <v>4495</v>
      </c>
      <c r="B4497" t="s">
        <v>5145</v>
      </c>
      <c r="C4497" t="s">
        <v>5140</v>
      </c>
      <c r="D4497">
        <v>550</v>
      </c>
      <c r="E4497">
        <v>510</v>
      </c>
      <c r="F4497" t="s">
        <v>2739</v>
      </c>
      <c r="G4497" t="s">
        <v>5141</v>
      </c>
    </row>
    <row r="4498" spans="1:7" x14ac:dyDescent="0.3">
      <c r="A4498">
        <v>4496</v>
      </c>
      <c r="B4498" t="s">
        <v>5145</v>
      </c>
      <c r="C4498" t="s">
        <v>5140</v>
      </c>
      <c r="D4498">
        <v>1000</v>
      </c>
      <c r="E4498">
        <v>925</v>
      </c>
      <c r="F4498" t="s">
        <v>2691</v>
      </c>
      <c r="G4498" t="s">
        <v>5141</v>
      </c>
    </row>
    <row r="4499" spans="1:7" x14ac:dyDescent="0.3">
      <c r="A4499">
        <v>4497</v>
      </c>
      <c r="B4499" t="s">
        <v>5145</v>
      </c>
      <c r="C4499" t="s">
        <v>5140</v>
      </c>
      <c r="D4499">
        <v>1649</v>
      </c>
      <c r="E4499">
        <v>1499</v>
      </c>
      <c r="F4499" t="s">
        <v>3844</v>
      </c>
      <c r="G4499" t="s">
        <v>5141</v>
      </c>
    </row>
    <row r="4500" spans="1:7" x14ac:dyDescent="0.3">
      <c r="A4500">
        <v>4498</v>
      </c>
      <c r="B4500" t="s">
        <v>5146</v>
      </c>
      <c r="C4500" t="s">
        <v>5140</v>
      </c>
      <c r="D4500">
        <v>120</v>
      </c>
      <c r="E4500">
        <v>102</v>
      </c>
      <c r="F4500" t="s">
        <v>3004</v>
      </c>
      <c r="G4500" t="s">
        <v>5141</v>
      </c>
    </row>
    <row r="4501" spans="1:7" x14ac:dyDescent="0.3">
      <c r="A4501">
        <v>4499</v>
      </c>
      <c r="B4501" t="s">
        <v>5146</v>
      </c>
      <c r="C4501" t="s">
        <v>5140</v>
      </c>
      <c r="D4501">
        <v>72</v>
      </c>
      <c r="E4501">
        <v>60</v>
      </c>
      <c r="F4501" t="s">
        <v>2712</v>
      </c>
      <c r="G4501" t="s">
        <v>5141</v>
      </c>
    </row>
    <row r="4502" spans="1:7" x14ac:dyDescent="0.3">
      <c r="A4502">
        <v>4500</v>
      </c>
      <c r="B4502" t="s">
        <v>5147</v>
      </c>
      <c r="C4502" t="s">
        <v>5140</v>
      </c>
      <c r="D4502">
        <v>449</v>
      </c>
      <c r="E4502">
        <v>409</v>
      </c>
      <c r="F4502" t="s">
        <v>2691</v>
      </c>
      <c r="G4502" t="s">
        <v>5141</v>
      </c>
    </row>
    <row r="4503" spans="1:7" x14ac:dyDescent="0.3">
      <c r="A4503">
        <v>4501</v>
      </c>
      <c r="B4503" t="s">
        <v>5148</v>
      </c>
      <c r="C4503" t="s">
        <v>5140</v>
      </c>
      <c r="D4503">
        <v>349</v>
      </c>
      <c r="E4503">
        <v>323</v>
      </c>
      <c r="F4503" t="s">
        <v>2739</v>
      </c>
      <c r="G4503" t="s">
        <v>5141</v>
      </c>
    </row>
    <row r="4504" spans="1:7" x14ac:dyDescent="0.3">
      <c r="A4504">
        <v>4502</v>
      </c>
      <c r="B4504" t="s">
        <v>5148</v>
      </c>
      <c r="C4504" t="s">
        <v>5140</v>
      </c>
      <c r="D4504">
        <v>649</v>
      </c>
      <c r="E4504">
        <v>599</v>
      </c>
      <c r="F4504" t="s">
        <v>2691</v>
      </c>
      <c r="G4504" t="s">
        <v>5141</v>
      </c>
    </row>
    <row r="4505" spans="1:7" x14ac:dyDescent="0.3">
      <c r="A4505">
        <v>4503</v>
      </c>
      <c r="B4505" t="s">
        <v>5148</v>
      </c>
      <c r="C4505" t="s">
        <v>5140</v>
      </c>
      <c r="D4505">
        <v>1099</v>
      </c>
      <c r="E4505">
        <v>999</v>
      </c>
      <c r="F4505" t="s">
        <v>3844</v>
      </c>
      <c r="G4505" t="s">
        <v>5141</v>
      </c>
    </row>
    <row r="4506" spans="1:7" x14ac:dyDescent="0.3">
      <c r="A4506">
        <v>4504</v>
      </c>
      <c r="B4506" t="s">
        <v>5149</v>
      </c>
      <c r="C4506" t="s">
        <v>5140</v>
      </c>
      <c r="D4506">
        <v>250</v>
      </c>
      <c r="E4506">
        <v>225</v>
      </c>
      <c r="F4506" t="s">
        <v>2712</v>
      </c>
      <c r="G4506" t="s">
        <v>5141</v>
      </c>
    </row>
    <row r="4507" spans="1:7" x14ac:dyDescent="0.3">
      <c r="A4507">
        <v>4505</v>
      </c>
      <c r="B4507" t="s">
        <v>5150</v>
      </c>
      <c r="C4507" t="s">
        <v>5151</v>
      </c>
      <c r="D4507">
        <v>149</v>
      </c>
      <c r="E4507">
        <v>99</v>
      </c>
      <c r="F4507" t="s">
        <v>5060</v>
      </c>
      <c r="G4507" t="s">
        <v>5141</v>
      </c>
    </row>
    <row r="4508" spans="1:7" x14ac:dyDescent="0.3">
      <c r="A4508">
        <v>4506</v>
      </c>
      <c r="B4508" t="s">
        <v>5152</v>
      </c>
      <c r="C4508" t="s">
        <v>5140</v>
      </c>
      <c r="D4508">
        <v>150</v>
      </c>
      <c r="E4508">
        <v>130</v>
      </c>
      <c r="F4508" t="s">
        <v>5153</v>
      </c>
      <c r="G4508" t="s">
        <v>5141</v>
      </c>
    </row>
    <row r="4509" spans="1:7" x14ac:dyDescent="0.3">
      <c r="A4509">
        <v>4507</v>
      </c>
      <c r="B4509" t="s">
        <v>5154</v>
      </c>
      <c r="C4509" t="s">
        <v>5140</v>
      </c>
      <c r="D4509">
        <v>370</v>
      </c>
      <c r="E4509">
        <v>344</v>
      </c>
      <c r="F4509" t="s">
        <v>2739</v>
      </c>
      <c r="G4509" t="s">
        <v>5141</v>
      </c>
    </row>
    <row r="4510" spans="1:7" x14ac:dyDescent="0.3">
      <c r="A4510">
        <v>4508</v>
      </c>
      <c r="B4510" t="s">
        <v>5155</v>
      </c>
      <c r="C4510" t="s">
        <v>5151</v>
      </c>
      <c r="D4510">
        <v>149</v>
      </c>
      <c r="E4510">
        <v>99</v>
      </c>
      <c r="F4510" t="s">
        <v>2712</v>
      </c>
      <c r="G4510" t="s">
        <v>5141</v>
      </c>
    </row>
    <row r="4511" spans="1:7" x14ac:dyDescent="0.3">
      <c r="A4511">
        <v>4509</v>
      </c>
      <c r="B4511" t="s">
        <v>5156</v>
      </c>
      <c r="C4511" t="s">
        <v>5151</v>
      </c>
      <c r="D4511">
        <v>100</v>
      </c>
      <c r="E4511">
        <v>50</v>
      </c>
      <c r="F4511" t="s">
        <v>727</v>
      </c>
      <c r="G4511" t="s">
        <v>5141</v>
      </c>
    </row>
    <row r="4512" spans="1:7" x14ac:dyDescent="0.3">
      <c r="A4512">
        <v>4510</v>
      </c>
      <c r="B4512" t="s">
        <v>5157</v>
      </c>
      <c r="C4512" t="s">
        <v>5158</v>
      </c>
      <c r="D4512">
        <v>110</v>
      </c>
      <c r="E4512">
        <v>55</v>
      </c>
      <c r="F4512" t="s">
        <v>727</v>
      </c>
      <c r="G4512" t="s">
        <v>5141</v>
      </c>
    </row>
    <row r="4513" spans="1:7" x14ac:dyDescent="0.3">
      <c r="A4513">
        <v>4511</v>
      </c>
      <c r="B4513" t="s">
        <v>5159</v>
      </c>
      <c r="C4513" t="s">
        <v>5140</v>
      </c>
      <c r="D4513">
        <v>399</v>
      </c>
      <c r="E4513">
        <v>359</v>
      </c>
      <c r="F4513" t="s">
        <v>2712</v>
      </c>
      <c r="G4513" t="s">
        <v>5141</v>
      </c>
    </row>
    <row r="4514" spans="1:7" x14ac:dyDescent="0.3">
      <c r="A4514">
        <v>4512</v>
      </c>
      <c r="B4514" t="s">
        <v>5160</v>
      </c>
      <c r="C4514" t="s">
        <v>5151</v>
      </c>
      <c r="D4514">
        <v>160</v>
      </c>
      <c r="E4514">
        <v>80</v>
      </c>
      <c r="F4514" t="s">
        <v>727</v>
      </c>
      <c r="G4514" t="s">
        <v>5141</v>
      </c>
    </row>
    <row r="4515" spans="1:7" x14ac:dyDescent="0.3">
      <c r="A4515">
        <v>4513</v>
      </c>
      <c r="B4515" t="s">
        <v>5161</v>
      </c>
      <c r="C4515" t="s">
        <v>5140</v>
      </c>
      <c r="D4515">
        <v>349</v>
      </c>
      <c r="E4515">
        <v>320</v>
      </c>
      <c r="F4515" t="s">
        <v>2712</v>
      </c>
      <c r="G4515" t="s">
        <v>5141</v>
      </c>
    </row>
    <row r="4516" spans="1:7" x14ac:dyDescent="0.3">
      <c r="A4516">
        <v>4514</v>
      </c>
      <c r="B4516" t="s">
        <v>5162</v>
      </c>
      <c r="C4516" t="s">
        <v>5140</v>
      </c>
      <c r="D4516">
        <v>499</v>
      </c>
      <c r="E4516">
        <v>459</v>
      </c>
      <c r="F4516" t="s">
        <v>2712</v>
      </c>
      <c r="G4516" t="s">
        <v>5141</v>
      </c>
    </row>
    <row r="4517" spans="1:7" x14ac:dyDescent="0.3">
      <c r="A4517">
        <v>4515</v>
      </c>
      <c r="B4517" t="s">
        <v>5163</v>
      </c>
      <c r="C4517" t="s">
        <v>5140</v>
      </c>
      <c r="D4517">
        <v>105</v>
      </c>
      <c r="E4517">
        <v>95</v>
      </c>
      <c r="F4517" t="s">
        <v>2712</v>
      </c>
      <c r="G4517" t="s">
        <v>5141</v>
      </c>
    </row>
    <row r="4518" spans="1:7" x14ac:dyDescent="0.3">
      <c r="A4518">
        <v>4516</v>
      </c>
      <c r="B4518" t="s">
        <v>5164</v>
      </c>
      <c r="C4518" t="s">
        <v>5140</v>
      </c>
      <c r="D4518">
        <v>130</v>
      </c>
      <c r="E4518">
        <v>118</v>
      </c>
      <c r="F4518" t="s">
        <v>2712</v>
      </c>
      <c r="G4518" t="s">
        <v>5141</v>
      </c>
    </row>
    <row r="4519" spans="1:7" x14ac:dyDescent="0.3">
      <c r="A4519">
        <v>4517</v>
      </c>
      <c r="B4519" t="s">
        <v>5165</v>
      </c>
      <c r="C4519" t="s">
        <v>5140</v>
      </c>
      <c r="D4519">
        <v>1840</v>
      </c>
      <c r="E4519">
        <v>989</v>
      </c>
      <c r="F4519" t="s">
        <v>2712</v>
      </c>
      <c r="G4519" t="s">
        <v>5141</v>
      </c>
    </row>
    <row r="4520" spans="1:7" x14ac:dyDescent="0.3">
      <c r="A4520">
        <v>4518</v>
      </c>
      <c r="B4520" t="s">
        <v>5166</v>
      </c>
      <c r="C4520" t="s">
        <v>5140</v>
      </c>
      <c r="D4520">
        <v>225</v>
      </c>
      <c r="E4520">
        <v>205</v>
      </c>
      <c r="F4520" t="s">
        <v>5167</v>
      </c>
      <c r="G4520" t="s">
        <v>5141</v>
      </c>
    </row>
    <row r="4521" spans="1:7" x14ac:dyDescent="0.3">
      <c r="A4521">
        <v>4519</v>
      </c>
      <c r="B4521" t="s">
        <v>5168</v>
      </c>
      <c r="C4521" t="s">
        <v>5140</v>
      </c>
      <c r="D4521">
        <v>90</v>
      </c>
      <c r="E4521">
        <v>83</v>
      </c>
      <c r="F4521" t="s">
        <v>216</v>
      </c>
      <c r="G4521" t="s">
        <v>5141</v>
      </c>
    </row>
    <row r="4522" spans="1:7" x14ac:dyDescent="0.3">
      <c r="A4522">
        <v>4520</v>
      </c>
      <c r="B4522" t="s">
        <v>5168</v>
      </c>
      <c r="C4522" t="s">
        <v>5140</v>
      </c>
      <c r="D4522">
        <v>199</v>
      </c>
      <c r="E4522">
        <v>184</v>
      </c>
      <c r="F4522" t="s">
        <v>5169</v>
      </c>
      <c r="G4522" t="s">
        <v>5141</v>
      </c>
    </row>
    <row r="4523" spans="1:7" x14ac:dyDescent="0.3">
      <c r="A4523">
        <v>4521</v>
      </c>
      <c r="B4523" t="s">
        <v>5168</v>
      </c>
      <c r="C4523" t="s">
        <v>5140</v>
      </c>
      <c r="D4523">
        <v>225</v>
      </c>
      <c r="E4523">
        <v>209</v>
      </c>
      <c r="F4523" t="s">
        <v>5167</v>
      </c>
      <c r="G4523" t="s">
        <v>5141</v>
      </c>
    </row>
    <row r="4524" spans="1:7" x14ac:dyDescent="0.3">
      <c r="A4524">
        <v>4522</v>
      </c>
      <c r="B4524" t="s">
        <v>5170</v>
      </c>
      <c r="C4524" t="s">
        <v>5140</v>
      </c>
      <c r="D4524">
        <v>90</v>
      </c>
      <c r="E4524">
        <v>83</v>
      </c>
      <c r="F4524" t="s">
        <v>709</v>
      </c>
      <c r="G4524" t="s">
        <v>5141</v>
      </c>
    </row>
    <row r="4525" spans="1:7" x14ac:dyDescent="0.3">
      <c r="A4525">
        <v>4523</v>
      </c>
      <c r="B4525" t="s">
        <v>5171</v>
      </c>
      <c r="C4525" t="s">
        <v>5140</v>
      </c>
      <c r="D4525">
        <v>199</v>
      </c>
      <c r="E4525">
        <v>184</v>
      </c>
      <c r="F4525" t="s">
        <v>5169</v>
      </c>
      <c r="G4525" t="s">
        <v>5141</v>
      </c>
    </row>
    <row r="4526" spans="1:7" x14ac:dyDescent="0.3">
      <c r="A4526">
        <v>4524</v>
      </c>
      <c r="B4526" t="s">
        <v>5172</v>
      </c>
      <c r="C4526" t="s">
        <v>5151</v>
      </c>
      <c r="D4526">
        <v>250</v>
      </c>
      <c r="E4526">
        <v>125</v>
      </c>
      <c r="F4526" t="s">
        <v>2981</v>
      </c>
      <c r="G4526" t="s">
        <v>5141</v>
      </c>
    </row>
    <row r="4527" spans="1:7" x14ac:dyDescent="0.3">
      <c r="A4527">
        <v>4525</v>
      </c>
      <c r="B4527" t="s">
        <v>5173</v>
      </c>
      <c r="C4527" t="s">
        <v>5158</v>
      </c>
      <c r="D4527">
        <v>220</v>
      </c>
      <c r="E4527">
        <v>110</v>
      </c>
      <c r="F4527" t="s">
        <v>76</v>
      </c>
      <c r="G4527" t="s">
        <v>5141</v>
      </c>
    </row>
    <row r="4528" spans="1:7" x14ac:dyDescent="0.3">
      <c r="A4528">
        <v>4526</v>
      </c>
      <c r="B4528" t="s">
        <v>5174</v>
      </c>
      <c r="C4528" t="s">
        <v>5151</v>
      </c>
      <c r="D4528">
        <v>250</v>
      </c>
      <c r="E4528">
        <v>125</v>
      </c>
      <c r="F4528" t="s">
        <v>2981</v>
      </c>
      <c r="G4528" t="s">
        <v>5141</v>
      </c>
    </row>
    <row r="4529" spans="1:7" x14ac:dyDescent="0.3">
      <c r="A4529">
        <v>4527</v>
      </c>
      <c r="B4529" t="s">
        <v>5175</v>
      </c>
      <c r="C4529" t="s">
        <v>5140</v>
      </c>
      <c r="D4529">
        <v>280</v>
      </c>
      <c r="E4529">
        <v>240</v>
      </c>
      <c r="F4529" t="s">
        <v>727</v>
      </c>
      <c r="G4529" t="s">
        <v>5141</v>
      </c>
    </row>
    <row r="4530" spans="1:7" x14ac:dyDescent="0.3">
      <c r="A4530">
        <v>4528</v>
      </c>
      <c r="B4530" t="s">
        <v>5175</v>
      </c>
      <c r="C4530" t="s">
        <v>5140</v>
      </c>
      <c r="D4530">
        <v>70</v>
      </c>
      <c r="E4530">
        <v>65</v>
      </c>
      <c r="F4530" t="s">
        <v>2712</v>
      </c>
      <c r="G4530" t="s">
        <v>5141</v>
      </c>
    </row>
    <row r="4531" spans="1:7" x14ac:dyDescent="0.3">
      <c r="A4531">
        <v>4529</v>
      </c>
      <c r="B4531" t="s">
        <v>5176</v>
      </c>
      <c r="C4531" t="s">
        <v>5140</v>
      </c>
      <c r="D4531">
        <v>349</v>
      </c>
      <c r="E4531">
        <v>319</v>
      </c>
      <c r="F4531" t="s">
        <v>2712</v>
      </c>
      <c r="G4531" t="s">
        <v>5141</v>
      </c>
    </row>
    <row r="4532" spans="1:7" x14ac:dyDescent="0.3">
      <c r="A4532">
        <v>4530</v>
      </c>
      <c r="B4532" t="s">
        <v>5177</v>
      </c>
      <c r="C4532" t="s">
        <v>5140</v>
      </c>
      <c r="D4532">
        <v>299</v>
      </c>
      <c r="E4532">
        <v>275</v>
      </c>
      <c r="F4532" t="s">
        <v>2712</v>
      </c>
      <c r="G4532" t="s">
        <v>5141</v>
      </c>
    </row>
    <row r="4533" spans="1:7" x14ac:dyDescent="0.3">
      <c r="A4533">
        <v>4531</v>
      </c>
      <c r="B4533" t="s">
        <v>5178</v>
      </c>
      <c r="C4533" t="s">
        <v>5158</v>
      </c>
      <c r="D4533">
        <v>120</v>
      </c>
      <c r="E4533">
        <v>60</v>
      </c>
      <c r="F4533" t="s">
        <v>2691</v>
      </c>
      <c r="G4533" t="s">
        <v>5141</v>
      </c>
    </row>
    <row r="4534" spans="1:7" x14ac:dyDescent="0.3">
      <c r="A4534">
        <v>4532</v>
      </c>
      <c r="B4534" t="s">
        <v>5179</v>
      </c>
      <c r="C4534" t="s">
        <v>5140</v>
      </c>
      <c r="D4534">
        <v>75</v>
      </c>
      <c r="E4534">
        <v>69</v>
      </c>
      <c r="F4534" t="s">
        <v>1697</v>
      </c>
      <c r="G4534" t="s">
        <v>5141</v>
      </c>
    </row>
    <row r="4535" spans="1:7" x14ac:dyDescent="0.3">
      <c r="A4535">
        <v>4533</v>
      </c>
      <c r="B4535" t="s">
        <v>5180</v>
      </c>
      <c r="C4535" t="s">
        <v>5140</v>
      </c>
      <c r="D4535">
        <v>90</v>
      </c>
      <c r="E4535">
        <v>83</v>
      </c>
      <c r="F4535" t="s">
        <v>709</v>
      </c>
      <c r="G4535" t="s">
        <v>5141</v>
      </c>
    </row>
    <row r="4536" spans="1:7" x14ac:dyDescent="0.3">
      <c r="A4536">
        <v>4534</v>
      </c>
      <c r="B4536" t="s">
        <v>5181</v>
      </c>
      <c r="C4536" t="s">
        <v>5140</v>
      </c>
      <c r="D4536">
        <v>75</v>
      </c>
      <c r="E4536">
        <v>69</v>
      </c>
      <c r="F4536" t="s">
        <v>1697</v>
      </c>
      <c r="G4536" t="s">
        <v>5141</v>
      </c>
    </row>
    <row r="4537" spans="1:7" x14ac:dyDescent="0.3">
      <c r="A4537">
        <v>4535</v>
      </c>
      <c r="B4537" t="s">
        <v>5182</v>
      </c>
      <c r="C4537" t="s">
        <v>5140</v>
      </c>
      <c r="D4537">
        <v>70</v>
      </c>
      <c r="E4537">
        <v>65</v>
      </c>
      <c r="F4537" t="s">
        <v>2712</v>
      </c>
      <c r="G4537" t="s">
        <v>5141</v>
      </c>
    </row>
    <row r="4538" spans="1:7" x14ac:dyDescent="0.3">
      <c r="A4538">
        <v>4536</v>
      </c>
      <c r="B4538" t="s">
        <v>5183</v>
      </c>
      <c r="C4538" t="s">
        <v>2339</v>
      </c>
      <c r="D4538">
        <v>135</v>
      </c>
      <c r="E4538">
        <v>105</v>
      </c>
      <c r="F4538" t="s">
        <v>4163</v>
      </c>
      <c r="G4538" t="s">
        <v>5141</v>
      </c>
    </row>
    <row r="4539" spans="1:7" x14ac:dyDescent="0.3">
      <c r="A4539">
        <v>4537</v>
      </c>
      <c r="B4539" t="s">
        <v>5184</v>
      </c>
      <c r="C4539" t="s">
        <v>5140</v>
      </c>
      <c r="D4539">
        <v>299</v>
      </c>
      <c r="E4539">
        <v>278</v>
      </c>
      <c r="F4539" t="s">
        <v>2599</v>
      </c>
      <c r="G4539" t="s">
        <v>5141</v>
      </c>
    </row>
    <row r="4540" spans="1:7" x14ac:dyDescent="0.3">
      <c r="A4540">
        <v>4538</v>
      </c>
      <c r="B4540" t="s">
        <v>5184</v>
      </c>
      <c r="C4540" t="s">
        <v>5140</v>
      </c>
      <c r="D4540">
        <v>499</v>
      </c>
      <c r="E4540">
        <v>464</v>
      </c>
      <c r="F4540" t="s">
        <v>4163</v>
      </c>
      <c r="G4540" t="s">
        <v>5141</v>
      </c>
    </row>
    <row r="4541" spans="1:7" x14ac:dyDescent="0.3">
      <c r="A4541">
        <v>4539</v>
      </c>
      <c r="B4541" t="s">
        <v>5185</v>
      </c>
      <c r="C4541" t="s">
        <v>5140</v>
      </c>
      <c r="D4541">
        <v>499</v>
      </c>
      <c r="E4541">
        <v>464</v>
      </c>
      <c r="F4541" t="s">
        <v>4163</v>
      </c>
      <c r="G4541" t="s">
        <v>5141</v>
      </c>
    </row>
    <row r="4542" spans="1:7" x14ac:dyDescent="0.3">
      <c r="A4542">
        <v>4540</v>
      </c>
      <c r="B4542" t="s">
        <v>5185</v>
      </c>
      <c r="C4542" t="s">
        <v>5140</v>
      </c>
      <c r="D4542">
        <v>299</v>
      </c>
      <c r="E4542">
        <v>275</v>
      </c>
      <c r="F4542" t="s">
        <v>2599</v>
      </c>
      <c r="G4542" t="s">
        <v>5141</v>
      </c>
    </row>
    <row r="4543" spans="1:7" x14ac:dyDescent="0.3">
      <c r="A4543">
        <v>4541</v>
      </c>
      <c r="B4543" t="s">
        <v>5186</v>
      </c>
      <c r="C4543" t="s">
        <v>4225</v>
      </c>
      <c r="D4543">
        <v>300</v>
      </c>
      <c r="E4543">
        <v>200</v>
      </c>
      <c r="F4543" t="s">
        <v>2981</v>
      </c>
      <c r="G4543" t="s">
        <v>5187</v>
      </c>
    </row>
    <row r="4544" spans="1:7" x14ac:dyDescent="0.3">
      <c r="A4544">
        <v>4542</v>
      </c>
      <c r="B4544" t="s">
        <v>5188</v>
      </c>
      <c r="C4544" t="s">
        <v>4595</v>
      </c>
      <c r="D4544">
        <v>375</v>
      </c>
      <c r="E4544">
        <v>325</v>
      </c>
      <c r="F4544" t="s">
        <v>391</v>
      </c>
      <c r="G4544" t="s">
        <v>5187</v>
      </c>
    </row>
    <row r="4545" spans="1:7" x14ac:dyDescent="0.3">
      <c r="A4545">
        <v>4543</v>
      </c>
      <c r="B4545" t="s">
        <v>5189</v>
      </c>
      <c r="C4545" t="s">
        <v>4225</v>
      </c>
      <c r="D4545">
        <v>270</v>
      </c>
      <c r="E4545">
        <v>190</v>
      </c>
      <c r="F4545" t="s">
        <v>399</v>
      </c>
      <c r="G4545" t="s">
        <v>5187</v>
      </c>
    </row>
    <row r="4546" spans="1:7" x14ac:dyDescent="0.3">
      <c r="A4546">
        <v>4544</v>
      </c>
      <c r="B4546" t="s">
        <v>5190</v>
      </c>
      <c r="C4546" t="s">
        <v>4189</v>
      </c>
      <c r="D4546">
        <v>399</v>
      </c>
      <c r="E4546">
        <v>319</v>
      </c>
      <c r="F4546" t="s">
        <v>2981</v>
      </c>
      <c r="G4546" t="s">
        <v>5187</v>
      </c>
    </row>
    <row r="4547" spans="1:7" x14ac:dyDescent="0.3">
      <c r="A4547">
        <v>4545</v>
      </c>
      <c r="B4547" t="s">
        <v>5191</v>
      </c>
      <c r="C4547" t="s">
        <v>4225</v>
      </c>
      <c r="D4547">
        <v>200</v>
      </c>
      <c r="E4547">
        <v>135</v>
      </c>
      <c r="F4547" t="s">
        <v>399</v>
      </c>
      <c r="G4547" t="s">
        <v>5187</v>
      </c>
    </row>
    <row r="4548" spans="1:7" x14ac:dyDescent="0.3">
      <c r="A4548">
        <v>4546</v>
      </c>
      <c r="B4548" t="s">
        <v>5192</v>
      </c>
      <c r="C4548" t="s">
        <v>5193</v>
      </c>
      <c r="D4548">
        <v>138</v>
      </c>
      <c r="E4548">
        <v>90</v>
      </c>
      <c r="F4548" t="s">
        <v>4163</v>
      </c>
      <c r="G4548" t="s">
        <v>5187</v>
      </c>
    </row>
    <row r="4549" spans="1:7" x14ac:dyDescent="0.3">
      <c r="A4549">
        <v>4547</v>
      </c>
      <c r="B4549" t="s">
        <v>5194</v>
      </c>
      <c r="C4549" t="s">
        <v>4225</v>
      </c>
      <c r="D4549">
        <v>235</v>
      </c>
      <c r="E4549">
        <v>145</v>
      </c>
      <c r="F4549" t="s">
        <v>76</v>
      </c>
      <c r="G4549" t="s">
        <v>5187</v>
      </c>
    </row>
    <row r="4550" spans="1:7" x14ac:dyDescent="0.3">
      <c r="A4550">
        <v>4548</v>
      </c>
      <c r="B4550" t="s">
        <v>5195</v>
      </c>
      <c r="C4550" t="s">
        <v>4595</v>
      </c>
      <c r="D4550">
        <v>260</v>
      </c>
      <c r="E4550">
        <v>235</v>
      </c>
      <c r="F4550" t="s">
        <v>76</v>
      </c>
      <c r="G4550" t="s">
        <v>5187</v>
      </c>
    </row>
    <row r="4551" spans="1:7" x14ac:dyDescent="0.3">
      <c r="A4551">
        <v>4549</v>
      </c>
      <c r="B4551" t="s">
        <v>4601</v>
      </c>
      <c r="C4551" t="s">
        <v>4225</v>
      </c>
      <c r="D4551">
        <v>320</v>
      </c>
      <c r="E4551">
        <v>220</v>
      </c>
      <c r="F4551" t="s">
        <v>2981</v>
      </c>
      <c r="G4551" t="s">
        <v>5187</v>
      </c>
    </row>
    <row r="4552" spans="1:7" x14ac:dyDescent="0.3">
      <c r="A4552">
        <v>4550</v>
      </c>
      <c r="B4552" t="s">
        <v>5196</v>
      </c>
      <c r="C4552" t="s">
        <v>4189</v>
      </c>
      <c r="D4552">
        <v>449</v>
      </c>
      <c r="E4552">
        <v>319</v>
      </c>
      <c r="F4552" t="s">
        <v>2981</v>
      </c>
      <c r="G4552" t="s">
        <v>5187</v>
      </c>
    </row>
    <row r="4553" spans="1:7" x14ac:dyDescent="0.3">
      <c r="A4553">
        <v>4551</v>
      </c>
      <c r="B4553" t="s">
        <v>5197</v>
      </c>
      <c r="C4553" t="s">
        <v>4189</v>
      </c>
      <c r="D4553">
        <v>449</v>
      </c>
      <c r="E4553">
        <v>319</v>
      </c>
      <c r="F4553" t="s">
        <v>2981</v>
      </c>
      <c r="G4553" t="s">
        <v>5187</v>
      </c>
    </row>
    <row r="4554" spans="1:7" x14ac:dyDescent="0.3">
      <c r="A4554">
        <v>4552</v>
      </c>
      <c r="B4554" t="s">
        <v>5198</v>
      </c>
      <c r="C4554" t="s">
        <v>4225</v>
      </c>
      <c r="D4554">
        <v>200</v>
      </c>
      <c r="E4554">
        <v>140</v>
      </c>
      <c r="F4554" t="s">
        <v>4070</v>
      </c>
      <c r="G4554" t="s">
        <v>5187</v>
      </c>
    </row>
    <row r="4555" spans="1:7" x14ac:dyDescent="0.3">
      <c r="A4555">
        <v>4553</v>
      </c>
      <c r="B4555" t="s">
        <v>5199</v>
      </c>
      <c r="C4555" t="s">
        <v>4595</v>
      </c>
      <c r="D4555">
        <v>345</v>
      </c>
      <c r="E4555">
        <v>285</v>
      </c>
      <c r="F4555" t="s">
        <v>4047</v>
      </c>
      <c r="G4555" t="s">
        <v>5187</v>
      </c>
    </row>
    <row r="4556" spans="1:7" x14ac:dyDescent="0.3">
      <c r="A4556">
        <v>4554</v>
      </c>
      <c r="B4556" t="s">
        <v>5200</v>
      </c>
      <c r="C4556" t="s">
        <v>4225</v>
      </c>
      <c r="D4556">
        <v>80</v>
      </c>
      <c r="E4556">
        <v>65</v>
      </c>
      <c r="F4556" t="s">
        <v>1501</v>
      </c>
      <c r="G4556" t="s">
        <v>5187</v>
      </c>
    </row>
    <row r="4557" spans="1:7" x14ac:dyDescent="0.3">
      <c r="A4557">
        <v>4555</v>
      </c>
      <c r="B4557" t="s">
        <v>5201</v>
      </c>
      <c r="C4557" t="s">
        <v>4189</v>
      </c>
      <c r="D4557">
        <v>249</v>
      </c>
      <c r="E4557">
        <v>199</v>
      </c>
      <c r="F4557" t="s">
        <v>5202</v>
      </c>
      <c r="G4557" t="s">
        <v>5187</v>
      </c>
    </row>
    <row r="4558" spans="1:7" x14ac:dyDescent="0.3">
      <c r="A4558">
        <v>4556</v>
      </c>
      <c r="B4558" t="s">
        <v>5203</v>
      </c>
      <c r="C4558" t="s">
        <v>4595</v>
      </c>
      <c r="D4558">
        <v>68</v>
      </c>
      <c r="E4558">
        <v>60</v>
      </c>
      <c r="F4558" t="s">
        <v>834</v>
      </c>
      <c r="G4558" t="s">
        <v>5187</v>
      </c>
    </row>
    <row r="4559" spans="1:7" x14ac:dyDescent="0.3">
      <c r="A4559">
        <v>4557</v>
      </c>
      <c r="B4559" t="s">
        <v>5199</v>
      </c>
      <c r="C4559" t="s">
        <v>4595</v>
      </c>
      <c r="D4559">
        <v>160</v>
      </c>
      <c r="E4559">
        <v>135</v>
      </c>
      <c r="F4559" t="s">
        <v>4055</v>
      </c>
      <c r="G4559" t="s">
        <v>5187</v>
      </c>
    </row>
    <row r="4560" spans="1:7" x14ac:dyDescent="0.3">
      <c r="A4560">
        <v>4558</v>
      </c>
      <c r="B4560" t="s">
        <v>5204</v>
      </c>
      <c r="C4560" t="s">
        <v>4225</v>
      </c>
      <c r="D4560">
        <v>1025</v>
      </c>
      <c r="E4560">
        <v>575</v>
      </c>
      <c r="F4560" t="s">
        <v>5205</v>
      </c>
      <c r="G4560" t="s">
        <v>5187</v>
      </c>
    </row>
    <row r="4561" spans="1:7" x14ac:dyDescent="0.3">
      <c r="A4561">
        <v>4559</v>
      </c>
      <c r="B4561" t="s">
        <v>5206</v>
      </c>
      <c r="C4561" t="s">
        <v>5207</v>
      </c>
      <c r="D4561">
        <v>1199</v>
      </c>
      <c r="E4561">
        <v>799</v>
      </c>
      <c r="F4561" t="s">
        <v>5205</v>
      </c>
      <c r="G4561" t="s">
        <v>5187</v>
      </c>
    </row>
    <row r="4562" spans="1:7" x14ac:dyDescent="0.3">
      <c r="A4562">
        <v>4560</v>
      </c>
      <c r="B4562" t="s">
        <v>5206</v>
      </c>
      <c r="C4562" t="s">
        <v>5207</v>
      </c>
      <c r="D4562">
        <v>1649</v>
      </c>
      <c r="E4562">
        <v>1089</v>
      </c>
      <c r="F4562" t="s">
        <v>3184</v>
      </c>
      <c r="G4562" t="s">
        <v>5187</v>
      </c>
    </row>
    <row r="4563" spans="1:7" x14ac:dyDescent="0.3">
      <c r="A4563">
        <v>4561</v>
      </c>
      <c r="B4563" t="s">
        <v>5208</v>
      </c>
      <c r="C4563" t="s">
        <v>5209</v>
      </c>
      <c r="D4563">
        <v>1549</v>
      </c>
      <c r="E4563">
        <v>929</v>
      </c>
      <c r="F4563" t="s">
        <v>5210</v>
      </c>
      <c r="G4563" t="s">
        <v>5187</v>
      </c>
    </row>
    <row r="4564" spans="1:7" x14ac:dyDescent="0.3">
      <c r="A4564">
        <v>4562</v>
      </c>
      <c r="B4564" t="s">
        <v>5211</v>
      </c>
      <c r="C4564" t="s">
        <v>4225</v>
      </c>
      <c r="D4564">
        <v>950</v>
      </c>
      <c r="E4564">
        <v>580</v>
      </c>
      <c r="F4564" t="s">
        <v>5205</v>
      </c>
      <c r="G4564" t="s">
        <v>5187</v>
      </c>
    </row>
    <row r="4565" spans="1:7" x14ac:dyDescent="0.3">
      <c r="A4565">
        <v>4563</v>
      </c>
      <c r="B4565" t="s">
        <v>5212</v>
      </c>
      <c r="C4565" t="s">
        <v>5213</v>
      </c>
      <c r="D4565">
        <v>1249</v>
      </c>
      <c r="E4565">
        <v>899</v>
      </c>
      <c r="F4565" t="s">
        <v>5214</v>
      </c>
      <c r="G4565" t="s">
        <v>5187</v>
      </c>
    </row>
    <row r="4566" spans="1:7" x14ac:dyDescent="0.3">
      <c r="A4566">
        <v>4564</v>
      </c>
      <c r="B4566" t="s">
        <v>5212</v>
      </c>
      <c r="C4566" t="s">
        <v>5213</v>
      </c>
      <c r="D4566">
        <v>699</v>
      </c>
      <c r="E4566">
        <v>495</v>
      </c>
      <c r="F4566" t="s">
        <v>5054</v>
      </c>
      <c r="G4566" t="s">
        <v>5187</v>
      </c>
    </row>
    <row r="4567" spans="1:7" x14ac:dyDescent="0.3">
      <c r="A4567">
        <v>4565</v>
      </c>
      <c r="B4567" t="s">
        <v>5215</v>
      </c>
      <c r="C4567" t="s">
        <v>5213</v>
      </c>
      <c r="D4567">
        <v>1249</v>
      </c>
      <c r="E4567">
        <v>824</v>
      </c>
      <c r="F4567" t="s">
        <v>3882</v>
      </c>
      <c r="G4567" t="s">
        <v>5187</v>
      </c>
    </row>
    <row r="4568" spans="1:7" x14ac:dyDescent="0.3">
      <c r="A4568">
        <v>4566</v>
      </c>
      <c r="B4568" t="s">
        <v>5216</v>
      </c>
      <c r="C4568" t="s">
        <v>5213</v>
      </c>
      <c r="D4568">
        <v>699</v>
      </c>
      <c r="E4568">
        <v>499</v>
      </c>
      <c r="F4568" t="s">
        <v>5217</v>
      </c>
      <c r="G4568" t="s">
        <v>5187</v>
      </c>
    </row>
    <row r="4569" spans="1:7" x14ac:dyDescent="0.3">
      <c r="A4569">
        <v>4567</v>
      </c>
      <c r="B4569" t="s">
        <v>5216</v>
      </c>
      <c r="C4569" t="s">
        <v>5213</v>
      </c>
      <c r="D4569">
        <v>1249</v>
      </c>
      <c r="E4569">
        <v>949</v>
      </c>
      <c r="F4569" t="s">
        <v>5218</v>
      </c>
      <c r="G4569" t="s">
        <v>5187</v>
      </c>
    </row>
    <row r="4570" spans="1:7" x14ac:dyDescent="0.3">
      <c r="A4570">
        <v>4568</v>
      </c>
      <c r="B4570" t="s">
        <v>5219</v>
      </c>
      <c r="C4570" t="s">
        <v>5209</v>
      </c>
      <c r="D4570">
        <v>799</v>
      </c>
      <c r="E4570">
        <v>599</v>
      </c>
      <c r="F4570" t="s">
        <v>5220</v>
      </c>
      <c r="G4570" t="s">
        <v>5187</v>
      </c>
    </row>
    <row r="4571" spans="1:7" x14ac:dyDescent="0.3">
      <c r="A4571">
        <v>4569</v>
      </c>
      <c r="B4571" t="s">
        <v>5221</v>
      </c>
      <c r="C4571" t="s">
        <v>4225</v>
      </c>
      <c r="D4571">
        <v>775</v>
      </c>
      <c r="E4571">
        <v>465</v>
      </c>
      <c r="F4571" t="s">
        <v>5205</v>
      </c>
      <c r="G4571" t="s">
        <v>5187</v>
      </c>
    </row>
    <row r="4572" spans="1:7" x14ac:dyDescent="0.3">
      <c r="A4572">
        <v>4570</v>
      </c>
      <c r="B4572" t="s">
        <v>5222</v>
      </c>
      <c r="C4572" t="s">
        <v>5209</v>
      </c>
      <c r="D4572">
        <v>1149</v>
      </c>
      <c r="E4572">
        <v>819</v>
      </c>
      <c r="F4572" t="s">
        <v>5049</v>
      </c>
      <c r="G4572" t="s">
        <v>5187</v>
      </c>
    </row>
    <row r="4573" spans="1:7" x14ac:dyDescent="0.3">
      <c r="A4573">
        <v>4571</v>
      </c>
      <c r="B4573" t="s">
        <v>5223</v>
      </c>
      <c r="C4573" t="s">
        <v>5209</v>
      </c>
      <c r="D4573">
        <v>849</v>
      </c>
      <c r="E4573">
        <v>599</v>
      </c>
      <c r="F4573" t="s">
        <v>3188</v>
      </c>
      <c r="G4573" t="s">
        <v>5187</v>
      </c>
    </row>
    <row r="4574" spans="1:7" x14ac:dyDescent="0.3">
      <c r="A4574">
        <v>4572</v>
      </c>
      <c r="B4574" t="s">
        <v>5224</v>
      </c>
      <c r="C4574" t="s">
        <v>5207</v>
      </c>
      <c r="D4574">
        <v>1199</v>
      </c>
      <c r="E4574">
        <v>749</v>
      </c>
      <c r="F4574" t="s">
        <v>3882</v>
      </c>
      <c r="G4574" t="s">
        <v>5187</v>
      </c>
    </row>
    <row r="4575" spans="1:7" x14ac:dyDescent="0.3">
      <c r="A4575">
        <v>4573</v>
      </c>
      <c r="B4575" t="s">
        <v>5224</v>
      </c>
      <c r="C4575" t="s">
        <v>5207</v>
      </c>
      <c r="D4575">
        <v>1649</v>
      </c>
      <c r="E4575">
        <v>1099</v>
      </c>
      <c r="F4575" t="s">
        <v>5225</v>
      </c>
      <c r="G4575" t="s">
        <v>5187</v>
      </c>
    </row>
    <row r="4576" spans="1:7" x14ac:dyDescent="0.3">
      <c r="A4576">
        <v>4574</v>
      </c>
      <c r="B4576" t="s">
        <v>5226</v>
      </c>
      <c r="C4576" t="s">
        <v>5209</v>
      </c>
      <c r="D4576">
        <v>1149</v>
      </c>
      <c r="E4576">
        <v>799</v>
      </c>
      <c r="F4576" t="s">
        <v>5205</v>
      </c>
      <c r="G4576" t="s">
        <v>5187</v>
      </c>
    </row>
    <row r="4577" spans="1:7" x14ac:dyDescent="0.3">
      <c r="A4577">
        <v>4575</v>
      </c>
      <c r="B4577" t="s">
        <v>5227</v>
      </c>
      <c r="C4577" t="s">
        <v>5209</v>
      </c>
      <c r="D4577">
        <v>1149</v>
      </c>
      <c r="E4577">
        <v>810</v>
      </c>
      <c r="F4577" t="s">
        <v>3830</v>
      </c>
      <c r="G4577" t="s">
        <v>5187</v>
      </c>
    </row>
    <row r="4578" spans="1:7" x14ac:dyDescent="0.3">
      <c r="A4578">
        <v>4576</v>
      </c>
      <c r="B4578" t="s">
        <v>5228</v>
      </c>
      <c r="C4578" t="s">
        <v>5207</v>
      </c>
      <c r="D4578">
        <v>749</v>
      </c>
      <c r="E4578">
        <v>529</v>
      </c>
      <c r="F4578" t="s">
        <v>3188</v>
      </c>
      <c r="G4578" t="s">
        <v>5187</v>
      </c>
    </row>
    <row r="4579" spans="1:7" x14ac:dyDescent="0.3">
      <c r="A4579">
        <v>4577</v>
      </c>
      <c r="B4579" t="s">
        <v>5228</v>
      </c>
      <c r="C4579" t="s">
        <v>5207</v>
      </c>
      <c r="D4579">
        <v>1649</v>
      </c>
      <c r="E4579">
        <v>1099</v>
      </c>
      <c r="F4579" t="s">
        <v>5229</v>
      </c>
      <c r="G4579" t="s">
        <v>5187</v>
      </c>
    </row>
    <row r="4580" spans="1:7" x14ac:dyDescent="0.3">
      <c r="A4580">
        <v>4578</v>
      </c>
      <c r="B4580" t="s">
        <v>5230</v>
      </c>
      <c r="C4580" t="s">
        <v>5213</v>
      </c>
      <c r="D4580">
        <v>399</v>
      </c>
      <c r="E4580">
        <v>298</v>
      </c>
      <c r="F4580" t="s">
        <v>2632</v>
      </c>
      <c r="G4580" t="s">
        <v>5187</v>
      </c>
    </row>
    <row r="4581" spans="1:7" x14ac:dyDescent="0.3">
      <c r="A4581">
        <v>4579</v>
      </c>
      <c r="B4581" t="s">
        <v>5231</v>
      </c>
      <c r="C4581" t="s">
        <v>5213</v>
      </c>
      <c r="D4581">
        <v>399</v>
      </c>
      <c r="E4581">
        <v>309</v>
      </c>
      <c r="F4581" t="s">
        <v>5052</v>
      </c>
      <c r="G4581" t="s">
        <v>5187</v>
      </c>
    </row>
    <row r="4582" spans="1:7" x14ac:dyDescent="0.3">
      <c r="A4582">
        <v>4580</v>
      </c>
      <c r="B4582" t="s">
        <v>5232</v>
      </c>
      <c r="C4582" t="s">
        <v>5213</v>
      </c>
      <c r="D4582">
        <v>399</v>
      </c>
      <c r="E4582">
        <v>299</v>
      </c>
      <c r="F4582" t="s">
        <v>5233</v>
      </c>
      <c r="G4582" t="s">
        <v>5187</v>
      </c>
    </row>
    <row r="4583" spans="1:7" x14ac:dyDescent="0.3">
      <c r="A4583">
        <v>4581</v>
      </c>
      <c r="B4583" t="s">
        <v>5234</v>
      </c>
      <c r="C4583" t="s">
        <v>5213</v>
      </c>
      <c r="D4583">
        <v>1249</v>
      </c>
      <c r="E4583">
        <v>849</v>
      </c>
      <c r="F4583" t="s">
        <v>5235</v>
      </c>
      <c r="G4583" t="s">
        <v>5187</v>
      </c>
    </row>
    <row r="4584" spans="1:7" x14ac:dyDescent="0.3">
      <c r="A4584">
        <v>4582</v>
      </c>
      <c r="B4584" t="s">
        <v>5236</v>
      </c>
      <c r="C4584" t="s">
        <v>5209</v>
      </c>
      <c r="D4584">
        <v>1099</v>
      </c>
      <c r="E4584">
        <v>924</v>
      </c>
      <c r="F4584" t="s">
        <v>5237</v>
      </c>
      <c r="G4584" t="s">
        <v>5187</v>
      </c>
    </row>
    <row r="4585" spans="1:7" x14ac:dyDescent="0.3">
      <c r="A4585">
        <v>4583</v>
      </c>
      <c r="B4585" t="s">
        <v>5238</v>
      </c>
      <c r="C4585" t="s">
        <v>5209</v>
      </c>
      <c r="D4585">
        <v>1049</v>
      </c>
      <c r="E4585">
        <v>769</v>
      </c>
      <c r="F4585" t="s">
        <v>5239</v>
      </c>
      <c r="G4585" t="s">
        <v>5187</v>
      </c>
    </row>
    <row r="4586" spans="1:7" x14ac:dyDescent="0.3">
      <c r="A4586">
        <v>4584</v>
      </c>
      <c r="B4586" t="s">
        <v>5240</v>
      </c>
      <c r="C4586" t="s">
        <v>5209</v>
      </c>
      <c r="D4586">
        <v>799</v>
      </c>
      <c r="E4586">
        <v>599</v>
      </c>
      <c r="F4586" t="s">
        <v>5233</v>
      </c>
      <c r="G4586" t="s">
        <v>5187</v>
      </c>
    </row>
    <row r="4587" spans="1:7" x14ac:dyDescent="0.3">
      <c r="A4587">
        <v>4585</v>
      </c>
      <c r="B4587" t="s">
        <v>5241</v>
      </c>
      <c r="C4587" t="s">
        <v>5207</v>
      </c>
      <c r="D4587">
        <v>1499</v>
      </c>
      <c r="E4587">
        <v>999</v>
      </c>
      <c r="F4587" t="s">
        <v>5229</v>
      </c>
      <c r="G4587" t="s">
        <v>5187</v>
      </c>
    </row>
    <row r="4588" spans="1:7" x14ac:dyDescent="0.3">
      <c r="A4588">
        <v>4586</v>
      </c>
      <c r="B4588" t="s">
        <v>5241</v>
      </c>
      <c r="C4588" t="s">
        <v>5207</v>
      </c>
      <c r="D4588">
        <v>1049</v>
      </c>
      <c r="E4588">
        <v>620</v>
      </c>
      <c r="F4588" t="s">
        <v>5242</v>
      </c>
      <c r="G4588" t="s">
        <v>5187</v>
      </c>
    </row>
    <row r="4589" spans="1:7" x14ac:dyDescent="0.3">
      <c r="A4589">
        <v>4587</v>
      </c>
      <c r="B4589" t="s">
        <v>5243</v>
      </c>
      <c r="C4589" t="s">
        <v>5207</v>
      </c>
      <c r="D4589">
        <v>210</v>
      </c>
      <c r="E4589">
        <v>178</v>
      </c>
      <c r="F4589" t="s">
        <v>3834</v>
      </c>
      <c r="G4589" t="s">
        <v>5187</v>
      </c>
    </row>
    <row r="4590" spans="1:7" x14ac:dyDescent="0.3">
      <c r="A4590">
        <v>4588</v>
      </c>
      <c r="B4590" t="s">
        <v>5244</v>
      </c>
      <c r="C4590" t="s">
        <v>5245</v>
      </c>
      <c r="D4590">
        <v>575</v>
      </c>
      <c r="E4590">
        <v>460</v>
      </c>
      <c r="F4590" t="s">
        <v>1094</v>
      </c>
      <c r="G4590" t="s">
        <v>5187</v>
      </c>
    </row>
    <row r="4591" spans="1:7" x14ac:dyDescent="0.3">
      <c r="A4591">
        <v>4589</v>
      </c>
      <c r="B4591" t="s">
        <v>5246</v>
      </c>
      <c r="C4591" t="s">
        <v>5245</v>
      </c>
      <c r="D4591">
        <v>550</v>
      </c>
      <c r="E4591">
        <v>440</v>
      </c>
      <c r="F4591" t="s">
        <v>1094</v>
      </c>
      <c r="G4591" t="s">
        <v>5187</v>
      </c>
    </row>
    <row r="4592" spans="1:7" x14ac:dyDescent="0.3">
      <c r="A4592">
        <v>4590</v>
      </c>
      <c r="B4592" t="s">
        <v>5247</v>
      </c>
      <c r="C4592" t="s">
        <v>5245</v>
      </c>
      <c r="D4592">
        <v>600</v>
      </c>
      <c r="E4592">
        <v>449</v>
      </c>
      <c r="F4592" t="s">
        <v>1094</v>
      </c>
      <c r="G4592" t="s">
        <v>5187</v>
      </c>
    </row>
    <row r="4593" spans="1:7" x14ac:dyDescent="0.3">
      <c r="A4593">
        <v>4591</v>
      </c>
      <c r="B4593" t="s">
        <v>5248</v>
      </c>
      <c r="C4593" t="s">
        <v>5245</v>
      </c>
      <c r="D4593">
        <v>550</v>
      </c>
      <c r="E4593">
        <v>349</v>
      </c>
      <c r="F4593" t="s">
        <v>1094</v>
      </c>
      <c r="G4593" t="s">
        <v>5187</v>
      </c>
    </row>
    <row r="4594" spans="1:7" x14ac:dyDescent="0.3">
      <c r="A4594">
        <v>4592</v>
      </c>
      <c r="B4594" t="s">
        <v>5249</v>
      </c>
      <c r="C4594" t="s">
        <v>4225</v>
      </c>
      <c r="D4594">
        <v>200</v>
      </c>
      <c r="E4594">
        <v>118</v>
      </c>
      <c r="F4594" t="s">
        <v>5250</v>
      </c>
      <c r="G4594" t="s">
        <v>5187</v>
      </c>
    </row>
    <row r="4595" spans="1:7" x14ac:dyDescent="0.3">
      <c r="A4595">
        <v>4593</v>
      </c>
      <c r="B4595" t="s">
        <v>5251</v>
      </c>
      <c r="C4595" t="s">
        <v>5252</v>
      </c>
      <c r="D4595">
        <v>220</v>
      </c>
      <c r="E4595">
        <v>110</v>
      </c>
      <c r="F4595" t="s">
        <v>5253</v>
      </c>
      <c r="G4595" t="s">
        <v>5187</v>
      </c>
    </row>
    <row r="4596" spans="1:7" x14ac:dyDescent="0.3">
      <c r="A4596">
        <v>4594</v>
      </c>
      <c r="B4596" t="s">
        <v>5254</v>
      </c>
      <c r="C4596" t="s">
        <v>5255</v>
      </c>
      <c r="D4596">
        <v>249</v>
      </c>
      <c r="E4596">
        <v>124</v>
      </c>
      <c r="F4596" t="s">
        <v>5250</v>
      </c>
      <c r="G4596" t="s">
        <v>5187</v>
      </c>
    </row>
    <row r="4597" spans="1:7" x14ac:dyDescent="0.3">
      <c r="A4597">
        <v>4595</v>
      </c>
      <c r="B4597" t="s">
        <v>5256</v>
      </c>
      <c r="C4597" t="s">
        <v>3129</v>
      </c>
      <c r="D4597">
        <v>170</v>
      </c>
      <c r="E4597">
        <v>125</v>
      </c>
      <c r="F4597" t="s">
        <v>391</v>
      </c>
      <c r="G4597" t="s">
        <v>5257</v>
      </c>
    </row>
    <row r="4598" spans="1:7" x14ac:dyDescent="0.3">
      <c r="A4598">
        <v>4596</v>
      </c>
      <c r="B4598" t="s">
        <v>5256</v>
      </c>
      <c r="C4598" t="s">
        <v>3129</v>
      </c>
      <c r="D4598">
        <v>310</v>
      </c>
      <c r="E4598">
        <v>249</v>
      </c>
      <c r="F4598" t="s">
        <v>246</v>
      </c>
      <c r="G4598" t="s">
        <v>5257</v>
      </c>
    </row>
    <row r="4599" spans="1:7" x14ac:dyDescent="0.3">
      <c r="A4599">
        <v>4597</v>
      </c>
      <c r="B4599" t="s">
        <v>5258</v>
      </c>
      <c r="C4599" t="s">
        <v>4154</v>
      </c>
      <c r="D4599">
        <v>138</v>
      </c>
      <c r="E4599">
        <v>119</v>
      </c>
      <c r="F4599" t="s">
        <v>709</v>
      </c>
      <c r="G4599" t="s">
        <v>5257</v>
      </c>
    </row>
    <row r="4600" spans="1:7" x14ac:dyDescent="0.3">
      <c r="A4600">
        <v>4598</v>
      </c>
      <c r="B4600" t="s">
        <v>5259</v>
      </c>
      <c r="C4600" t="s">
        <v>5260</v>
      </c>
      <c r="D4600">
        <v>250</v>
      </c>
      <c r="E4600">
        <v>223</v>
      </c>
      <c r="F4600" t="s">
        <v>715</v>
      </c>
      <c r="G4600" t="s">
        <v>5257</v>
      </c>
    </row>
    <row r="4601" spans="1:7" x14ac:dyDescent="0.3">
      <c r="A4601">
        <v>4599</v>
      </c>
      <c r="B4601" t="s">
        <v>5261</v>
      </c>
      <c r="C4601" t="s">
        <v>5262</v>
      </c>
      <c r="D4601">
        <v>170</v>
      </c>
      <c r="E4601">
        <v>145</v>
      </c>
      <c r="F4601" t="s">
        <v>4172</v>
      </c>
      <c r="G4601" t="s">
        <v>5257</v>
      </c>
    </row>
    <row r="4602" spans="1:7" x14ac:dyDescent="0.3">
      <c r="A4602">
        <v>4600</v>
      </c>
      <c r="B4602" t="s">
        <v>5261</v>
      </c>
      <c r="C4602" t="s">
        <v>5262</v>
      </c>
      <c r="D4602">
        <v>125</v>
      </c>
      <c r="E4602">
        <v>110</v>
      </c>
      <c r="F4602" t="s">
        <v>4899</v>
      </c>
      <c r="G4602" t="s">
        <v>5257</v>
      </c>
    </row>
    <row r="4603" spans="1:7" x14ac:dyDescent="0.3">
      <c r="A4603">
        <v>4601</v>
      </c>
      <c r="B4603" t="s">
        <v>5259</v>
      </c>
      <c r="C4603" t="s">
        <v>5260</v>
      </c>
      <c r="D4603">
        <v>130</v>
      </c>
      <c r="E4603">
        <v>121</v>
      </c>
      <c r="F4603" t="s">
        <v>709</v>
      </c>
      <c r="G4603" t="s">
        <v>5257</v>
      </c>
    </row>
    <row r="4604" spans="1:7" x14ac:dyDescent="0.3">
      <c r="A4604">
        <v>4602</v>
      </c>
      <c r="B4604" t="s">
        <v>5263</v>
      </c>
      <c r="C4604" t="s">
        <v>5264</v>
      </c>
      <c r="D4604">
        <v>40</v>
      </c>
      <c r="E4604">
        <v>37</v>
      </c>
      <c r="F4604" t="s">
        <v>256</v>
      </c>
      <c r="G4604" t="s">
        <v>5257</v>
      </c>
    </row>
    <row r="4605" spans="1:7" x14ac:dyDescent="0.3">
      <c r="A4605">
        <v>4603</v>
      </c>
      <c r="B4605" t="s">
        <v>5265</v>
      </c>
      <c r="C4605" t="s">
        <v>5266</v>
      </c>
      <c r="D4605">
        <v>360</v>
      </c>
      <c r="E4605">
        <v>300</v>
      </c>
      <c r="F4605" t="s">
        <v>4163</v>
      </c>
      <c r="G4605" t="s">
        <v>5257</v>
      </c>
    </row>
    <row r="4606" spans="1:7" x14ac:dyDescent="0.3">
      <c r="A4606">
        <v>4604</v>
      </c>
      <c r="B4606" t="s">
        <v>5267</v>
      </c>
      <c r="C4606" t="s">
        <v>5264</v>
      </c>
      <c r="D4606">
        <v>45</v>
      </c>
      <c r="E4606">
        <v>40</v>
      </c>
      <c r="F4606" t="s">
        <v>4163</v>
      </c>
      <c r="G4606" t="s">
        <v>5257</v>
      </c>
    </row>
    <row r="4607" spans="1:7" x14ac:dyDescent="0.3">
      <c r="A4607">
        <v>4605</v>
      </c>
      <c r="B4607" t="s">
        <v>5261</v>
      </c>
      <c r="C4607" t="s">
        <v>5268</v>
      </c>
      <c r="D4607">
        <v>75</v>
      </c>
      <c r="E4607">
        <v>65</v>
      </c>
      <c r="F4607" t="s">
        <v>4679</v>
      </c>
      <c r="G4607" t="s">
        <v>5257</v>
      </c>
    </row>
    <row r="4608" spans="1:7" x14ac:dyDescent="0.3">
      <c r="A4608">
        <v>4606</v>
      </c>
      <c r="B4608" t="s">
        <v>5269</v>
      </c>
      <c r="C4608" t="s">
        <v>5269</v>
      </c>
      <c r="D4608">
        <v>55</v>
      </c>
      <c r="E4608">
        <v>44</v>
      </c>
      <c r="F4608" t="s">
        <v>4163</v>
      </c>
      <c r="G4608" t="s">
        <v>5257</v>
      </c>
    </row>
    <row r="4609" spans="1:7" x14ac:dyDescent="0.3">
      <c r="A4609">
        <v>4607</v>
      </c>
      <c r="B4609" t="s">
        <v>5259</v>
      </c>
      <c r="C4609" t="s">
        <v>5260</v>
      </c>
      <c r="D4609">
        <v>60</v>
      </c>
      <c r="E4609">
        <v>54</v>
      </c>
      <c r="F4609" t="s">
        <v>256</v>
      </c>
      <c r="G4609" t="s">
        <v>5257</v>
      </c>
    </row>
    <row r="4610" spans="1:7" x14ac:dyDescent="0.3">
      <c r="A4610">
        <v>4608</v>
      </c>
      <c r="B4610" t="s">
        <v>5270</v>
      </c>
      <c r="C4610" t="s">
        <v>5264</v>
      </c>
      <c r="D4610">
        <v>80</v>
      </c>
      <c r="E4610">
        <v>66</v>
      </c>
      <c r="F4610" t="s">
        <v>4163</v>
      </c>
      <c r="G4610" t="s">
        <v>5257</v>
      </c>
    </row>
    <row r="4611" spans="1:7" x14ac:dyDescent="0.3">
      <c r="A4611">
        <v>4609</v>
      </c>
      <c r="B4611" t="s">
        <v>5271</v>
      </c>
      <c r="C4611" t="s">
        <v>5272</v>
      </c>
      <c r="D4611">
        <v>150</v>
      </c>
      <c r="E4611">
        <v>135</v>
      </c>
      <c r="F4611" t="s">
        <v>11</v>
      </c>
      <c r="G4611" t="s">
        <v>5257</v>
      </c>
    </row>
    <row r="4612" spans="1:7" x14ac:dyDescent="0.3">
      <c r="A4612">
        <v>4610</v>
      </c>
      <c r="B4612" t="s">
        <v>5273</v>
      </c>
      <c r="C4612" t="s">
        <v>5272</v>
      </c>
      <c r="D4612">
        <v>54</v>
      </c>
      <c r="E4612">
        <v>49</v>
      </c>
      <c r="F4612" t="s">
        <v>1725</v>
      </c>
      <c r="G4612" t="s">
        <v>5257</v>
      </c>
    </row>
    <row r="4613" spans="1:7" x14ac:dyDescent="0.3">
      <c r="A4613">
        <v>4611</v>
      </c>
      <c r="B4613" t="s">
        <v>5273</v>
      </c>
      <c r="C4613" t="s">
        <v>5272</v>
      </c>
      <c r="D4613">
        <v>150</v>
      </c>
      <c r="E4613">
        <v>134</v>
      </c>
      <c r="F4613" t="s">
        <v>11</v>
      </c>
      <c r="G4613" t="s">
        <v>5257</v>
      </c>
    </row>
    <row r="4614" spans="1:7" x14ac:dyDescent="0.3">
      <c r="A4614">
        <v>4612</v>
      </c>
      <c r="B4614" t="s">
        <v>5274</v>
      </c>
      <c r="C4614" t="s">
        <v>5275</v>
      </c>
      <c r="D4614">
        <v>120</v>
      </c>
      <c r="E4614">
        <v>107</v>
      </c>
      <c r="F4614" t="s">
        <v>11</v>
      </c>
      <c r="G4614" t="s">
        <v>5257</v>
      </c>
    </row>
    <row r="4615" spans="1:7" x14ac:dyDescent="0.3">
      <c r="A4615">
        <v>4613</v>
      </c>
      <c r="B4615" t="s">
        <v>5276</v>
      </c>
      <c r="C4615" t="s">
        <v>5277</v>
      </c>
      <c r="D4615">
        <v>100</v>
      </c>
      <c r="E4615">
        <v>90</v>
      </c>
      <c r="F4615" t="s">
        <v>11</v>
      </c>
      <c r="G4615" t="s">
        <v>5257</v>
      </c>
    </row>
    <row r="4616" spans="1:7" x14ac:dyDescent="0.3">
      <c r="A4616">
        <v>4614</v>
      </c>
      <c r="B4616" t="s">
        <v>5278</v>
      </c>
      <c r="C4616" t="s">
        <v>4248</v>
      </c>
      <c r="D4616">
        <v>145</v>
      </c>
      <c r="E4616">
        <v>125</v>
      </c>
      <c r="F4616" t="s">
        <v>3571</v>
      </c>
      <c r="G4616" t="s">
        <v>5257</v>
      </c>
    </row>
    <row r="4617" spans="1:7" x14ac:dyDescent="0.3">
      <c r="A4617">
        <v>4615</v>
      </c>
      <c r="B4617" t="s">
        <v>5279</v>
      </c>
      <c r="C4617" t="s">
        <v>2237</v>
      </c>
      <c r="D4617">
        <v>55</v>
      </c>
      <c r="E4617">
        <v>48</v>
      </c>
      <c r="F4617" t="s">
        <v>5280</v>
      </c>
      <c r="G4617" t="s">
        <v>5257</v>
      </c>
    </row>
    <row r="4618" spans="1:7" x14ac:dyDescent="0.3">
      <c r="A4618">
        <v>4616</v>
      </c>
      <c r="B4618" t="s">
        <v>5281</v>
      </c>
      <c r="C4618" t="s">
        <v>2237</v>
      </c>
      <c r="D4618">
        <v>55</v>
      </c>
      <c r="E4618">
        <v>50</v>
      </c>
      <c r="F4618" t="s">
        <v>5280</v>
      </c>
      <c r="G4618" t="s">
        <v>5257</v>
      </c>
    </row>
    <row r="4619" spans="1:7" x14ac:dyDescent="0.3">
      <c r="A4619">
        <v>4617</v>
      </c>
      <c r="B4619" t="s">
        <v>5282</v>
      </c>
      <c r="C4619" t="s">
        <v>2237</v>
      </c>
      <c r="D4619">
        <v>55</v>
      </c>
      <c r="E4619">
        <v>49</v>
      </c>
      <c r="F4619" t="s">
        <v>5280</v>
      </c>
      <c r="G4619" t="s">
        <v>5257</v>
      </c>
    </row>
    <row r="4620" spans="1:7" x14ac:dyDescent="0.3">
      <c r="A4620">
        <v>4618</v>
      </c>
      <c r="B4620" t="s">
        <v>5283</v>
      </c>
      <c r="C4620" t="s">
        <v>5283</v>
      </c>
      <c r="D4620">
        <v>99</v>
      </c>
      <c r="E4620">
        <v>83</v>
      </c>
      <c r="F4620" t="s">
        <v>11</v>
      </c>
      <c r="G4620" t="s">
        <v>5257</v>
      </c>
    </row>
    <row r="4621" spans="1:7" x14ac:dyDescent="0.3">
      <c r="A4621">
        <v>4619</v>
      </c>
      <c r="B4621" t="s">
        <v>5284</v>
      </c>
      <c r="C4621" t="s">
        <v>5272</v>
      </c>
      <c r="D4621">
        <v>150</v>
      </c>
      <c r="E4621">
        <v>135</v>
      </c>
      <c r="F4621" t="s">
        <v>11</v>
      </c>
      <c r="G4621" t="s">
        <v>5257</v>
      </c>
    </row>
    <row r="4622" spans="1:7" x14ac:dyDescent="0.3">
      <c r="A4622">
        <v>4620</v>
      </c>
      <c r="B4622" t="s">
        <v>5285</v>
      </c>
      <c r="C4622" t="s">
        <v>5286</v>
      </c>
      <c r="D4622">
        <v>740</v>
      </c>
      <c r="E4622">
        <v>680</v>
      </c>
      <c r="F4622" t="s">
        <v>254</v>
      </c>
      <c r="G4622" t="s">
        <v>5257</v>
      </c>
    </row>
    <row r="4623" spans="1:7" x14ac:dyDescent="0.3">
      <c r="A4623">
        <v>4621</v>
      </c>
      <c r="B4623" t="s">
        <v>5287</v>
      </c>
      <c r="C4623" t="s">
        <v>2237</v>
      </c>
      <c r="D4623">
        <v>55</v>
      </c>
      <c r="E4623">
        <v>49</v>
      </c>
      <c r="F4623" t="s">
        <v>4345</v>
      </c>
      <c r="G4623" t="s">
        <v>5257</v>
      </c>
    </row>
    <row r="4624" spans="1:7" x14ac:dyDescent="0.3">
      <c r="A4624">
        <v>4622</v>
      </c>
      <c r="B4624" t="s">
        <v>5288</v>
      </c>
      <c r="C4624" t="s">
        <v>5289</v>
      </c>
      <c r="D4624">
        <v>60</v>
      </c>
      <c r="E4624">
        <v>48</v>
      </c>
      <c r="F4624" t="s">
        <v>1725</v>
      </c>
      <c r="G4624" t="s">
        <v>5257</v>
      </c>
    </row>
    <row r="4625" spans="1:7" x14ac:dyDescent="0.3">
      <c r="A4625">
        <v>4623</v>
      </c>
      <c r="B4625" t="s">
        <v>5290</v>
      </c>
      <c r="C4625" t="s">
        <v>17</v>
      </c>
      <c r="D4625">
        <v>98</v>
      </c>
      <c r="E4625">
        <v>75</v>
      </c>
      <c r="F4625" t="s">
        <v>5291</v>
      </c>
      <c r="G4625" t="s">
        <v>5257</v>
      </c>
    </row>
    <row r="4626" spans="1:7" x14ac:dyDescent="0.3">
      <c r="A4626">
        <v>4624</v>
      </c>
      <c r="B4626" t="s">
        <v>5292</v>
      </c>
      <c r="C4626" t="s">
        <v>17</v>
      </c>
      <c r="D4626">
        <v>96</v>
      </c>
      <c r="E4626">
        <v>75</v>
      </c>
      <c r="F4626" t="s">
        <v>715</v>
      </c>
      <c r="G4626" t="s">
        <v>5257</v>
      </c>
    </row>
    <row r="4627" spans="1:7" x14ac:dyDescent="0.3">
      <c r="A4627">
        <v>4625</v>
      </c>
      <c r="B4627" t="s">
        <v>5293</v>
      </c>
      <c r="C4627" t="s">
        <v>5294</v>
      </c>
      <c r="D4627">
        <v>90</v>
      </c>
      <c r="E4627">
        <v>80</v>
      </c>
      <c r="F4627" t="s">
        <v>4243</v>
      </c>
      <c r="G4627" t="s">
        <v>5257</v>
      </c>
    </row>
    <row r="4628" spans="1:7" x14ac:dyDescent="0.3">
      <c r="A4628">
        <v>4626</v>
      </c>
      <c r="B4628" t="s">
        <v>5293</v>
      </c>
      <c r="C4628" t="s">
        <v>5294</v>
      </c>
      <c r="D4628">
        <v>155</v>
      </c>
      <c r="E4628">
        <v>115</v>
      </c>
      <c r="F4628" t="s">
        <v>2599</v>
      </c>
      <c r="G4628" t="s">
        <v>5257</v>
      </c>
    </row>
    <row r="4629" spans="1:7" x14ac:dyDescent="0.3">
      <c r="A4629">
        <v>4627</v>
      </c>
      <c r="B4629" t="s">
        <v>5293</v>
      </c>
      <c r="C4629" t="s">
        <v>5294</v>
      </c>
      <c r="D4629">
        <v>265</v>
      </c>
      <c r="E4629">
        <v>215</v>
      </c>
      <c r="F4629" t="s">
        <v>5295</v>
      </c>
      <c r="G4629" t="s">
        <v>5257</v>
      </c>
    </row>
    <row r="4630" spans="1:7" x14ac:dyDescent="0.3">
      <c r="A4630">
        <v>4628</v>
      </c>
      <c r="B4630" t="s">
        <v>5296</v>
      </c>
      <c r="C4630" t="s">
        <v>5294</v>
      </c>
      <c r="D4630">
        <v>105</v>
      </c>
      <c r="E4630">
        <v>94</v>
      </c>
      <c r="F4630" t="s">
        <v>4243</v>
      </c>
      <c r="G4630" t="s">
        <v>5257</v>
      </c>
    </row>
    <row r="4631" spans="1:7" x14ac:dyDescent="0.3">
      <c r="A4631">
        <v>4629</v>
      </c>
      <c r="B4631" t="s">
        <v>5297</v>
      </c>
      <c r="C4631" t="s">
        <v>5298</v>
      </c>
      <c r="D4631">
        <v>115</v>
      </c>
      <c r="E4631">
        <v>105</v>
      </c>
      <c r="F4631" t="s">
        <v>4163</v>
      </c>
      <c r="G4631" t="s">
        <v>5257</v>
      </c>
    </row>
    <row r="4632" spans="1:7" x14ac:dyDescent="0.3">
      <c r="A4632">
        <v>4630</v>
      </c>
      <c r="B4632" t="s">
        <v>5299</v>
      </c>
      <c r="C4632" t="s">
        <v>5300</v>
      </c>
      <c r="D4632">
        <v>85</v>
      </c>
      <c r="E4632">
        <v>75</v>
      </c>
      <c r="F4632" t="s">
        <v>4163</v>
      </c>
      <c r="G4632" t="s">
        <v>5257</v>
      </c>
    </row>
    <row r="4633" spans="1:7" x14ac:dyDescent="0.3">
      <c r="A4633">
        <v>4631</v>
      </c>
      <c r="B4633" t="s">
        <v>5301</v>
      </c>
      <c r="C4633" t="s">
        <v>5294</v>
      </c>
      <c r="D4633">
        <v>112</v>
      </c>
      <c r="E4633">
        <v>99</v>
      </c>
      <c r="F4633" t="s">
        <v>5302</v>
      </c>
      <c r="G4633" t="s">
        <v>5257</v>
      </c>
    </row>
    <row r="4634" spans="1:7" x14ac:dyDescent="0.3">
      <c r="A4634">
        <v>4632</v>
      </c>
      <c r="B4634" t="s">
        <v>5303</v>
      </c>
      <c r="C4634" t="s">
        <v>5294</v>
      </c>
      <c r="D4634">
        <v>20</v>
      </c>
      <c r="E4634">
        <v>18</v>
      </c>
      <c r="F4634" t="s">
        <v>3151</v>
      </c>
      <c r="G4634" t="s">
        <v>5257</v>
      </c>
    </row>
    <row r="4635" spans="1:7" x14ac:dyDescent="0.3">
      <c r="A4635">
        <v>4633</v>
      </c>
      <c r="B4635" t="s">
        <v>5304</v>
      </c>
      <c r="C4635" t="s">
        <v>5294</v>
      </c>
      <c r="D4635">
        <v>20</v>
      </c>
      <c r="E4635">
        <v>18</v>
      </c>
      <c r="F4635" t="s">
        <v>2008</v>
      </c>
      <c r="G4635" t="s">
        <v>5257</v>
      </c>
    </row>
    <row r="4636" spans="1:7" x14ac:dyDescent="0.3">
      <c r="A4636">
        <v>4634</v>
      </c>
      <c r="B4636" t="s">
        <v>5305</v>
      </c>
      <c r="C4636" t="s">
        <v>5306</v>
      </c>
      <c r="D4636">
        <v>45</v>
      </c>
      <c r="E4636">
        <v>34</v>
      </c>
      <c r="F4636" t="s">
        <v>5307</v>
      </c>
      <c r="G4636" t="s">
        <v>5257</v>
      </c>
    </row>
    <row r="4637" spans="1:7" x14ac:dyDescent="0.3">
      <c r="A4637">
        <v>4635</v>
      </c>
      <c r="B4637" t="s">
        <v>5308</v>
      </c>
      <c r="C4637" t="s">
        <v>2864</v>
      </c>
      <c r="D4637">
        <v>98</v>
      </c>
      <c r="E4637">
        <v>92</v>
      </c>
      <c r="F4637" t="s">
        <v>399</v>
      </c>
      <c r="G4637" t="s">
        <v>5257</v>
      </c>
    </row>
    <row r="4638" spans="1:7" x14ac:dyDescent="0.3">
      <c r="A4638">
        <v>4636</v>
      </c>
      <c r="B4638" t="s">
        <v>5308</v>
      </c>
      <c r="C4638" t="s">
        <v>2864</v>
      </c>
      <c r="D4638">
        <v>193</v>
      </c>
      <c r="E4638">
        <v>178</v>
      </c>
      <c r="F4638" t="s">
        <v>391</v>
      </c>
      <c r="G4638" t="s">
        <v>5257</v>
      </c>
    </row>
    <row r="4639" spans="1:7" x14ac:dyDescent="0.3">
      <c r="A4639">
        <v>4637</v>
      </c>
      <c r="B4639" t="s">
        <v>5309</v>
      </c>
      <c r="C4639" t="s">
        <v>5310</v>
      </c>
      <c r="D4639">
        <v>360</v>
      </c>
      <c r="E4639">
        <v>260</v>
      </c>
      <c r="F4639" t="s">
        <v>1396</v>
      </c>
      <c r="G4639" t="s">
        <v>5257</v>
      </c>
    </row>
    <row r="4640" spans="1:7" x14ac:dyDescent="0.3">
      <c r="A4640">
        <v>4638</v>
      </c>
      <c r="B4640" t="s">
        <v>5309</v>
      </c>
      <c r="C4640" t="s">
        <v>5310</v>
      </c>
      <c r="D4640">
        <v>186</v>
      </c>
      <c r="E4640">
        <v>129</v>
      </c>
      <c r="F4640" t="s">
        <v>740</v>
      </c>
      <c r="G4640" t="s">
        <v>5257</v>
      </c>
    </row>
    <row r="4641" spans="1:7" x14ac:dyDescent="0.3">
      <c r="A4641">
        <v>4639</v>
      </c>
      <c r="B4641" t="s">
        <v>5309</v>
      </c>
      <c r="C4641" t="s">
        <v>5310</v>
      </c>
      <c r="D4641">
        <v>266</v>
      </c>
      <c r="E4641">
        <v>199</v>
      </c>
      <c r="F4641" t="s">
        <v>834</v>
      </c>
      <c r="G4641" t="s">
        <v>5257</v>
      </c>
    </row>
    <row r="4642" spans="1:7" x14ac:dyDescent="0.3">
      <c r="A4642">
        <v>4640</v>
      </c>
      <c r="B4642" t="s">
        <v>5311</v>
      </c>
      <c r="C4642" t="s">
        <v>5312</v>
      </c>
      <c r="D4642">
        <v>80</v>
      </c>
      <c r="E4642">
        <v>72</v>
      </c>
      <c r="F4642" t="s">
        <v>5313</v>
      </c>
      <c r="G4642" t="s">
        <v>5257</v>
      </c>
    </row>
    <row r="4643" spans="1:7" x14ac:dyDescent="0.3">
      <c r="A4643">
        <v>4641</v>
      </c>
      <c r="B4643" t="s">
        <v>5311</v>
      </c>
      <c r="C4643" t="s">
        <v>5312</v>
      </c>
      <c r="D4643">
        <v>150</v>
      </c>
      <c r="E4643">
        <v>135</v>
      </c>
      <c r="F4643" t="s">
        <v>740</v>
      </c>
      <c r="G4643" t="s">
        <v>5257</v>
      </c>
    </row>
    <row r="4644" spans="1:7" x14ac:dyDescent="0.3">
      <c r="A4644">
        <v>4642</v>
      </c>
      <c r="B4644" t="s">
        <v>5314</v>
      </c>
      <c r="C4644" t="s">
        <v>17</v>
      </c>
      <c r="D4644">
        <v>150</v>
      </c>
      <c r="E4644">
        <v>95</v>
      </c>
      <c r="F4644" t="s">
        <v>2599</v>
      </c>
      <c r="G4644" t="s">
        <v>5257</v>
      </c>
    </row>
    <row r="4645" spans="1:7" x14ac:dyDescent="0.3">
      <c r="A4645">
        <v>4643</v>
      </c>
      <c r="B4645" t="s">
        <v>5314</v>
      </c>
      <c r="C4645" t="s">
        <v>17</v>
      </c>
      <c r="D4645">
        <v>85</v>
      </c>
      <c r="E4645">
        <v>73</v>
      </c>
      <c r="F4645" t="s">
        <v>4243</v>
      </c>
      <c r="G4645" t="s">
        <v>5257</v>
      </c>
    </row>
    <row r="4646" spans="1:7" x14ac:dyDescent="0.3">
      <c r="A4646">
        <v>4644</v>
      </c>
      <c r="B4646" t="s">
        <v>5314</v>
      </c>
      <c r="C4646" t="s">
        <v>17</v>
      </c>
      <c r="D4646">
        <v>42</v>
      </c>
      <c r="E4646">
        <v>39</v>
      </c>
      <c r="F4646" t="s">
        <v>3057</v>
      </c>
      <c r="G4646" t="s">
        <v>5257</v>
      </c>
    </row>
    <row r="4647" spans="1:7" x14ac:dyDescent="0.3">
      <c r="A4647">
        <v>4645</v>
      </c>
      <c r="B4647" t="s">
        <v>5315</v>
      </c>
      <c r="C4647" t="s">
        <v>5316</v>
      </c>
      <c r="D4647">
        <v>125</v>
      </c>
      <c r="E4647">
        <v>115</v>
      </c>
      <c r="F4647" t="s">
        <v>613</v>
      </c>
      <c r="G4647" t="s">
        <v>5257</v>
      </c>
    </row>
    <row r="4648" spans="1:7" x14ac:dyDescent="0.3">
      <c r="A4648">
        <v>4646</v>
      </c>
      <c r="B4648" t="s">
        <v>5315</v>
      </c>
      <c r="C4648" t="s">
        <v>5316</v>
      </c>
      <c r="D4648">
        <v>189</v>
      </c>
      <c r="E4648">
        <v>175</v>
      </c>
      <c r="F4648" t="s">
        <v>216</v>
      </c>
      <c r="G4648" t="s">
        <v>5257</v>
      </c>
    </row>
    <row r="4649" spans="1:7" x14ac:dyDescent="0.3">
      <c r="A4649">
        <v>4647</v>
      </c>
      <c r="B4649" t="s">
        <v>5317</v>
      </c>
      <c r="C4649" t="s">
        <v>5316</v>
      </c>
      <c r="D4649">
        <v>149</v>
      </c>
      <c r="E4649">
        <v>134</v>
      </c>
      <c r="F4649" t="s">
        <v>691</v>
      </c>
      <c r="G4649" t="s">
        <v>5257</v>
      </c>
    </row>
    <row r="4650" spans="1:7" x14ac:dyDescent="0.3">
      <c r="A4650">
        <v>4648</v>
      </c>
      <c r="B4650" t="s">
        <v>5317</v>
      </c>
      <c r="C4650" t="s">
        <v>5316</v>
      </c>
      <c r="D4650">
        <v>290</v>
      </c>
      <c r="E4650">
        <v>269</v>
      </c>
      <c r="F4650" t="s">
        <v>720</v>
      </c>
      <c r="G4650" t="s">
        <v>5257</v>
      </c>
    </row>
    <row r="4651" spans="1:7" x14ac:dyDescent="0.3">
      <c r="A4651">
        <v>4649</v>
      </c>
      <c r="B4651" t="s">
        <v>5318</v>
      </c>
      <c r="C4651" t="s">
        <v>5319</v>
      </c>
      <c r="D4651">
        <v>174</v>
      </c>
      <c r="E4651">
        <v>130</v>
      </c>
      <c r="F4651" t="s">
        <v>11</v>
      </c>
      <c r="G4651" t="s">
        <v>5257</v>
      </c>
    </row>
    <row r="4652" spans="1:7" x14ac:dyDescent="0.3">
      <c r="A4652">
        <v>4650</v>
      </c>
      <c r="B4652" t="s">
        <v>5320</v>
      </c>
      <c r="C4652" t="s">
        <v>5321</v>
      </c>
      <c r="D4652">
        <v>47</v>
      </c>
      <c r="E4652">
        <v>40</v>
      </c>
      <c r="F4652" t="s">
        <v>4719</v>
      </c>
      <c r="G4652" t="s">
        <v>5257</v>
      </c>
    </row>
    <row r="4653" spans="1:7" x14ac:dyDescent="0.3">
      <c r="A4653">
        <v>4651</v>
      </c>
      <c r="B4653" t="s">
        <v>5320</v>
      </c>
      <c r="C4653" t="s">
        <v>5321</v>
      </c>
      <c r="D4653">
        <v>88</v>
      </c>
      <c r="E4653">
        <v>74</v>
      </c>
      <c r="F4653" t="s">
        <v>5322</v>
      </c>
      <c r="G4653" t="s">
        <v>5257</v>
      </c>
    </row>
    <row r="4654" spans="1:7" x14ac:dyDescent="0.3">
      <c r="A4654">
        <v>4652</v>
      </c>
      <c r="B4654" t="s">
        <v>5323</v>
      </c>
      <c r="C4654" t="s">
        <v>5324</v>
      </c>
      <c r="D4654">
        <v>100</v>
      </c>
      <c r="E4654">
        <v>85</v>
      </c>
      <c r="F4654" t="s">
        <v>2599</v>
      </c>
      <c r="G4654" t="s">
        <v>5257</v>
      </c>
    </row>
    <row r="4655" spans="1:7" x14ac:dyDescent="0.3">
      <c r="A4655">
        <v>4653</v>
      </c>
      <c r="B4655" t="s">
        <v>5325</v>
      </c>
      <c r="C4655" t="s">
        <v>5324</v>
      </c>
      <c r="D4655">
        <v>130</v>
      </c>
      <c r="E4655">
        <v>109</v>
      </c>
      <c r="F4655" t="s">
        <v>2599</v>
      </c>
      <c r="G4655" t="s">
        <v>5257</v>
      </c>
    </row>
    <row r="4656" spans="1:7" x14ac:dyDescent="0.3">
      <c r="A4656">
        <v>4654</v>
      </c>
      <c r="B4656" t="s">
        <v>5326</v>
      </c>
      <c r="C4656" t="s">
        <v>5324</v>
      </c>
      <c r="D4656">
        <v>175</v>
      </c>
      <c r="E4656">
        <v>155</v>
      </c>
      <c r="F4656" t="s">
        <v>720</v>
      </c>
      <c r="G4656" t="s">
        <v>5257</v>
      </c>
    </row>
    <row r="4657" spans="1:7" x14ac:dyDescent="0.3">
      <c r="A4657">
        <v>4655</v>
      </c>
      <c r="B4657" t="s">
        <v>5327</v>
      </c>
      <c r="C4657" t="s">
        <v>5328</v>
      </c>
      <c r="D4657">
        <v>295</v>
      </c>
      <c r="E4657">
        <v>235</v>
      </c>
      <c r="F4657" t="s">
        <v>4172</v>
      </c>
      <c r="G4657" t="s">
        <v>5257</v>
      </c>
    </row>
    <row r="4658" spans="1:7" x14ac:dyDescent="0.3">
      <c r="A4658">
        <v>4656</v>
      </c>
      <c r="B4658" t="s">
        <v>5329</v>
      </c>
      <c r="C4658" t="s">
        <v>5286</v>
      </c>
      <c r="D4658">
        <v>95</v>
      </c>
      <c r="E4658">
        <v>74</v>
      </c>
      <c r="F4658" t="s">
        <v>4243</v>
      </c>
      <c r="G4658" t="s">
        <v>5257</v>
      </c>
    </row>
    <row r="4659" spans="1:7" x14ac:dyDescent="0.3">
      <c r="A4659">
        <v>4657</v>
      </c>
      <c r="B4659" t="s">
        <v>5330</v>
      </c>
      <c r="C4659" t="s">
        <v>5324</v>
      </c>
      <c r="D4659">
        <v>125</v>
      </c>
      <c r="E4659">
        <v>105</v>
      </c>
      <c r="F4659" t="s">
        <v>2599</v>
      </c>
      <c r="G4659" t="s">
        <v>5257</v>
      </c>
    </row>
    <row r="4660" spans="1:7" x14ac:dyDescent="0.3">
      <c r="A4660">
        <v>4658</v>
      </c>
      <c r="B4660" t="s">
        <v>5331</v>
      </c>
      <c r="C4660" t="s">
        <v>5286</v>
      </c>
      <c r="D4660">
        <v>45</v>
      </c>
      <c r="E4660">
        <v>40</v>
      </c>
      <c r="F4660" t="s">
        <v>3057</v>
      </c>
      <c r="G4660" t="s">
        <v>5257</v>
      </c>
    </row>
    <row r="4661" spans="1:7" x14ac:dyDescent="0.3">
      <c r="A4661">
        <v>4659</v>
      </c>
      <c r="B4661" t="s">
        <v>5332</v>
      </c>
      <c r="C4661" t="s">
        <v>5286</v>
      </c>
      <c r="D4661">
        <v>60</v>
      </c>
      <c r="E4661">
        <v>30</v>
      </c>
      <c r="F4661" t="s">
        <v>4719</v>
      </c>
      <c r="G4661" t="s">
        <v>5257</v>
      </c>
    </row>
    <row r="4662" spans="1:7" x14ac:dyDescent="0.3">
      <c r="A4662">
        <v>4660</v>
      </c>
      <c r="B4662" t="s">
        <v>5325</v>
      </c>
      <c r="C4662" t="s">
        <v>5324</v>
      </c>
      <c r="D4662">
        <v>100</v>
      </c>
      <c r="E4662">
        <v>84</v>
      </c>
      <c r="F4662" t="s">
        <v>5333</v>
      </c>
      <c r="G4662" t="s">
        <v>5257</v>
      </c>
    </row>
    <row r="4663" spans="1:7" x14ac:dyDescent="0.3">
      <c r="A4663">
        <v>4661</v>
      </c>
      <c r="B4663" t="s">
        <v>5334</v>
      </c>
      <c r="C4663" t="s">
        <v>5321</v>
      </c>
      <c r="D4663">
        <v>47</v>
      </c>
      <c r="E4663">
        <v>41</v>
      </c>
      <c r="F4663" t="s">
        <v>4719</v>
      </c>
      <c r="G4663" t="s">
        <v>5257</v>
      </c>
    </row>
    <row r="4664" spans="1:7" x14ac:dyDescent="0.3">
      <c r="A4664">
        <v>4662</v>
      </c>
      <c r="B4664" t="s">
        <v>5334</v>
      </c>
      <c r="C4664" t="s">
        <v>5321</v>
      </c>
      <c r="D4664">
        <v>88</v>
      </c>
      <c r="E4664">
        <v>75</v>
      </c>
      <c r="F4664" t="s">
        <v>5322</v>
      </c>
      <c r="G4664" t="s">
        <v>5257</v>
      </c>
    </row>
    <row r="4665" spans="1:7" x14ac:dyDescent="0.3">
      <c r="A4665">
        <v>4663</v>
      </c>
      <c r="B4665" t="s">
        <v>5335</v>
      </c>
      <c r="C4665" t="s">
        <v>5336</v>
      </c>
      <c r="D4665">
        <v>165</v>
      </c>
      <c r="E4665">
        <v>145</v>
      </c>
      <c r="F4665" t="s">
        <v>814</v>
      </c>
      <c r="G4665" t="s">
        <v>5257</v>
      </c>
    </row>
    <row r="4666" spans="1:7" x14ac:dyDescent="0.3">
      <c r="A4666">
        <v>4664</v>
      </c>
      <c r="B4666" t="s">
        <v>5337</v>
      </c>
      <c r="C4666" t="s">
        <v>4225</v>
      </c>
      <c r="D4666">
        <v>130</v>
      </c>
      <c r="E4666">
        <v>99</v>
      </c>
      <c r="F4666" t="s">
        <v>814</v>
      </c>
      <c r="G4666" t="s">
        <v>5257</v>
      </c>
    </row>
    <row r="4667" spans="1:7" x14ac:dyDescent="0.3">
      <c r="A4667">
        <v>4665</v>
      </c>
      <c r="B4667" t="s">
        <v>5338</v>
      </c>
      <c r="C4667" t="s">
        <v>5339</v>
      </c>
      <c r="D4667">
        <v>87</v>
      </c>
      <c r="E4667">
        <v>70</v>
      </c>
      <c r="F4667" t="s">
        <v>814</v>
      </c>
      <c r="G4667" t="s">
        <v>5257</v>
      </c>
    </row>
    <row r="4668" spans="1:7" x14ac:dyDescent="0.3">
      <c r="A4668">
        <v>4666</v>
      </c>
      <c r="B4668" t="s">
        <v>5326</v>
      </c>
      <c r="C4668" t="s">
        <v>5324</v>
      </c>
      <c r="D4668">
        <v>100</v>
      </c>
      <c r="E4668">
        <v>85</v>
      </c>
      <c r="F4668" t="s">
        <v>1725</v>
      </c>
      <c r="G4668" t="s">
        <v>5257</v>
      </c>
    </row>
    <row r="4669" spans="1:7" x14ac:dyDescent="0.3">
      <c r="A4669">
        <v>4667</v>
      </c>
      <c r="B4669" t="s">
        <v>5340</v>
      </c>
      <c r="C4669" t="s">
        <v>4225</v>
      </c>
      <c r="D4669">
        <v>125</v>
      </c>
      <c r="E4669">
        <v>99</v>
      </c>
      <c r="F4669" t="s">
        <v>814</v>
      </c>
      <c r="G4669" t="s">
        <v>5257</v>
      </c>
    </row>
    <row r="4670" spans="1:7" x14ac:dyDescent="0.3">
      <c r="A4670">
        <v>4668</v>
      </c>
      <c r="B4670" t="s">
        <v>5330</v>
      </c>
      <c r="C4670" t="s">
        <v>5324</v>
      </c>
      <c r="D4670">
        <v>95</v>
      </c>
      <c r="E4670">
        <v>80</v>
      </c>
      <c r="F4670" t="s">
        <v>5333</v>
      </c>
      <c r="G4670" t="s">
        <v>5257</v>
      </c>
    </row>
    <row r="4671" spans="1:7" x14ac:dyDescent="0.3">
      <c r="A4671">
        <v>4669</v>
      </c>
      <c r="B4671" t="s">
        <v>5341</v>
      </c>
      <c r="C4671" t="s">
        <v>5342</v>
      </c>
      <c r="D4671">
        <v>65</v>
      </c>
      <c r="E4671">
        <v>55</v>
      </c>
      <c r="F4671" t="s">
        <v>4163</v>
      </c>
      <c r="G4671" t="s">
        <v>5257</v>
      </c>
    </row>
    <row r="4672" spans="1:7" x14ac:dyDescent="0.3">
      <c r="A4672">
        <v>4670</v>
      </c>
      <c r="B4672" t="s">
        <v>5318</v>
      </c>
      <c r="C4672" t="s">
        <v>5339</v>
      </c>
      <c r="D4672">
        <v>58</v>
      </c>
      <c r="E4672">
        <v>45</v>
      </c>
      <c r="F4672" t="s">
        <v>613</v>
      </c>
      <c r="G4672" t="s">
        <v>5257</v>
      </c>
    </row>
    <row r="4673" spans="1:7" x14ac:dyDescent="0.3">
      <c r="A4673">
        <v>4671</v>
      </c>
      <c r="B4673" t="s">
        <v>5343</v>
      </c>
      <c r="C4673" t="s">
        <v>5328</v>
      </c>
      <c r="D4673">
        <v>78</v>
      </c>
      <c r="E4673">
        <v>63</v>
      </c>
      <c r="F4673" t="s">
        <v>1725</v>
      </c>
      <c r="G4673" t="s">
        <v>5257</v>
      </c>
    </row>
    <row r="4674" spans="1:7" x14ac:dyDescent="0.3">
      <c r="A4674">
        <v>4672</v>
      </c>
      <c r="B4674" t="s">
        <v>5344</v>
      </c>
      <c r="C4674" t="s">
        <v>5345</v>
      </c>
      <c r="D4674">
        <v>95</v>
      </c>
      <c r="E4674">
        <v>80</v>
      </c>
      <c r="F4674" t="s">
        <v>4404</v>
      </c>
      <c r="G4674" t="s">
        <v>5257</v>
      </c>
    </row>
    <row r="4675" spans="1:7" x14ac:dyDescent="0.3">
      <c r="A4675">
        <v>4673</v>
      </c>
      <c r="B4675" t="s">
        <v>5346</v>
      </c>
      <c r="C4675" t="s">
        <v>5347</v>
      </c>
      <c r="D4675">
        <v>165</v>
      </c>
      <c r="E4675">
        <v>133</v>
      </c>
      <c r="F4675" t="s">
        <v>11</v>
      </c>
      <c r="G4675" t="s">
        <v>5257</v>
      </c>
    </row>
    <row r="4676" spans="1:7" x14ac:dyDescent="0.3">
      <c r="A4676">
        <v>4674</v>
      </c>
      <c r="B4676" t="s">
        <v>5346</v>
      </c>
      <c r="C4676" t="s">
        <v>5347</v>
      </c>
      <c r="D4676">
        <v>82</v>
      </c>
      <c r="E4676">
        <v>72</v>
      </c>
      <c r="F4676" t="s">
        <v>740</v>
      </c>
      <c r="G4676" t="s">
        <v>5257</v>
      </c>
    </row>
    <row r="4677" spans="1:7" x14ac:dyDescent="0.3">
      <c r="A4677">
        <v>4675</v>
      </c>
      <c r="B4677" t="s">
        <v>5348</v>
      </c>
      <c r="C4677" t="s">
        <v>5348</v>
      </c>
      <c r="D4677">
        <v>60</v>
      </c>
      <c r="E4677">
        <v>55</v>
      </c>
      <c r="F4677" t="s">
        <v>613</v>
      </c>
      <c r="G4677" t="s">
        <v>5257</v>
      </c>
    </row>
    <row r="4678" spans="1:7" x14ac:dyDescent="0.3">
      <c r="A4678">
        <v>4676</v>
      </c>
      <c r="B4678" t="s">
        <v>5349</v>
      </c>
      <c r="C4678" t="s">
        <v>5350</v>
      </c>
      <c r="D4678">
        <v>30</v>
      </c>
      <c r="E4678">
        <v>25</v>
      </c>
      <c r="F4678" t="s">
        <v>2642</v>
      </c>
      <c r="G4678" t="s">
        <v>5257</v>
      </c>
    </row>
    <row r="4679" spans="1:7" x14ac:dyDescent="0.3">
      <c r="A4679">
        <v>4677</v>
      </c>
      <c r="B4679" t="s">
        <v>5351</v>
      </c>
      <c r="C4679" t="s">
        <v>5345</v>
      </c>
      <c r="D4679">
        <v>50</v>
      </c>
      <c r="E4679">
        <v>45</v>
      </c>
      <c r="F4679" t="s">
        <v>5352</v>
      </c>
      <c r="G4679" t="s">
        <v>5257</v>
      </c>
    </row>
    <row r="4680" spans="1:7" x14ac:dyDescent="0.3">
      <c r="A4680">
        <v>4678</v>
      </c>
      <c r="B4680" t="s">
        <v>5353</v>
      </c>
      <c r="C4680" t="s">
        <v>5354</v>
      </c>
      <c r="D4680">
        <v>135</v>
      </c>
      <c r="E4680">
        <v>116</v>
      </c>
      <c r="F4680" t="s">
        <v>4740</v>
      </c>
      <c r="G4680" t="s">
        <v>5257</v>
      </c>
    </row>
    <row r="4681" spans="1:7" x14ac:dyDescent="0.3">
      <c r="A4681">
        <v>4679</v>
      </c>
      <c r="B4681" t="s">
        <v>5355</v>
      </c>
      <c r="C4681" t="s">
        <v>5356</v>
      </c>
      <c r="D4681">
        <v>120</v>
      </c>
      <c r="E4681">
        <v>99</v>
      </c>
      <c r="F4681" t="s">
        <v>4163</v>
      </c>
      <c r="G4681" t="s">
        <v>5257</v>
      </c>
    </row>
    <row r="4682" spans="1:7" x14ac:dyDescent="0.3">
      <c r="A4682">
        <v>4680</v>
      </c>
      <c r="B4682" t="s">
        <v>5357</v>
      </c>
      <c r="C4682" t="s">
        <v>5358</v>
      </c>
      <c r="D4682">
        <v>55</v>
      </c>
      <c r="E4682">
        <v>27</v>
      </c>
      <c r="F4682" t="s">
        <v>3188</v>
      </c>
      <c r="G4682" t="s">
        <v>5257</v>
      </c>
    </row>
    <row r="4683" spans="1:7" x14ac:dyDescent="0.3">
      <c r="A4683">
        <v>4681</v>
      </c>
      <c r="B4683" t="s">
        <v>5359</v>
      </c>
      <c r="C4683" t="s">
        <v>5358</v>
      </c>
      <c r="D4683">
        <v>65</v>
      </c>
      <c r="E4683">
        <v>32</v>
      </c>
      <c r="F4683" t="s">
        <v>5360</v>
      </c>
      <c r="G4683" t="s">
        <v>5257</v>
      </c>
    </row>
    <row r="4684" spans="1:7" x14ac:dyDescent="0.3">
      <c r="A4684">
        <v>4682</v>
      </c>
      <c r="B4684" t="s">
        <v>5361</v>
      </c>
      <c r="C4684" t="s">
        <v>5362</v>
      </c>
      <c r="D4684">
        <v>590</v>
      </c>
      <c r="E4684">
        <v>520</v>
      </c>
      <c r="F4684" t="s">
        <v>391</v>
      </c>
      <c r="G4684" t="s">
        <v>5257</v>
      </c>
    </row>
    <row r="4685" spans="1:7" x14ac:dyDescent="0.3">
      <c r="A4685">
        <v>4683</v>
      </c>
      <c r="B4685" t="s">
        <v>5363</v>
      </c>
      <c r="C4685" t="s">
        <v>5362</v>
      </c>
      <c r="D4685">
        <v>240</v>
      </c>
      <c r="E4685">
        <v>210</v>
      </c>
      <c r="F4685" t="s">
        <v>4172</v>
      </c>
      <c r="G4685" t="s">
        <v>5257</v>
      </c>
    </row>
    <row r="4686" spans="1:7" x14ac:dyDescent="0.3">
      <c r="A4686">
        <v>4684</v>
      </c>
      <c r="B4686" t="s">
        <v>5364</v>
      </c>
      <c r="C4686" t="s">
        <v>5365</v>
      </c>
      <c r="D4686">
        <v>45</v>
      </c>
      <c r="E4686">
        <v>35</v>
      </c>
      <c r="F4686" t="s">
        <v>4773</v>
      </c>
      <c r="G4686" t="s">
        <v>5257</v>
      </c>
    </row>
    <row r="4687" spans="1:7" x14ac:dyDescent="0.3">
      <c r="A4687">
        <v>4685</v>
      </c>
      <c r="B4687" t="s">
        <v>5366</v>
      </c>
      <c r="C4687" t="s">
        <v>5367</v>
      </c>
      <c r="D4687">
        <v>245</v>
      </c>
      <c r="E4687">
        <v>210</v>
      </c>
      <c r="F4687" t="s">
        <v>1094</v>
      </c>
      <c r="G4687" t="s">
        <v>5257</v>
      </c>
    </row>
    <row r="4688" spans="1:7" x14ac:dyDescent="0.3">
      <c r="A4688">
        <v>4686</v>
      </c>
      <c r="B4688" t="s">
        <v>5368</v>
      </c>
      <c r="C4688" t="s">
        <v>5079</v>
      </c>
      <c r="D4688">
        <v>200</v>
      </c>
      <c r="E4688">
        <v>140</v>
      </c>
      <c r="F4688" t="s">
        <v>3151</v>
      </c>
      <c r="G4688" t="s">
        <v>5257</v>
      </c>
    </row>
    <row r="4689" spans="1:7" x14ac:dyDescent="0.3">
      <c r="A4689">
        <v>4687</v>
      </c>
      <c r="B4689" t="s">
        <v>5369</v>
      </c>
      <c r="C4689" t="s">
        <v>5367</v>
      </c>
      <c r="D4689">
        <v>245</v>
      </c>
      <c r="E4689">
        <v>199</v>
      </c>
      <c r="F4689" t="s">
        <v>1094</v>
      </c>
      <c r="G4689" t="s">
        <v>5257</v>
      </c>
    </row>
    <row r="4690" spans="1:7" x14ac:dyDescent="0.3">
      <c r="A4690">
        <v>4688</v>
      </c>
      <c r="B4690" t="s">
        <v>5370</v>
      </c>
      <c r="C4690" t="s">
        <v>5079</v>
      </c>
      <c r="D4690">
        <v>200</v>
      </c>
      <c r="E4690">
        <v>130</v>
      </c>
      <c r="F4690" t="s">
        <v>3151</v>
      </c>
      <c r="G4690" t="s">
        <v>5257</v>
      </c>
    </row>
    <row r="4691" spans="1:7" x14ac:dyDescent="0.3">
      <c r="A4691">
        <v>4689</v>
      </c>
      <c r="B4691" t="s">
        <v>5371</v>
      </c>
      <c r="C4691" t="s">
        <v>5367</v>
      </c>
      <c r="D4691">
        <v>360</v>
      </c>
      <c r="E4691">
        <v>311</v>
      </c>
      <c r="F4691" t="s">
        <v>1094</v>
      </c>
      <c r="G4691" t="s">
        <v>5257</v>
      </c>
    </row>
    <row r="4692" spans="1:7" x14ac:dyDescent="0.3">
      <c r="A4692">
        <v>4690</v>
      </c>
      <c r="B4692" t="s">
        <v>5372</v>
      </c>
      <c r="C4692" t="s">
        <v>5367</v>
      </c>
      <c r="D4692">
        <v>245</v>
      </c>
      <c r="E4692">
        <v>188</v>
      </c>
      <c r="F4692" t="s">
        <v>1094</v>
      </c>
      <c r="G4692" t="s">
        <v>5257</v>
      </c>
    </row>
    <row r="4693" spans="1:7" x14ac:dyDescent="0.3">
      <c r="A4693">
        <v>4691</v>
      </c>
      <c r="B4693" t="s">
        <v>5373</v>
      </c>
      <c r="C4693" t="s">
        <v>5367</v>
      </c>
      <c r="D4693">
        <v>228</v>
      </c>
      <c r="E4693">
        <v>188</v>
      </c>
      <c r="F4693" t="s">
        <v>1094</v>
      </c>
      <c r="G4693" t="s">
        <v>5257</v>
      </c>
    </row>
    <row r="4694" spans="1:7" x14ac:dyDescent="0.3">
      <c r="A4694">
        <v>4692</v>
      </c>
      <c r="B4694" t="s">
        <v>5374</v>
      </c>
      <c r="C4694" t="s">
        <v>5079</v>
      </c>
      <c r="D4694">
        <v>140</v>
      </c>
      <c r="E4694">
        <v>110</v>
      </c>
      <c r="F4694" t="s">
        <v>3300</v>
      </c>
      <c r="G4694" t="s">
        <v>5257</v>
      </c>
    </row>
    <row r="4695" spans="1:7" x14ac:dyDescent="0.3">
      <c r="A4695">
        <v>4693</v>
      </c>
      <c r="B4695" t="s">
        <v>5375</v>
      </c>
      <c r="C4695" t="s">
        <v>5376</v>
      </c>
      <c r="D4695">
        <v>95</v>
      </c>
      <c r="E4695">
        <v>69</v>
      </c>
      <c r="F4695" t="s">
        <v>1094</v>
      </c>
      <c r="G4695" t="s">
        <v>5257</v>
      </c>
    </row>
    <row r="4696" spans="1:7" x14ac:dyDescent="0.3">
      <c r="A4696">
        <v>4694</v>
      </c>
      <c r="B4696" t="s">
        <v>5377</v>
      </c>
      <c r="C4696" t="s">
        <v>5367</v>
      </c>
      <c r="D4696">
        <v>245</v>
      </c>
      <c r="E4696">
        <v>205</v>
      </c>
      <c r="F4696" t="s">
        <v>1094</v>
      </c>
      <c r="G4696" t="s">
        <v>5257</v>
      </c>
    </row>
    <row r="4697" spans="1:7" x14ac:dyDescent="0.3">
      <c r="A4697">
        <v>4695</v>
      </c>
      <c r="B4697" t="s">
        <v>5378</v>
      </c>
      <c r="C4697" t="s">
        <v>5079</v>
      </c>
      <c r="D4697">
        <v>140</v>
      </c>
      <c r="E4697">
        <v>99</v>
      </c>
      <c r="F4697" t="s">
        <v>3300</v>
      </c>
      <c r="G4697" t="s">
        <v>5257</v>
      </c>
    </row>
    <row r="4698" spans="1:7" x14ac:dyDescent="0.3">
      <c r="A4698">
        <v>4696</v>
      </c>
      <c r="B4698" t="s">
        <v>5379</v>
      </c>
      <c r="C4698" t="s">
        <v>5367</v>
      </c>
      <c r="D4698">
        <v>440</v>
      </c>
      <c r="E4698">
        <v>375</v>
      </c>
      <c r="F4698" t="s">
        <v>1094</v>
      </c>
      <c r="G4698" t="s">
        <v>5257</v>
      </c>
    </row>
    <row r="4699" spans="1:7" x14ac:dyDescent="0.3">
      <c r="A4699">
        <v>4697</v>
      </c>
      <c r="B4699" t="s">
        <v>5380</v>
      </c>
      <c r="C4699" t="s">
        <v>5381</v>
      </c>
      <c r="D4699">
        <v>200</v>
      </c>
      <c r="E4699">
        <v>150</v>
      </c>
      <c r="F4699" t="s">
        <v>1094</v>
      </c>
      <c r="G4699" t="s">
        <v>5257</v>
      </c>
    </row>
    <row r="4700" spans="1:7" x14ac:dyDescent="0.3">
      <c r="A4700">
        <v>4698</v>
      </c>
      <c r="B4700" t="s">
        <v>5382</v>
      </c>
      <c r="C4700" t="s">
        <v>5367</v>
      </c>
      <c r="D4700">
        <v>150</v>
      </c>
      <c r="E4700">
        <v>125</v>
      </c>
      <c r="F4700" t="s">
        <v>1094</v>
      </c>
      <c r="G4700" t="s">
        <v>5257</v>
      </c>
    </row>
    <row r="4701" spans="1:7" x14ac:dyDescent="0.3">
      <c r="A4701">
        <v>4699</v>
      </c>
      <c r="B4701" t="s">
        <v>5383</v>
      </c>
      <c r="C4701" t="s">
        <v>5367</v>
      </c>
      <c r="D4701">
        <v>799</v>
      </c>
      <c r="E4701">
        <v>719</v>
      </c>
      <c r="F4701" t="s">
        <v>2712</v>
      </c>
      <c r="G4701" t="s">
        <v>5257</v>
      </c>
    </row>
    <row r="4702" spans="1:7" x14ac:dyDescent="0.3">
      <c r="A4702">
        <v>4700</v>
      </c>
      <c r="B4702" t="s">
        <v>5384</v>
      </c>
      <c r="C4702" t="s">
        <v>5079</v>
      </c>
      <c r="D4702">
        <v>230</v>
      </c>
      <c r="E4702">
        <v>160</v>
      </c>
      <c r="F4702" t="s">
        <v>3300</v>
      </c>
      <c r="G4702" t="s">
        <v>5257</v>
      </c>
    </row>
    <row r="4703" spans="1:7" x14ac:dyDescent="0.3">
      <c r="A4703">
        <v>4701</v>
      </c>
      <c r="B4703" t="s">
        <v>5385</v>
      </c>
      <c r="C4703" t="s">
        <v>5079</v>
      </c>
      <c r="D4703">
        <v>240</v>
      </c>
      <c r="E4703">
        <v>180</v>
      </c>
      <c r="F4703" t="s">
        <v>3300</v>
      </c>
      <c r="G4703" t="s">
        <v>5257</v>
      </c>
    </row>
    <row r="4704" spans="1:7" x14ac:dyDescent="0.3">
      <c r="A4704">
        <v>4702</v>
      </c>
      <c r="B4704" t="s">
        <v>5368</v>
      </c>
      <c r="C4704" t="s">
        <v>5079</v>
      </c>
      <c r="D4704">
        <v>120</v>
      </c>
      <c r="E4704">
        <v>90</v>
      </c>
      <c r="F4704" t="s">
        <v>3300</v>
      </c>
      <c r="G4704" t="s">
        <v>5257</v>
      </c>
    </row>
    <row r="4705" spans="1:7" x14ac:dyDescent="0.3">
      <c r="A4705">
        <v>4703</v>
      </c>
      <c r="B4705" t="s">
        <v>5386</v>
      </c>
      <c r="C4705" t="s">
        <v>5381</v>
      </c>
      <c r="D4705">
        <v>150</v>
      </c>
      <c r="E4705">
        <v>99</v>
      </c>
      <c r="F4705" t="s">
        <v>1094</v>
      </c>
      <c r="G4705" t="s">
        <v>5257</v>
      </c>
    </row>
    <row r="4706" spans="1:7" x14ac:dyDescent="0.3">
      <c r="A4706">
        <v>4704</v>
      </c>
      <c r="B4706" t="s">
        <v>5387</v>
      </c>
      <c r="C4706" t="s">
        <v>5367</v>
      </c>
      <c r="D4706">
        <v>499</v>
      </c>
      <c r="E4706">
        <v>424</v>
      </c>
      <c r="F4706" t="s">
        <v>2599</v>
      </c>
      <c r="G4706" t="s">
        <v>5257</v>
      </c>
    </row>
    <row r="4707" spans="1:7" x14ac:dyDescent="0.3">
      <c r="A4707">
        <v>4705</v>
      </c>
      <c r="B4707" t="s">
        <v>5388</v>
      </c>
      <c r="C4707" t="s">
        <v>5367</v>
      </c>
      <c r="D4707">
        <v>499</v>
      </c>
      <c r="E4707">
        <v>429</v>
      </c>
      <c r="F4707" t="s">
        <v>2599</v>
      </c>
      <c r="G4707" t="s">
        <v>5257</v>
      </c>
    </row>
    <row r="4708" spans="1:7" x14ac:dyDescent="0.3">
      <c r="A4708">
        <v>4706</v>
      </c>
      <c r="B4708" t="s">
        <v>5389</v>
      </c>
      <c r="C4708" t="s">
        <v>5367</v>
      </c>
      <c r="D4708">
        <v>150</v>
      </c>
      <c r="E4708">
        <v>128</v>
      </c>
      <c r="F4708" t="s">
        <v>1094</v>
      </c>
      <c r="G4708" t="s">
        <v>5257</v>
      </c>
    </row>
    <row r="4709" spans="1:7" x14ac:dyDescent="0.3">
      <c r="A4709">
        <v>4707</v>
      </c>
      <c r="B4709" t="s">
        <v>5370</v>
      </c>
      <c r="C4709" t="s">
        <v>5079</v>
      </c>
      <c r="D4709">
        <v>120</v>
      </c>
      <c r="E4709">
        <v>93</v>
      </c>
      <c r="F4709" t="s">
        <v>3300</v>
      </c>
      <c r="G4709" t="s">
        <v>5257</v>
      </c>
    </row>
    <row r="4710" spans="1:7" x14ac:dyDescent="0.3">
      <c r="A4710">
        <v>4708</v>
      </c>
      <c r="B4710" t="s">
        <v>5390</v>
      </c>
      <c r="C4710" t="s">
        <v>5079</v>
      </c>
      <c r="D4710">
        <v>200</v>
      </c>
      <c r="E4710">
        <v>149</v>
      </c>
      <c r="F4710" t="s">
        <v>3300</v>
      </c>
      <c r="G4710" t="s">
        <v>5257</v>
      </c>
    </row>
    <row r="4711" spans="1:7" x14ac:dyDescent="0.3">
      <c r="A4711">
        <v>4709</v>
      </c>
      <c r="B4711" t="s">
        <v>5391</v>
      </c>
      <c r="C4711" t="s">
        <v>5367</v>
      </c>
      <c r="D4711">
        <v>699</v>
      </c>
      <c r="E4711">
        <v>599</v>
      </c>
      <c r="F4711" t="s">
        <v>399</v>
      </c>
      <c r="G4711" t="s">
        <v>5257</v>
      </c>
    </row>
    <row r="4712" spans="1:7" x14ac:dyDescent="0.3">
      <c r="A4712">
        <v>4710</v>
      </c>
      <c r="B4712" t="s">
        <v>5392</v>
      </c>
      <c r="C4712" t="s">
        <v>5367</v>
      </c>
      <c r="D4712">
        <v>499</v>
      </c>
      <c r="E4712">
        <v>429</v>
      </c>
      <c r="F4712" t="s">
        <v>2599</v>
      </c>
      <c r="G4712" t="s">
        <v>5257</v>
      </c>
    </row>
    <row r="4713" spans="1:7" x14ac:dyDescent="0.3">
      <c r="A4713">
        <v>4711</v>
      </c>
      <c r="B4713" t="s">
        <v>5393</v>
      </c>
      <c r="C4713" t="s">
        <v>5376</v>
      </c>
      <c r="D4713">
        <v>100</v>
      </c>
      <c r="E4713">
        <v>70</v>
      </c>
      <c r="F4713" t="s">
        <v>1094</v>
      </c>
      <c r="G4713" t="s">
        <v>5257</v>
      </c>
    </row>
    <row r="4714" spans="1:7" x14ac:dyDescent="0.3">
      <c r="A4714">
        <v>4712</v>
      </c>
      <c r="B4714" t="s">
        <v>5394</v>
      </c>
      <c r="C4714" t="s">
        <v>5079</v>
      </c>
      <c r="D4714">
        <v>130</v>
      </c>
      <c r="E4714">
        <v>105</v>
      </c>
      <c r="F4714" t="s">
        <v>3300</v>
      </c>
      <c r="G4714" t="s">
        <v>5257</v>
      </c>
    </row>
    <row r="4715" spans="1:7" x14ac:dyDescent="0.3">
      <c r="A4715">
        <v>4713</v>
      </c>
      <c r="B4715" t="s">
        <v>5395</v>
      </c>
      <c r="C4715" t="s">
        <v>5367</v>
      </c>
      <c r="D4715">
        <v>699</v>
      </c>
      <c r="E4715">
        <v>599</v>
      </c>
      <c r="F4715" t="s">
        <v>399</v>
      </c>
      <c r="G4715" t="s">
        <v>5257</v>
      </c>
    </row>
    <row r="4716" spans="1:7" x14ac:dyDescent="0.3">
      <c r="A4716">
        <v>4714</v>
      </c>
      <c r="B4716" t="s">
        <v>5396</v>
      </c>
      <c r="C4716" t="s">
        <v>5397</v>
      </c>
      <c r="D4716">
        <v>22</v>
      </c>
      <c r="E4716">
        <v>17</v>
      </c>
      <c r="F4716" t="s">
        <v>1094</v>
      </c>
      <c r="G4716" t="s">
        <v>5257</v>
      </c>
    </row>
    <row r="4717" spans="1:7" x14ac:dyDescent="0.3">
      <c r="A4717">
        <v>4715</v>
      </c>
      <c r="B4717" t="s">
        <v>5398</v>
      </c>
      <c r="C4717" t="s">
        <v>5397</v>
      </c>
      <c r="D4717">
        <v>22</v>
      </c>
      <c r="E4717">
        <v>15</v>
      </c>
      <c r="F4717" t="s">
        <v>3844</v>
      </c>
      <c r="G4717" t="s">
        <v>5257</v>
      </c>
    </row>
    <row r="4718" spans="1:7" x14ac:dyDescent="0.3">
      <c r="A4718">
        <v>4716</v>
      </c>
      <c r="B4718" t="s">
        <v>5399</v>
      </c>
      <c r="C4718" t="s">
        <v>5397</v>
      </c>
      <c r="D4718">
        <v>100</v>
      </c>
      <c r="E4718">
        <v>80</v>
      </c>
      <c r="F4718" t="s">
        <v>1094</v>
      </c>
      <c r="G4718" t="s">
        <v>5257</v>
      </c>
    </row>
    <row r="4719" spans="1:7" x14ac:dyDescent="0.3">
      <c r="A4719">
        <v>4717</v>
      </c>
      <c r="B4719" t="s">
        <v>5400</v>
      </c>
      <c r="C4719" t="s">
        <v>5397</v>
      </c>
      <c r="D4719">
        <v>200</v>
      </c>
      <c r="E4719">
        <v>160</v>
      </c>
      <c r="F4719" t="s">
        <v>1094</v>
      </c>
      <c r="G4719" t="s">
        <v>5257</v>
      </c>
    </row>
    <row r="4720" spans="1:7" x14ac:dyDescent="0.3">
      <c r="A4720">
        <v>4718</v>
      </c>
      <c r="B4720" t="s">
        <v>5401</v>
      </c>
      <c r="C4720" t="s">
        <v>5397</v>
      </c>
      <c r="D4720">
        <v>30</v>
      </c>
      <c r="E4720">
        <v>24</v>
      </c>
      <c r="F4720" t="s">
        <v>2691</v>
      </c>
      <c r="G4720" t="s">
        <v>5257</v>
      </c>
    </row>
    <row r="4721" spans="1:7" x14ac:dyDescent="0.3">
      <c r="A4721">
        <v>4719</v>
      </c>
      <c r="B4721" t="s">
        <v>5402</v>
      </c>
      <c r="C4721" t="s">
        <v>5397</v>
      </c>
      <c r="D4721">
        <v>40</v>
      </c>
      <c r="E4721">
        <v>32</v>
      </c>
      <c r="F4721" t="s">
        <v>2691</v>
      </c>
      <c r="G4721" t="s">
        <v>5257</v>
      </c>
    </row>
    <row r="4722" spans="1:7" x14ac:dyDescent="0.3">
      <c r="A4722">
        <v>4720</v>
      </c>
      <c r="B4722" t="s">
        <v>5403</v>
      </c>
      <c r="C4722" t="s">
        <v>5397</v>
      </c>
      <c r="D4722">
        <v>84</v>
      </c>
      <c r="E4722">
        <v>66</v>
      </c>
      <c r="F4722" t="s">
        <v>2712</v>
      </c>
      <c r="G4722" t="s">
        <v>5257</v>
      </c>
    </row>
    <row r="4723" spans="1:7" x14ac:dyDescent="0.3">
      <c r="A4723">
        <v>4721</v>
      </c>
      <c r="B4723" t="s">
        <v>5404</v>
      </c>
      <c r="C4723" t="s">
        <v>4225</v>
      </c>
      <c r="D4723">
        <v>180</v>
      </c>
      <c r="E4723">
        <v>130</v>
      </c>
      <c r="F4723" t="s">
        <v>5405</v>
      </c>
      <c r="G4723" t="s">
        <v>5257</v>
      </c>
    </row>
    <row r="4724" spans="1:7" x14ac:dyDescent="0.3">
      <c r="A4724">
        <v>4722</v>
      </c>
      <c r="B4724" t="s">
        <v>5406</v>
      </c>
      <c r="C4724" t="s">
        <v>4225</v>
      </c>
      <c r="D4724">
        <v>260</v>
      </c>
      <c r="E4724">
        <v>144</v>
      </c>
      <c r="F4724" t="s">
        <v>3882</v>
      </c>
      <c r="G4724" t="s">
        <v>5257</v>
      </c>
    </row>
    <row r="4725" spans="1:7" x14ac:dyDescent="0.3">
      <c r="A4725">
        <v>4723</v>
      </c>
      <c r="B4725" t="s">
        <v>5407</v>
      </c>
      <c r="C4725" t="s">
        <v>4225</v>
      </c>
      <c r="D4725">
        <v>165</v>
      </c>
      <c r="E4725">
        <v>91</v>
      </c>
      <c r="F4725" t="s">
        <v>5405</v>
      </c>
      <c r="G4725" t="s">
        <v>5257</v>
      </c>
    </row>
    <row r="4726" spans="1:7" x14ac:dyDescent="0.3">
      <c r="A4726">
        <v>4724</v>
      </c>
      <c r="B4726" t="s">
        <v>5408</v>
      </c>
      <c r="C4726" t="s">
        <v>2864</v>
      </c>
      <c r="D4726">
        <v>120</v>
      </c>
      <c r="E4726">
        <v>111</v>
      </c>
      <c r="F4726" t="s">
        <v>5409</v>
      </c>
      <c r="G4726" t="s">
        <v>5066</v>
      </c>
    </row>
    <row r="4727" spans="1:7" x14ac:dyDescent="0.3">
      <c r="A4727">
        <v>4725</v>
      </c>
      <c r="B4727" t="s">
        <v>5408</v>
      </c>
      <c r="C4727" t="s">
        <v>2864</v>
      </c>
      <c r="D4727">
        <v>109</v>
      </c>
      <c r="E4727">
        <v>93</v>
      </c>
      <c r="F4727" t="s">
        <v>1209</v>
      </c>
      <c r="G4727" t="s">
        <v>5066</v>
      </c>
    </row>
    <row r="4728" spans="1:7" x14ac:dyDescent="0.3">
      <c r="A4728">
        <v>4726</v>
      </c>
      <c r="B4728" t="s">
        <v>5410</v>
      </c>
      <c r="C4728" t="s">
        <v>4138</v>
      </c>
      <c r="D4728">
        <v>140</v>
      </c>
      <c r="E4728">
        <v>70</v>
      </c>
      <c r="F4728" t="s">
        <v>1194</v>
      </c>
      <c r="G4728" t="s">
        <v>5066</v>
      </c>
    </row>
    <row r="4729" spans="1:7" x14ac:dyDescent="0.3">
      <c r="A4729">
        <v>4727</v>
      </c>
      <c r="B4729" t="s">
        <v>5410</v>
      </c>
      <c r="C4729" t="s">
        <v>4138</v>
      </c>
      <c r="D4729">
        <v>35</v>
      </c>
      <c r="E4729">
        <v>20</v>
      </c>
      <c r="F4729" t="s">
        <v>4379</v>
      </c>
      <c r="G4729" t="s">
        <v>5066</v>
      </c>
    </row>
    <row r="4730" spans="1:7" x14ac:dyDescent="0.3">
      <c r="A4730">
        <v>4728</v>
      </c>
      <c r="B4730" t="s">
        <v>5411</v>
      </c>
      <c r="C4730" t="s">
        <v>2864</v>
      </c>
      <c r="D4730">
        <v>109</v>
      </c>
      <c r="E4730">
        <v>94</v>
      </c>
      <c r="F4730" t="s">
        <v>1194</v>
      </c>
      <c r="G4730" t="s">
        <v>5066</v>
      </c>
    </row>
    <row r="4731" spans="1:7" x14ac:dyDescent="0.3">
      <c r="A4731">
        <v>4729</v>
      </c>
      <c r="B4731" t="s">
        <v>5411</v>
      </c>
      <c r="C4731" t="s">
        <v>2864</v>
      </c>
      <c r="D4731">
        <v>120</v>
      </c>
      <c r="E4731">
        <v>107</v>
      </c>
      <c r="F4731" t="s">
        <v>5409</v>
      </c>
      <c r="G4731" t="s">
        <v>5066</v>
      </c>
    </row>
    <row r="4732" spans="1:7" x14ac:dyDescent="0.3">
      <c r="A4732">
        <v>4730</v>
      </c>
      <c r="B4732" t="s">
        <v>5412</v>
      </c>
      <c r="C4732" t="s">
        <v>4138</v>
      </c>
      <c r="D4732">
        <v>140</v>
      </c>
      <c r="E4732">
        <v>70</v>
      </c>
      <c r="F4732" t="s">
        <v>1194</v>
      </c>
      <c r="G4732" t="s">
        <v>5066</v>
      </c>
    </row>
    <row r="4733" spans="1:7" x14ac:dyDescent="0.3">
      <c r="A4733">
        <v>4731</v>
      </c>
      <c r="B4733" t="s">
        <v>5412</v>
      </c>
      <c r="C4733" t="s">
        <v>4138</v>
      </c>
      <c r="D4733">
        <v>35</v>
      </c>
      <c r="E4733">
        <v>20</v>
      </c>
      <c r="F4733" t="s">
        <v>4379</v>
      </c>
      <c r="G4733" t="s">
        <v>5066</v>
      </c>
    </row>
    <row r="4734" spans="1:7" x14ac:dyDescent="0.3">
      <c r="A4734">
        <v>4732</v>
      </c>
      <c r="B4734" t="s">
        <v>5413</v>
      </c>
      <c r="C4734" t="s">
        <v>4068</v>
      </c>
      <c r="D4734">
        <v>119</v>
      </c>
      <c r="E4734">
        <v>84</v>
      </c>
      <c r="F4734" t="s">
        <v>1194</v>
      </c>
      <c r="G4734" t="s">
        <v>5066</v>
      </c>
    </row>
    <row r="4735" spans="1:7" x14ac:dyDescent="0.3">
      <c r="A4735">
        <v>4733</v>
      </c>
      <c r="B4735" t="s">
        <v>5414</v>
      </c>
      <c r="C4735" t="s">
        <v>4138</v>
      </c>
      <c r="D4735">
        <v>140</v>
      </c>
      <c r="E4735">
        <v>70</v>
      </c>
      <c r="F4735" t="s">
        <v>1194</v>
      </c>
      <c r="G4735" t="s">
        <v>5066</v>
      </c>
    </row>
    <row r="4736" spans="1:7" x14ac:dyDescent="0.3">
      <c r="A4736">
        <v>4734</v>
      </c>
      <c r="B4736" t="s">
        <v>5414</v>
      </c>
      <c r="C4736" t="s">
        <v>4138</v>
      </c>
      <c r="D4736">
        <v>35</v>
      </c>
      <c r="E4736">
        <v>20</v>
      </c>
      <c r="F4736" t="s">
        <v>4379</v>
      </c>
      <c r="G4736" t="s">
        <v>5066</v>
      </c>
    </row>
    <row r="4737" spans="1:7" x14ac:dyDescent="0.3">
      <c r="A4737">
        <v>4735</v>
      </c>
      <c r="B4737" t="s">
        <v>5415</v>
      </c>
      <c r="C4737" t="s">
        <v>356</v>
      </c>
      <c r="D4737">
        <v>150</v>
      </c>
      <c r="E4737">
        <v>75</v>
      </c>
      <c r="F4737" t="s">
        <v>5416</v>
      </c>
      <c r="G4737" t="s">
        <v>5066</v>
      </c>
    </row>
    <row r="4738" spans="1:7" x14ac:dyDescent="0.3">
      <c r="A4738">
        <v>4736</v>
      </c>
      <c r="B4738" t="s">
        <v>5417</v>
      </c>
      <c r="C4738" t="s">
        <v>356</v>
      </c>
      <c r="D4738">
        <v>150</v>
      </c>
      <c r="E4738">
        <v>75</v>
      </c>
      <c r="F4738" t="s">
        <v>5416</v>
      </c>
      <c r="G4738" t="s">
        <v>5066</v>
      </c>
    </row>
    <row r="4739" spans="1:7" x14ac:dyDescent="0.3">
      <c r="A4739">
        <v>4737</v>
      </c>
      <c r="B4739" t="s">
        <v>5418</v>
      </c>
      <c r="C4739" t="s">
        <v>4060</v>
      </c>
      <c r="D4739">
        <v>99</v>
      </c>
      <c r="E4739">
        <v>89</v>
      </c>
      <c r="F4739" t="s">
        <v>1194</v>
      </c>
      <c r="G4739" t="s">
        <v>5066</v>
      </c>
    </row>
    <row r="4740" spans="1:7" x14ac:dyDescent="0.3">
      <c r="A4740">
        <v>4738</v>
      </c>
      <c r="B4740" t="s">
        <v>5419</v>
      </c>
      <c r="C4740" t="s">
        <v>356</v>
      </c>
      <c r="D4740">
        <v>99</v>
      </c>
      <c r="E4740">
        <v>75</v>
      </c>
      <c r="F4740" t="s">
        <v>5416</v>
      </c>
      <c r="G4740" t="s">
        <v>5066</v>
      </c>
    </row>
    <row r="4741" spans="1:7" x14ac:dyDescent="0.3">
      <c r="A4741">
        <v>4739</v>
      </c>
      <c r="B4741" t="s">
        <v>5420</v>
      </c>
      <c r="C4741" t="s">
        <v>3129</v>
      </c>
      <c r="D4741">
        <v>99</v>
      </c>
      <c r="E4741">
        <v>79</v>
      </c>
      <c r="F4741" t="s">
        <v>5416</v>
      </c>
      <c r="G4741" t="s">
        <v>5066</v>
      </c>
    </row>
    <row r="4742" spans="1:7" x14ac:dyDescent="0.3">
      <c r="A4742">
        <v>4740</v>
      </c>
      <c r="B4742" t="s">
        <v>5421</v>
      </c>
      <c r="C4742" t="s">
        <v>3129</v>
      </c>
      <c r="D4742">
        <v>99</v>
      </c>
      <c r="E4742">
        <v>79</v>
      </c>
      <c r="F4742" t="s">
        <v>5416</v>
      </c>
      <c r="G4742" t="s">
        <v>5066</v>
      </c>
    </row>
    <row r="4743" spans="1:7" x14ac:dyDescent="0.3">
      <c r="A4743">
        <v>4741</v>
      </c>
      <c r="B4743" t="s">
        <v>5422</v>
      </c>
      <c r="C4743" t="s">
        <v>4049</v>
      </c>
      <c r="D4743">
        <v>89</v>
      </c>
      <c r="E4743">
        <v>74</v>
      </c>
      <c r="F4743" t="s">
        <v>1194</v>
      </c>
      <c r="G4743" t="s">
        <v>5066</v>
      </c>
    </row>
    <row r="4744" spans="1:7" x14ac:dyDescent="0.3">
      <c r="A4744">
        <v>4742</v>
      </c>
      <c r="B4744" t="s">
        <v>5423</v>
      </c>
      <c r="C4744" t="s">
        <v>4303</v>
      </c>
      <c r="D4744">
        <v>550</v>
      </c>
      <c r="E4744">
        <v>440</v>
      </c>
      <c r="F4744" t="s">
        <v>845</v>
      </c>
      <c r="G4744" t="s">
        <v>4035</v>
      </c>
    </row>
    <row r="4745" spans="1:7" x14ac:dyDescent="0.3">
      <c r="A4745">
        <v>4743</v>
      </c>
      <c r="B4745" t="s">
        <v>5424</v>
      </c>
      <c r="C4745" t="s">
        <v>4169</v>
      </c>
      <c r="D4745">
        <v>599</v>
      </c>
      <c r="E4745">
        <v>449</v>
      </c>
      <c r="F4745" t="s">
        <v>4345</v>
      </c>
      <c r="G4745" t="s">
        <v>4035</v>
      </c>
    </row>
    <row r="4746" spans="1:7" x14ac:dyDescent="0.3">
      <c r="A4746">
        <v>4744</v>
      </c>
      <c r="B4746" t="s">
        <v>5425</v>
      </c>
      <c r="C4746" t="s">
        <v>4303</v>
      </c>
      <c r="D4746">
        <v>575</v>
      </c>
      <c r="E4746">
        <v>460</v>
      </c>
      <c r="F4746" t="s">
        <v>2599</v>
      </c>
      <c r="G4746" t="s">
        <v>4035</v>
      </c>
    </row>
    <row r="4747" spans="1:7" x14ac:dyDescent="0.3">
      <c r="A4747">
        <v>4745</v>
      </c>
      <c r="B4747" t="s">
        <v>5426</v>
      </c>
      <c r="C4747" t="s">
        <v>3132</v>
      </c>
      <c r="D4747">
        <v>599</v>
      </c>
      <c r="E4747">
        <v>419</v>
      </c>
      <c r="F4747" t="s">
        <v>5427</v>
      </c>
      <c r="G4747" t="s">
        <v>2936</v>
      </c>
    </row>
    <row r="4748" spans="1:7" x14ac:dyDescent="0.3">
      <c r="A4748">
        <v>4746</v>
      </c>
      <c r="B4748" t="s">
        <v>5428</v>
      </c>
      <c r="C4748" t="s">
        <v>5429</v>
      </c>
      <c r="D4748">
        <v>299</v>
      </c>
      <c r="E4748">
        <v>99</v>
      </c>
      <c r="F4748" t="s">
        <v>2712</v>
      </c>
      <c r="G4748" t="s">
        <v>5430</v>
      </c>
    </row>
    <row r="4749" spans="1:7" x14ac:dyDescent="0.3">
      <c r="A4749">
        <v>4747</v>
      </c>
      <c r="B4749" t="s">
        <v>5431</v>
      </c>
      <c r="C4749" t="s">
        <v>3132</v>
      </c>
      <c r="D4749">
        <v>1995</v>
      </c>
      <c r="E4749">
        <v>1599</v>
      </c>
      <c r="F4749" t="s">
        <v>2712</v>
      </c>
      <c r="G4749" t="s">
        <v>3296</v>
      </c>
    </row>
    <row r="4750" spans="1:7" x14ac:dyDescent="0.3">
      <c r="A4750">
        <v>4748</v>
      </c>
      <c r="B4750" t="s">
        <v>5432</v>
      </c>
      <c r="C4750" t="s">
        <v>3917</v>
      </c>
      <c r="D4750">
        <v>95</v>
      </c>
      <c r="E4750">
        <v>85</v>
      </c>
      <c r="F4750" t="s">
        <v>5433</v>
      </c>
      <c r="G4750" t="s">
        <v>5430</v>
      </c>
    </row>
    <row r="4751" spans="1:7" x14ac:dyDescent="0.3">
      <c r="A4751">
        <v>4749</v>
      </c>
      <c r="B4751" t="s">
        <v>5434</v>
      </c>
      <c r="C4751" t="s">
        <v>5429</v>
      </c>
      <c r="D4751">
        <v>1799</v>
      </c>
      <c r="E4751">
        <v>699</v>
      </c>
      <c r="F4751" t="s">
        <v>2712</v>
      </c>
      <c r="G4751" t="s">
        <v>5430</v>
      </c>
    </row>
    <row r="4752" spans="1:7" x14ac:dyDescent="0.3">
      <c r="A4752">
        <v>4750</v>
      </c>
      <c r="B4752" t="s">
        <v>5435</v>
      </c>
      <c r="C4752" t="s">
        <v>3917</v>
      </c>
      <c r="D4752">
        <v>95</v>
      </c>
      <c r="E4752">
        <v>85</v>
      </c>
      <c r="F4752" t="s">
        <v>5433</v>
      </c>
      <c r="G4752" t="s">
        <v>5430</v>
      </c>
    </row>
    <row r="4753" spans="1:7" x14ac:dyDescent="0.3">
      <c r="A4753">
        <v>4751</v>
      </c>
      <c r="B4753" t="s">
        <v>5436</v>
      </c>
      <c r="C4753" t="s">
        <v>17</v>
      </c>
      <c r="D4753">
        <v>600</v>
      </c>
      <c r="E4753">
        <v>209</v>
      </c>
      <c r="F4753" t="s">
        <v>2712</v>
      </c>
      <c r="G4753" t="s">
        <v>5430</v>
      </c>
    </row>
    <row r="4754" spans="1:7" x14ac:dyDescent="0.3">
      <c r="A4754">
        <v>4752</v>
      </c>
      <c r="B4754" t="s">
        <v>5437</v>
      </c>
      <c r="C4754" t="s">
        <v>3997</v>
      </c>
      <c r="D4754">
        <v>161</v>
      </c>
      <c r="E4754">
        <v>109</v>
      </c>
      <c r="F4754" t="s">
        <v>2712</v>
      </c>
      <c r="G4754" t="s">
        <v>5430</v>
      </c>
    </row>
    <row r="4755" spans="1:7" x14ac:dyDescent="0.3">
      <c r="A4755">
        <v>4753</v>
      </c>
      <c r="B4755" t="s">
        <v>5438</v>
      </c>
      <c r="C4755" t="s">
        <v>3992</v>
      </c>
      <c r="D4755">
        <v>169</v>
      </c>
      <c r="E4755">
        <v>34</v>
      </c>
      <c r="F4755" t="s">
        <v>2712</v>
      </c>
      <c r="G4755" t="s">
        <v>5430</v>
      </c>
    </row>
    <row r="4756" spans="1:7" x14ac:dyDescent="0.3">
      <c r="A4756">
        <v>4754</v>
      </c>
      <c r="B4756" t="s">
        <v>5439</v>
      </c>
      <c r="C4756" t="s">
        <v>3997</v>
      </c>
      <c r="D4756">
        <v>331</v>
      </c>
      <c r="E4756">
        <v>249</v>
      </c>
      <c r="F4756" t="s">
        <v>3004</v>
      </c>
      <c r="G4756" t="s">
        <v>5430</v>
      </c>
    </row>
    <row r="4757" spans="1:7" x14ac:dyDescent="0.3">
      <c r="A4757">
        <v>4755</v>
      </c>
      <c r="B4757" t="s">
        <v>5440</v>
      </c>
      <c r="C4757" t="s">
        <v>3913</v>
      </c>
      <c r="D4757">
        <v>799</v>
      </c>
      <c r="E4757">
        <v>449</v>
      </c>
      <c r="F4757" t="s">
        <v>4684</v>
      </c>
      <c r="G4757" t="s">
        <v>3913</v>
      </c>
    </row>
    <row r="4758" spans="1:7" x14ac:dyDescent="0.3">
      <c r="A4758">
        <v>4756</v>
      </c>
      <c r="B4758" t="s">
        <v>5441</v>
      </c>
      <c r="C4758" t="s">
        <v>3932</v>
      </c>
      <c r="D4758">
        <v>1400</v>
      </c>
      <c r="E4758">
        <v>869</v>
      </c>
      <c r="F4758" t="s">
        <v>4684</v>
      </c>
      <c r="G4758" t="s">
        <v>3296</v>
      </c>
    </row>
    <row r="4759" spans="1:7" x14ac:dyDescent="0.3">
      <c r="A4759">
        <v>4757</v>
      </c>
      <c r="B4759" t="s">
        <v>5442</v>
      </c>
      <c r="C4759" t="s">
        <v>3929</v>
      </c>
      <c r="D4759">
        <v>1400</v>
      </c>
      <c r="E4759">
        <v>1049</v>
      </c>
      <c r="F4759" t="s">
        <v>4684</v>
      </c>
      <c r="G4759" t="s">
        <v>3296</v>
      </c>
    </row>
    <row r="4760" spans="1:7" x14ac:dyDescent="0.3">
      <c r="A4760">
        <v>4758</v>
      </c>
      <c r="B4760" t="s">
        <v>5443</v>
      </c>
      <c r="C4760" t="s">
        <v>3932</v>
      </c>
      <c r="D4760">
        <v>3800</v>
      </c>
      <c r="E4760">
        <v>1899</v>
      </c>
      <c r="F4760" t="s">
        <v>5444</v>
      </c>
      <c r="G4760" t="s">
        <v>3296</v>
      </c>
    </row>
    <row r="4761" spans="1:7" x14ac:dyDescent="0.3">
      <c r="A4761">
        <v>4759</v>
      </c>
      <c r="B4761" t="s">
        <v>5445</v>
      </c>
      <c r="C4761" t="s">
        <v>3929</v>
      </c>
      <c r="D4761">
        <v>1030</v>
      </c>
      <c r="E4761">
        <v>649</v>
      </c>
      <c r="F4761" t="s">
        <v>4684</v>
      </c>
      <c r="G4761" t="s">
        <v>3296</v>
      </c>
    </row>
    <row r="4762" spans="1:7" x14ac:dyDescent="0.3">
      <c r="A4762">
        <v>4760</v>
      </c>
      <c r="B4762" t="s">
        <v>5446</v>
      </c>
      <c r="C4762" t="s">
        <v>5447</v>
      </c>
      <c r="D4762">
        <v>1290</v>
      </c>
      <c r="E4762">
        <v>599</v>
      </c>
      <c r="F4762" t="s">
        <v>4684</v>
      </c>
      <c r="G4762" t="s">
        <v>3296</v>
      </c>
    </row>
    <row r="4763" spans="1:7" x14ac:dyDescent="0.3">
      <c r="A4763">
        <v>4761</v>
      </c>
      <c r="B4763" t="s">
        <v>5448</v>
      </c>
      <c r="C4763" t="s">
        <v>5447</v>
      </c>
      <c r="D4763">
        <v>1390</v>
      </c>
      <c r="E4763">
        <v>799</v>
      </c>
      <c r="F4763" t="s">
        <v>3004</v>
      </c>
      <c r="G4763" t="s">
        <v>3296</v>
      </c>
    </row>
    <row r="4764" spans="1:7" x14ac:dyDescent="0.3">
      <c r="A4764">
        <v>4762</v>
      </c>
      <c r="B4764" t="s">
        <v>5449</v>
      </c>
      <c r="C4764" t="s">
        <v>3929</v>
      </c>
      <c r="D4764">
        <v>2349</v>
      </c>
      <c r="E4764">
        <v>1649</v>
      </c>
      <c r="F4764" t="s">
        <v>3004</v>
      </c>
      <c r="G4764" t="s">
        <v>3296</v>
      </c>
    </row>
    <row r="4765" spans="1:7" x14ac:dyDescent="0.3">
      <c r="A4765">
        <v>4763</v>
      </c>
      <c r="B4765" t="s">
        <v>5450</v>
      </c>
      <c r="C4765" t="s">
        <v>3929</v>
      </c>
      <c r="D4765">
        <v>2430</v>
      </c>
      <c r="E4765">
        <v>1899</v>
      </c>
      <c r="F4765" t="s">
        <v>5451</v>
      </c>
      <c r="G4765" t="s">
        <v>3296</v>
      </c>
    </row>
    <row r="4766" spans="1:7" x14ac:dyDescent="0.3">
      <c r="A4766">
        <v>4764</v>
      </c>
      <c r="B4766" t="s">
        <v>5450</v>
      </c>
      <c r="C4766" t="s">
        <v>3929</v>
      </c>
      <c r="D4766">
        <v>2430</v>
      </c>
      <c r="E4766">
        <v>1899</v>
      </c>
      <c r="F4766" t="s">
        <v>5452</v>
      </c>
      <c r="G4766" t="s">
        <v>3296</v>
      </c>
    </row>
    <row r="4767" spans="1:7" x14ac:dyDescent="0.3">
      <c r="A4767">
        <v>4765</v>
      </c>
      <c r="B4767" t="s">
        <v>5453</v>
      </c>
      <c r="C4767" t="s">
        <v>5454</v>
      </c>
      <c r="D4767">
        <v>2345</v>
      </c>
      <c r="E4767">
        <v>1722</v>
      </c>
      <c r="F4767" t="s">
        <v>3004</v>
      </c>
      <c r="G4767" t="s">
        <v>3296</v>
      </c>
    </row>
    <row r="4768" spans="1:7" x14ac:dyDescent="0.3">
      <c r="A4768">
        <v>4766</v>
      </c>
      <c r="B4768" t="s">
        <v>5455</v>
      </c>
      <c r="C4768" t="s">
        <v>5447</v>
      </c>
      <c r="D4768">
        <v>2110</v>
      </c>
      <c r="E4768">
        <v>1799</v>
      </c>
      <c r="F4768" t="s">
        <v>2712</v>
      </c>
      <c r="G4768" t="s">
        <v>3296</v>
      </c>
    </row>
    <row r="4769" spans="1:7" x14ac:dyDescent="0.3">
      <c r="A4769">
        <v>4767</v>
      </c>
      <c r="B4769" t="s">
        <v>5456</v>
      </c>
      <c r="C4769" t="s">
        <v>5447</v>
      </c>
      <c r="D4769">
        <v>1960</v>
      </c>
      <c r="E4769">
        <v>1499</v>
      </c>
      <c r="F4769" t="s">
        <v>2712</v>
      </c>
      <c r="G4769" t="s">
        <v>3296</v>
      </c>
    </row>
    <row r="4770" spans="1:7" x14ac:dyDescent="0.3">
      <c r="A4770">
        <v>4768</v>
      </c>
      <c r="B4770" t="s">
        <v>5457</v>
      </c>
      <c r="C4770" t="s">
        <v>3932</v>
      </c>
      <c r="D4770">
        <v>3320</v>
      </c>
      <c r="E4770">
        <v>1999</v>
      </c>
      <c r="F4770" t="s">
        <v>2712</v>
      </c>
      <c r="G4770" t="s">
        <v>3296</v>
      </c>
    </row>
    <row r="4771" spans="1:7" x14ac:dyDescent="0.3">
      <c r="A4771">
        <v>4769</v>
      </c>
      <c r="B4771" t="s">
        <v>5458</v>
      </c>
      <c r="C4771" t="s">
        <v>5447</v>
      </c>
      <c r="D4771">
        <v>2170</v>
      </c>
      <c r="E4771">
        <v>1799</v>
      </c>
      <c r="F4771" t="s">
        <v>3004</v>
      </c>
      <c r="G4771" t="s">
        <v>3296</v>
      </c>
    </row>
    <row r="4772" spans="1:7" x14ac:dyDescent="0.3">
      <c r="A4772">
        <v>4770</v>
      </c>
      <c r="B4772" t="s">
        <v>5459</v>
      </c>
      <c r="C4772" t="s">
        <v>3932</v>
      </c>
      <c r="D4772">
        <v>2110</v>
      </c>
      <c r="E4772">
        <v>1899</v>
      </c>
      <c r="F4772" t="s">
        <v>2712</v>
      </c>
      <c r="G4772" t="s">
        <v>3296</v>
      </c>
    </row>
    <row r="4773" spans="1:7" x14ac:dyDescent="0.3">
      <c r="A4773">
        <v>4771</v>
      </c>
      <c r="B4773" t="s">
        <v>5460</v>
      </c>
      <c r="C4773" t="s">
        <v>3913</v>
      </c>
      <c r="D4773">
        <v>2050</v>
      </c>
      <c r="E4773">
        <v>1299</v>
      </c>
      <c r="F4773" t="s">
        <v>2712</v>
      </c>
      <c r="G4773" t="s">
        <v>3296</v>
      </c>
    </row>
    <row r="4774" spans="1:7" x14ac:dyDescent="0.3">
      <c r="A4774">
        <v>4772</v>
      </c>
      <c r="B4774" t="s">
        <v>5461</v>
      </c>
      <c r="C4774" t="s">
        <v>5462</v>
      </c>
      <c r="D4774">
        <v>1760</v>
      </c>
      <c r="E4774">
        <v>1399</v>
      </c>
      <c r="F4774" t="s">
        <v>3004</v>
      </c>
      <c r="G4774" t="s">
        <v>3296</v>
      </c>
    </row>
    <row r="4775" spans="1:7" x14ac:dyDescent="0.3">
      <c r="A4775">
        <v>4773</v>
      </c>
      <c r="B4775" t="s">
        <v>5463</v>
      </c>
      <c r="C4775" t="s">
        <v>3913</v>
      </c>
      <c r="D4775">
        <v>1899</v>
      </c>
      <c r="E4775">
        <v>1199</v>
      </c>
      <c r="F4775" t="s">
        <v>2712</v>
      </c>
      <c r="G4775" t="s">
        <v>3296</v>
      </c>
    </row>
    <row r="4776" spans="1:7" x14ac:dyDescent="0.3">
      <c r="A4776">
        <v>4774</v>
      </c>
      <c r="B4776" t="s">
        <v>5464</v>
      </c>
      <c r="C4776" t="s">
        <v>3929</v>
      </c>
      <c r="D4776">
        <v>4180</v>
      </c>
      <c r="E4776">
        <v>3599</v>
      </c>
      <c r="F4776" t="s">
        <v>3004</v>
      </c>
      <c r="G4776" t="s">
        <v>3296</v>
      </c>
    </row>
    <row r="4777" spans="1:7" x14ac:dyDescent="0.3">
      <c r="A4777">
        <v>4775</v>
      </c>
      <c r="B4777" t="s">
        <v>5465</v>
      </c>
      <c r="C4777" t="s">
        <v>3983</v>
      </c>
      <c r="D4777">
        <v>1799</v>
      </c>
      <c r="E4777">
        <v>1299</v>
      </c>
      <c r="F4777" t="s">
        <v>2712</v>
      </c>
      <c r="G4777" t="s">
        <v>3296</v>
      </c>
    </row>
    <row r="4778" spans="1:7" x14ac:dyDescent="0.3">
      <c r="A4778">
        <v>4776</v>
      </c>
      <c r="B4778" t="s">
        <v>5466</v>
      </c>
      <c r="C4778" t="s">
        <v>5447</v>
      </c>
      <c r="D4778">
        <v>2995</v>
      </c>
      <c r="E4778">
        <v>2499</v>
      </c>
      <c r="F4778" t="s">
        <v>2712</v>
      </c>
      <c r="G4778" t="s">
        <v>3296</v>
      </c>
    </row>
    <row r="4779" spans="1:7" x14ac:dyDescent="0.3">
      <c r="A4779">
        <v>4777</v>
      </c>
      <c r="B4779" t="s">
        <v>5467</v>
      </c>
      <c r="C4779" t="s">
        <v>3983</v>
      </c>
      <c r="D4779">
        <v>2199</v>
      </c>
      <c r="E4779">
        <v>1449</v>
      </c>
      <c r="F4779" t="s">
        <v>2712</v>
      </c>
      <c r="G4779" t="s">
        <v>3296</v>
      </c>
    </row>
    <row r="4780" spans="1:7" x14ac:dyDescent="0.3">
      <c r="A4780">
        <v>4778</v>
      </c>
      <c r="B4780" t="s">
        <v>5468</v>
      </c>
      <c r="C4780" t="s">
        <v>5447</v>
      </c>
      <c r="D4780">
        <v>3685</v>
      </c>
      <c r="E4780">
        <v>2699</v>
      </c>
      <c r="F4780" t="s">
        <v>2712</v>
      </c>
      <c r="G4780" t="s">
        <v>3296</v>
      </c>
    </row>
    <row r="4781" spans="1:7" x14ac:dyDescent="0.3">
      <c r="A4781">
        <v>4779</v>
      </c>
      <c r="B4781" t="s">
        <v>5469</v>
      </c>
      <c r="C4781" t="s">
        <v>5454</v>
      </c>
      <c r="D4781">
        <v>2680</v>
      </c>
      <c r="E4781">
        <v>1999</v>
      </c>
      <c r="F4781" t="s">
        <v>2712</v>
      </c>
      <c r="G4781" t="s">
        <v>3296</v>
      </c>
    </row>
    <row r="4782" spans="1:7" x14ac:dyDescent="0.3">
      <c r="A4782">
        <v>4780</v>
      </c>
      <c r="B4782" t="s">
        <v>5470</v>
      </c>
      <c r="C4782" t="s">
        <v>5447</v>
      </c>
      <c r="D4782">
        <v>3840</v>
      </c>
      <c r="E4782">
        <v>2999</v>
      </c>
      <c r="F4782" t="s">
        <v>5471</v>
      </c>
      <c r="G4782" t="s">
        <v>3296</v>
      </c>
    </row>
    <row r="4783" spans="1:7" x14ac:dyDescent="0.3">
      <c r="A4783">
        <v>4781</v>
      </c>
      <c r="B4783" t="s">
        <v>5472</v>
      </c>
      <c r="C4783" t="s">
        <v>3929</v>
      </c>
      <c r="D4783">
        <v>825</v>
      </c>
      <c r="E4783">
        <v>549</v>
      </c>
      <c r="F4783" t="s">
        <v>4684</v>
      </c>
      <c r="G4783" t="s">
        <v>3296</v>
      </c>
    </row>
    <row r="4784" spans="1:7" x14ac:dyDescent="0.3">
      <c r="A4784">
        <v>4782</v>
      </c>
      <c r="B4784" t="s">
        <v>5473</v>
      </c>
      <c r="C4784" t="s">
        <v>3929</v>
      </c>
      <c r="D4784">
        <v>5600</v>
      </c>
      <c r="E4784">
        <v>3899</v>
      </c>
      <c r="F4784" t="s">
        <v>3675</v>
      </c>
      <c r="G4784" t="s">
        <v>3296</v>
      </c>
    </row>
    <row r="4785" spans="1:7" x14ac:dyDescent="0.3">
      <c r="A4785">
        <v>4783</v>
      </c>
      <c r="B4785" t="s">
        <v>5474</v>
      </c>
      <c r="C4785" t="s">
        <v>5475</v>
      </c>
      <c r="D4785">
        <v>530</v>
      </c>
      <c r="E4785">
        <v>479</v>
      </c>
      <c r="F4785" t="s">
        <v>4684</v>
      </c>
      <c r="G4785" t="s">
        <v>3296</v>
      </c>
    </row>
    <row r="4786" spans="1:7" x14ac:dyDescent="0.3">
      <c r="A4786">
        <v>4784</v>
      </c>
      <c r="B4786" t="s">
        <v>5476</v>
      </c>
      <c r="C4786" t="s">
        <v>5447</v>
      </c>
      <c r="D4786">
        <v>650</v>
      </c>
      <c r="E4786">
        <v>479</v>
      </c>
      <c r="F4786" t="s">
        <v>4684</v>
      </c>
      <c r="G4786" t="s">
        <v>3296</v>
      </c>
    </row>
    <row r="4787" spans="1:7" x14ac:dyDescent="0.3">
      <c r="A4787">
        <v>4785</v>
      </c>
      <c r="B4787" t="s">
        <v>5477</v>
      </c>
      <c r="C4787" t="s">
        <v>3629</v>
      </c>
      <c r="D4787">
        <v>1290</v>
      </c>
      <c r="E4787">
        <v>799</v>
      </c>
      <c r="F4787" t="s">
        <v>5478</v>
      </c>
      <c r="G4787" t="s">
        <v>5479</v>
      </c>
    </row>
    <row r="4788" spans="1:7" x14ac:dyDescent="0.3">
      <c r="A4788">
        <v>4786</v>
      </c>
      <c r="B4788" t="s">
        <v>5480</v>
      </c>
      <c r="C4788" t="s">
        <v>3929</v>
      </c>
      <c r="D4788">
        <v>4800</v>
      </c>
      <c r="E4788">
        <v>3499</v>
      </c>
      <c r="F4788" t="s">
        <v>5481</v>
      </c>
      <c r="G4788" t="s">
        <v>5479</v>
      </c>
    </row>
    <row r="4789" spans="1:7" x14ac:dyDescent="0.3">
      <c r="A4789">
        <v>4787</v>
      </c>
      <c r="B4789" t="s">
        <v>5482</v>
      </c>
      <c r="C4789" t="s">
        <v>17</v>
      </c>
      <c r="D4789">
        <v>1550</v>
      </c>
      <c r="E4789">
        <v>1395</v>
      </c>
      <c r="F4789" t="s">
        <v>3004</v>
      </c>
      <c r="G4789" t="s">
        <v>5479</v>
      </c>
    </row>
    <row r="4790" spans="1:7" x14ac:dyDescent="0.3">
      <c r="A4790">
        <v>4788</v>
      </c>
      <c r="B4790" t="s">
        <v>5483</v>
      </c>
      <c r="C4790" t="s">
        <v>3932</v>
      </c>
      <c r="D4790">
        <v>4050</v>
      </c>
      <c r="E4790">
        <v>2399</v>
      </c>
      <c r="F4790" t="s">
        <v>5484</v>
      </c>
      <c r="G4790" t="s">
        <v>5479</v>
      </c>
    </row>
    <row r="4791" spans="1:7" x14ac:dyDescent="0.3">
      <c r="A4791">
        <v>4789</v>
      </c>
      <c r="B4791" t="s">
        <v>5485</v>
      </c>
      <c r="C4791" t="s">
        <v>3311</v>
      </c>
      <c r="D4791">
        <v>6100</v>
      </c>
      <c r="E4791">
        <v>2999</v>
      </c>
      <c r="F4791" t="s">
        <v>3318</v>
      </c>
      <c r="G4791" t="s">
        <v>5479</v>
      </c>
    </row>
    <row r="4792" spans="1:7" x14ac:dyDescent="0.3">
      <c r="A4792">
        <v>4790</v>
      </c>
      <c r="B4792" t="s">
        <v>5486</v>
      </c>
      <c r="C4792" t="s">
        <v>3932</v>
      </c>
      <c r="D4792">
        <v>3150</v>
      </c>
      <c r="E4792">
        <v>2449</v>
      </c>
      <c r="F4792" t="s">
        <v>5487</v>
      </c>
      <c r="G4792" t="s">
        <v>5479</v>
      </c>
    </row>
    <row r="4793" spans="1:7" x14ac:dyDescent="0.3">
      <c r="A4793">
        <v>4791</v>
      </c>
      <c r="B4793" t="s">
        <v>5488</v>
      </c>
      <c r="C4793" t="s">
        <v>3932</v>
      </c>
      <c r="D4793">
        <v>6275</v>
      </c>
      <c r="E4793">
        <v>3599</v>
      </c>
      <c r="F4793" t="s">
        <v>5481</v>
      </c>
      <c r="G4793" t="s">
        <v>5479</v>
      </c>
    </row>
    <row r="4794" spans="1:7" x14ac:dyDescent="0.3">
      <c r="A4794">
        <v>4792</v>
      </c>
      <c r="B4794" t="s">
        <v>5489</v>
      </c>
      <c r="C4794" t="s">
        <v>5490</v>
      </c>
      <c r="D4794">
        <v>6095</v>
      </c>
      <c r="E4794">
        <v>3999</v>
      </c>
      <c r="F4794" t="s">
        <v>5481</v>
      </c>
      <c r="G4794" t="s">
        <v>5479</v>
      </c>
    </row>
    <row r="4795" spans="1:7" x14ac:dyDescent="0.3">
      <c r="A4795">
        <v>4793</v>
      </c>
      <c r="B4795" t="s">
        <v>5491</v>
      </c>
      <c r="C4795" t="s">
        <v>3298</v>
      </c>
      <c r="D4795">
        <v>3595</v>
      </c>
      <c r="E4795">
        <v>1799</v>
      </c>
      <c r="F4795" t="s">
        <v>5492</v>
      </c>
      <c r="G4795" t="s">
        <v>3298</v>
      </c>
    </row>
    <row r="4796" spans="1:7" x14ac:dyDescent="0.3">
      <c r="A4796">
        <v>4794</v>
      </c>
      <c r="B4796" t="s">
        <v>5493</v>
      </c>
      <c r="C4796" t="s">
        <v>3328</v>
      </c>
      <c r="D4796">
        <v>3945</v>
      </c>
      <c r="E4796">
        <v>2499</v>
      </c>
      <c r="F4796" t="s">
        <v>5494</v>
      </c>
      <c r="G4796" t="s">
        <v>5479</v>
      </c>
    </row>
    <row r="4797" spans="1:7" x14ac:dyDescent="0.3">
      <c r="A4797">
        <v>4795</v>
      </c>
      <c r="B4797" t="s">
        <v>5495</v>
      </c>
      <c r="C4797" t="s">
        <v>3328</v>
      </c>
      <c r="D4797">
        <v>3345</v>
      </c>
      <c r="E4797">
        <v>2149</v>
      </c>
      <c r="F4797" t="s">
        <v>3004</v>
      </c>
      <c r="G4797" t="s">
        <v>5479</v>
      </c>
    </row>
    <row r="4798" spans="1:7" x14ac:dyDescent="0.3">
      <c r="A4798">
        <v>4796</v>
      </c>
      <c r="B4798" t="s">
        <v>5496</v>
      </c>
      <c r="C4798" t="s">
        <v>3932</v>
      </c>
      <c r="D4798">
        <v>4170</v>
      </c>
      <c r="E4798">
        <v>2849</v>
      </c>
      <c r="F4798" t="s">
        <v>5494</v>
      </c>
      <c r="G4798" t="s">
        <v>5479</v>
      </c>
    </row>
    <row r="4799" spans="1:7" x14ac:dyDescent="0.3">
      <c r="A4799">
        <v>4797</v>
      </c>
      <c r="B4799" t="s">
        <v>5497</v>
      </c>
      <c r="C4799" t="s">
        <v>3932</v>
      </c>
      <c r="D4799">
        <v>3410</v>
      </c>
      <c r="E4799">
        <v>2349</v>
      </c>
      <c r="F4799" t="s">
        <v>5498</v>
      </c>
      <c r="G4799" t="s">
        <v>5479</v>
      </c>
    </row>
    <row r="4800" spans="1:7" x14ac:dyDescent="0.3">
      <c r="A4800">
        <v>4798</v>
      </c>
      <c r="B4800" t="s">
        <v>5499</v>
      </c>
      <c r="C4800" t="s">
        <v>5447</v>
      </c>
      <c r="D4800">
        <v>3890</v>
      </c>
      <c r="E4800">
        <v>2399</v>
      </c>
      <c r="F4800" t="s">
        <v>3004</v>
      </c>
      <c r="G4800" t="s">
        <v>5479</v>
      </c>
    </row>
    <row r="4801" spans="1:7" x14ac:dyDescent="0.3">
      <c r="A4801">
        <v>4799</v>
      </c>
      <c r="B4801" t="s">
        <v>5500</v>
      </c>
      <c r="C4801" t="s">
        <v>5501</v>
      </c>
      <c r="D4801">
        <v>300</v>
      </c>
      <c r="E4801">
        <v>199</v>
      </c>
      <c r="F4801" t="s">
        <v>5502</v>
      </c>
      <c r="G4801" t="s">
        <v>5503</v>
      </c>
    </row>
    <row r="4802" spans="1:7" x14ac:dyDescent="0.3">
      <c r="A4802">
        <v>4800</v>
      </c>
      <c r="B4802" t="s">
        <v>5504</v>
      </c>
      <c r="C4802" t="s">
        <v>5501</v>
      </c>
      <c r="D4802">
        <v>300</v>
      </c>
      <c r="E4802">
        <v>99</v>
      </c>
      <c r="F4802" t="s">
        <v>5505</v>
      </c>
      <c r="G4802" t="s">
        <v>5503</v>
      </c>
    </row>
    <row r="4803" spans="1:7" x14ac:dyDescent="0.3">
      <c r="A4803">
        <v>4801</v>
      </c>
      <c r="B4803" t="s">
        <v>5506</v>
      </c>
      <c r="C4803" t="s">
        <v>5507</v>
      </c>
      <c r="D4803">
        <v>284</v>
      </c>
      <c r="E4803">
        <v>229</v>
      </c>
      <c r="F4803" t="s">
        <v>5505</v>
      </c>
      <c r="G4803" t="s">
        <v>5503</v>
      </c>
    </row>
    <row r="4804" spans="1:7" x14ac:dyDescent="0.3">
      <c r="A4804">
        <v>4802</v>
      </c>
      <c r="B4804" t="s">
        <v>5506</v>
      </c>
      <c r="C4804" t="s">
        <v>5507</v>
      </c>
      <c r="D4804">
        <v>284</v>
      </c>
      <c r="E4804">
        <v>227</v>
      </c>
      <c r="F4804" t="s">
        <v>5508</v>
      </c>
      <c r="G4804" t="s">
        <v>5503</v>
      </c>
    </row>
    <row r="4805" spans="1:7" x14ac:dyDescent="0.3">
      <c r="A4805">
        <v>4803</v>
      </c>
      <c r="B4805" t="s">
        <v>5506</v>
      </c>
      <c r="C4805" t="s">
        <v>5507</v>
      </c>
      <c r="D4805">
        <v>324</v>
      </c>
      <c r="E4805">
        <v>259</v>
      </c>
      <c r="F4805" t="s">
        <v>5509</v>
      </c>
      <c r="G4805" t="s">
        <v>5503</v>
      </c>
    </row>
    <row r="4806" spans="1:7" x14ac:dyDescent="0.3">
      <c r="A4806">
        <v>4804</v>
      </c>
      <c r="B4806" t="s">
        <v>5510</v>
      </c>
      <c r="C4806" t="s">
        <v>5511</v>
      </c>
      <c r="D4806">
        <v>215</v>
      </c>
      <c r="E4806">
        <v>149</v>
      </c>
      <c r="F4806" t="s">
        <v>5508</v>
      </c>
      <c r="G4806" t="s">
        <v>5503</v>
      </c>
    </row>
    <row r="4807" spans="1:7" x14ac:dyDescent="0.3">
      <c r="A4807">
        <v>4805</v>
      </c>
      <c r="B4807" t="s">
        <v>5510</v>
      </c>
      <c r="C4807" t="s">
        <v>5511</v>
      </c>
      <c r="D4807">
        <v>215</v>
      </c>
      <c r="E4807">
        <v>129</v>
      </c>
      <c r="F4807" t="s">
        <v>5509</v>
      </c>
      <c r="G4807" t="s">
        <v>5503</v>
      </c>
    </row>
    <row r="4808" spans="1:7" x14ac:dyDescent="0.3">
      <c r="A4808">
        <v>4806</v>
      </c>
      <c r="B4808" t="s">
        <v>5512</v>
      </c>
      <c r="C4808" t="s">
        <v>5513</v>
      </c>
      <c r="D4808">
        <v>250</v>
      </c>
      <c r="E4808">
        <v>199</v>
      </c>
      <c r="F4808" t="s">
        <v>5505</v>
      </c>
      <c r="G4808" t="s">
        <v>5503</v>
      </c>
    </row>
    <row r="4809" spans="1:7" x14ac:dyDescent="0.3">
      <c r="A4809">
        <v>4807</v>
      </c>
      <c r="B4809" t="s">
        <v>5512</v>
      </c>
      <c r="C4809" t="s">
        <v>5513</v>
      </c>
      <c r="D4809">
        <v>360</v>
      </c>
      <c r="E4809">
        <v>249</v>
      </c>
      <c r="F4809" t="s">
        <v>5502</v>
      </c>
      <c r="G4809" t="s">
        <v>5503</v>
      </c>
    </row>
    <row r="4810" spans="1:7" x14ac:dyDescent="0.3">
      <c r="A4810">
        <v>4808</v>
      </c>
      <c r="B4810" t="s">
        <v>5512</v>
      </c>
      <c r="C4810" t="s">
        <v>5513</v>
      </c>
      <c r="D4810">
        <v>429</v>
      </c>
      <c r="E4810">
        <v>299</v>
      </c>
      <c r="F4810" t="s">
        <v>5508</v>
      </c>
      <c r="G4810" t="s">
        <v>5503</v>
      </c>
    </row>
    <row r="4811" spans="1:7" x14ac:dyDescent="0.3">
      <c r="A4811">
        <v>4809</v>
      </c>
      <c r="B4811" t="s">
        <v>5514</v>
      </c>
      <c r="C4811" t="s">
        <v>5507</v>
      </c>
      <c r="D4811">
        <v>266</v>
      </c>
      <c r="E4811">
        <v>212</v>
      </c>
      <c r="F4811" t="s">
        <v>5505</v>
      </c>
      <c r="G4811" t="s">
        <v>5503</v>
      </c>
    </row>
    <row r="4812" spans="1:7" x14ac:dyDescent="0.3">
      <c r="A4812">
        <v>4810</v>
      </c>
      <c r="B4812" t="s">
        <v>5514</v>
      </c>
      <c r="C4812" t="s">
        <v>5507</v>
      </c>
      <c r="D4812">
        <v>266</v>
      </c>
      <c r="E4812">
        <v>212</v>
      </c>
      <c r="F4812" t="s">
        <v>5502</v>
      </c>
      <c r="G4812" t="s">
        <v>5503</v>
      </c>
    </row>
    <row r="4813" spans="1:7" x14ac:dyDescent="0.3">
      <c r="A4813">
        <v>4811</v>
      </c>
      <c r="B4813" t="s">
        <v>5514</v>
      </c>
      <c r="C4813" t="s">
        <v>5507</v>
      </c>
      <c r="D4813">
        <v>266</v>
      </c>
      <c r="E4813">
        <v>212</v>
      </c>
      <c r="F4813" t="s">
        <v>5508</v>
      </c>
      <c r="G4813" t="s">
        <v>5503</v>
      </c>
    </row>
    <row r="4814" spans="1:7" x14ac:dyDescent="0.3">
      <c r="A4814">
        <v>4812</v>
      </c>
      <c r="B4814" t="s">
        <v>5514</v>
      </c>
      <c r="C4814" t="s">
        <v>5507</v>
      </c>
      <c r="D4814">
        <v>300</v>
      </c>
      <c r="E4814">
        <v>240</v>
      </c>
      <c r="F4814" t="s">
        <v>5509</v>
      </c>
      <c r="G4814" t="s">
        <v>5503</v>
      </c>
    </row>
    <row r="4815" spans="1:7" x14ac:dyDescent="0.3">
      <c r="A4815">
        <v>4813</v>
      </c>
      <c r="B4815" t="s">
        <v>5514</v>
      </c>
      <c r="C4815" t="s">
        <v>5507</v>
      </c>
      <c r="D4815">
        <v>300</v>
      </c>
      <c r="E4815">
        <v>240</v>
      </c>
      <c r="F4815" t="s">
        <v>5515</v>
      </c>
      <c r="G4815" t="s">
        <v>5503</v>
      </c>
    </row>
    <row r="4816" spans="1:7" x14ac:dyDescent="0.3">
      <c r="A4816">
        <v>4814</v>
      </c>
      <c r="B4816" t="s">
        <v>5516</v>
      </c>
      <c r="C4816" t="s">
        <v>5507</v>
      </c>
      <c r="D4816">
        <v>196</v>
      </c>
      <c r="E4816">
        <v>157</v>
      </c>
      <c r="F4816" t="s">
        <v>5502</v>
      </c>
      <c r="G4816" t="s">
        <v>5503</v>
      </c>
    </row>
    <row r="4817" spans="1:7" x14ac:dyDescent="0.3">
      <c r="A4817">
        <v>4815</v>
      </c>
      <c r="B4817" t="s">
        <v>5516</v>
      </c>
      <c r="C4817" t="s">
        <v>5507</v>
      </c>
      <c r="D4817">
        <v>196</v>
      </c>
      <c r="E4817">
        <v>156</v>
      </c>
      <c r="F4817" t="s">
        <v>5508</v>
      </c>
      <c r="G4817" t="s">
        <v>5503</v>
      </c>
    </row>
    <row r="4818" spans="1:7" x14ac:dyDescent="0.3">
      <c r="A4818">
        <v>4816</v>
      </c>
      <c r="B4818" t="s">
        <v>5516</v>
      </c>
      <c r="C4818" t="s">
        <v>5507</v>
      </c>
      <c r="D4818">
        <v>216</v>
      </c>
      <c r="E4818">
        <v>173</v>
      </c>
      <c r="F4818" t="s">
        <v>5509</v>
      </c>
      <c r="G4818" t="s">
        <v>5503</v>
      </c>
    </row>
    <row r="4819" spans="1:7" x14ac:dyDescent="0.3">
      <c r="A4819">
        <v>4817</v>
      </c>
      <c r="B4819" t="s">
        <v>5516</v>
      </c>
      <c r="C4819" t="s">
        <v>5507</v>
      </c>
      <c r="D4819">
        <v>216</v>
      </c>
      <c r="E4819">
        <v>172</v>
      </c>
      <c r="F4819" t="s">
        <v>5515</v>
      </c>
      <c r="G4819" t="s">
        <v>5503</v>
      </c>
    </row>
    <row r="4820" spans="1:7" x14ac:dyDescent="0.3">
      <c r="A4820">
        <v>4818</v>
      </c>
      <c r="B4820" t="s">
        <v>5517</v>
      </c>
      <c r="C4820" t="s">
        <v>5518</v>
      </c>
      <c r="D4820">
        <v>226</v>
      </c>
      <c r="E4820">
        <v>181</v>
      </c>
      <c r="F4820" t="s">
        <v>5505</v>
      </c>
      <c r="G4820" t="s">
        <v>5503</v>
      </c>
    </row>
    <row r="4821" spans="1:7" x14ac:dyDescent="0.3">
      <c r="A4821">
        <v>4819</v>
      </c>
      <c r="B4821" t="s">
        <v>5517</v>
      </c>
      <c r="C4821" t="s">
        <v>5518</v>
      </c>
      <c r="D4821">
        <v>274</v>
      </c>
      <c r="E4821">
        <v>219</v>
      </c>
      <c r="F4821" t="s">
        <v>5502</v>
      </c>
      <c r="G4821" t="s">
        <v>5503</v>
      </c>
    </row>
    <row r="4822" spans="1:7" x14ac:dyDescent="0.3">
      <c r="A4822">
        <v>4820</v>
      </c>
      <c r="B4822" t="s">
        <v>5517</v>
      </c>
      <c r="C4822" t="s">
        <v>5518</v>
      </c>
      <c r="D4822">
        <v>274</v>
      </c>
      <c r="E4822">
        <v>219</v>
      </c>
      <c r="F4822" t="s">
        <v>5508</v>
      </c>
      <c r="G4822" t="s">
        <v>5503</v>
      </c>
    </row>
    <row r="4823" spans="1:7" x14ac:dyDescent="0.3">
      <c r="A4823">
        <v>4821</v>
      </c>
      <c r="B4823" t="s">
        <v>5517</v>
      </c>
      <c r="C4823" t="s">
        <v>5518</v>
      </c>
      <c r="D4823">
        <v>296</v>
      </c>
      <c r="E4823">
        <v>236</v>
      </c>
      <c r="F4823" t="s">
        <v>5509</v>
      </c>
      <c r="G4823" t="s">
        <v>5503</v>
      </c>
    </row>
    <row r="4824" spans="1:7" x14ac:dyDescent="0.3">
      <c r="A4824">
        <v>4822</v>
      </c>
      <c r="B4824" t="s">
        <v>5519</v>
      </c>
      <c r="C4824" t="s">
        <v>5507</v>
      </c>
      <c r="D4824">
        <v>190</v>
      </c>
      <c r="E4824">
        <v>152</v>
      </c>
      <c r="F4824" t="s">
        <v>5502</v>
      </c>
      <c r="G4824" t="s">
        <v>5503</v>
      </c>
    </row>
    <row r="4825" spans="1:7" x14ac:dyDescent="0.3">
      <c r="A4825">
        <v>4823</v>
      </c>
      <c r="B4825" t="s">
        <v>5519</v>
      </c>
      <c r="C4825" t="s">
        <v>5507</v>
      </c>
      <c r="D4825">
        <v>190</v>
      </c>
      <c r="E4825">
        <v>152</v>
      </c>
      <c r="F4825" t="s">
        <v>5508</v>
      </c>
      <c r="G4825" t="s">
        <v>5503</v>
      </c>
    </row>
    <row r="4826" spans="1:7" x14ac:dyDescent="0.3">
      <c r="A4826">
        <v>4824</v>
      </c>
      <c r="B4826" t="s">
        <v>5519</v>
      </c>
      <c r="C4826" t="s">
        <v>5507</v>
      </c>
      <c r="D4826">
        <v>210</v>
      </c>
      <c r="E4826">
        <v>168</v>
      </c>
      <c r="F4826" t="s">
        <v>5509</v>
      </c>
      <c r="G4826" t="s">
        <v>5503</v>
      </c>
    </row>
    <row r="4827" spans="1:7" x14ac:dyDescent="0.3">
      <c r="A4827">
        <v>4825</v>
      </c>
      <c r="B4827" t="s">
        <v>5519</v>
      </c>
      <c r="C4827" t="s">
        <v>5507</v>
      </c>
      <c r="D4827">
        <v>210</v>
      </c>
      <c r="E4827">
        <v>168</v>
      </c>
      <c r="F4827" t="s">
        <v>5515</v>
      </c>
      <c r="G4827" t="s">
        <v>5503</v>
      </c>
    </row>
    <row r="4828" spans="1:7" x14ac:dyDescent="0.3">
      <c r="A4828">
        <v>4826</v>
      </c>
      <c r="B4828" t="s">
        <v>5520</v>
      </c>
      <c r="C4828" t="s">
        <v>5518</v>
      </c>
      <c r="D4828">
        <v>202</v>
      </c>
      <c r="E4828">
        <v>161</v>
      </c>
      <c r="F4828" t="s">
        <v>5502</v>
      </c>
      <c r="G4828" t="s">
        <v>5503</v>
      </c>
    </row>
    <row r="4829" spans="1:7" x14ac:dyDescent="0.3">
      <c r="A4829">
        <v>4827</v>
      </c>
      <c r="B4829" t="s">
        <v>5520</v>
      </c>
      <c r="C4829" t="s">
        <v>5518</v>
      </c>
      <c r="D4829">
        <v>202</v>
      </c>
      <c r="E4829">
        <v>161</v>
      </c>
      <c r="F4829" t="s">
        <v>5508</v>
      </c>
      <c r="G4829" t="s">
        <v>5503</v>
      </c>
    </row>
    <row r="4830" spans="1:7" x14ac:dyDescent="0.3">
      <c r="A4830">
        <v>4828</v>
      </c>
      <c r="B4830" t="s">
        <v>5521</v>
      </c>
      <c r="C4830" t="s">
        <v>5511</v>
      </c>
      <c r="D4830">
        <v>375</v>
      </c>
      <c r="E4830">
        <v>325</v>
      </c>
      <c r="F4830" t="s">
        <v>5502</v>
      </c>
      <c r="G4830" t="s">
        <v>5503</v>
      </c>
    </row>
    <row r="4831" spans="1:7" x14ac:dyDescent="0.3">
      <c r="A4831">
        <v>4829</v>
      </c>
      <c r="B4831" t="s">
        <v>5521</v>
      </c>
      <c r="C4831" t="s">
        <v>5511</v>
      </c>
      <c r="D4831">
        <v>375</v>
      </c>
      <c r="E4831">
        <v>325</v>
      </c>
      <c r="F4831" t="s">
        <v>5508</v>
      </c>
      <c r="G4831" t="s">
        <v>5503</v>
      </c>
    </row>
    <row r="4832" spans="1:7" x14ac:dyDescent="0.3">
      <c r="A4832">
        <v>4830</v>
      </c>
      <c r="B4832" t="s">
        <v>5521</v>
      </c>
      <c r="C4832" t="s">
        <v>5511</v>
      </c>
      <c r="D4832">
        <v>499</v>
      </c>
      <c r="E4832">
        <v>399</v>
      </c>
      <c r="F4832" t="s">
        <v>5509</v>
      </c>
      <c r="G4832" t="s">
        <v>5503</v>
      </c>
    </row>
    <row r="4833" spans="1:7" x14ac:dyDescent="0.3">
      <c r="A4833">
        <v>4831</v>
      </c>
      <c r="B4833" t="s">
        <v>5522</v>
      </c>
      <c r="C4833" t="s">
        <v>5511</v>
      </c>
      <c r="D4833">
        <v>350</v>
      </c>
      <c r="E4833">
        <v>279</v>
      </c>
      <c r="F4833" t="s">
        <v>5502</v>
      </c>
      <c r="G4833" t="s">
        <v>5503</v>
      </c>
    </row>
    <row r="4834" spans="1:7" x14ac:dyDescent="0.3">
      <c r="A4834">
        <v>4832</v>
      </c>
      <c r="B4834" t="s">
        <v>5522</v>
      </c>
      <c r="C4834" t="s">
        <v>5511</v>
      </c>
      <c r="D4834">
        <v>350</v>
      </c>
      <c r="E4834">
        <v>279</v>
      </c>
      <c r="F4834" t="s">
        <v>5508</v>
      </c>
      <c r="G4834" t="s">
        <v>5503</v>
      </c>
    </row>
    <row r="4835" spans="1:7" x14ac:dyDescent="0.3">
      <c r="A4835">
        <v>4833</v>
      </c>
      <c r="B4835" t="s">
        <v>5522</v>
      </c>
      <c r="C4835" t="s">
        <v>5511</v>
      </c>
      <c r="D4835">
        <v>350</v>
      </c>
      <c r="E4835">
        <v>279</v>
      </c>
      <c r="F4835" t="s">
        <v>5509</v>
      </c>
      <c r="G4835" t="s">
        <v>5503</v>
      </c>
    </row>
    <row r="4836" spans="1:7" x14ac:dyDescent="0.3">
      <c r="A4836">
        <v>4834</v>
      </c>
      <c r="B4836" t="s">
        <v>5523</v>
      </c>
      <c r="C4836" t="s">
        <v>5511</v>
      </c>
      <c r="D4836">
        <v>350</v>
      </c>
      <c r="E4836">
        <v>279</v>
      </c>
      <c r="F4836" t="s">
        <v>5505</v>
      </c>
      <c r="G4836" t="s">
        <v>5503</v>
      </c>
    </row>
    <row r="4837" spans="1:7" x14ac:dyDescent="0.3">
      <c r="A4837">
        <v>4835</v>
      </c>
      <c r="B4837" t="s">
        <v>5523</v>
      </c>
      <c r="C4837" t="s">
        <v>5511</v>
      </c>
      <c r="D4837">
        <v>350</v>
      </c>
      <c r="E4837">
        <v>279</v>
      </c>
      <c r="F4837" t="s">
        <v>5502</v>
      </c>
      <c r="G4837" t="s">
        <v>5503</v>
      </c>
    </row>
    <row r="4838" spans="1:7" x14ac:dyDescent="0.3">
      <c r="A4838">
        <v>4836</v>
      </c>
      <c r="B4838" t="s">
        <v>5523</v>
      </c>
      <c r="C4838" t="s">
        <v>5511</v>
      </c>
      <c r="D4838">
        <v>350</v>
      </c>
      <c r="E4838">
        <v>279</v>
      </c>
      <c r="F4838" t="s">
        <v>5508</v>
      </c>
      <c r="G4838" t="s">
        <v>5503</v>
      </c>
    </row>
    <row r="4839" spans="1:7" x14ac:dyDescent="0.3">
      <c r="A4839">
        <v>4837</v>
      </c>
      <c r="B4839" t="s">
        <v>5523</v>
      </c>
      <c r="C4839" t="s">
        <v>5511</v>
      </c>
      <c r="D4839">
        <v>429</v>
      </c>
      <c r="E4839">
        <v>299</v>
      </c>
      <c r="F4839" t="s">
        <v>5509</v>
      </c>
      <c r="G4839" t="s">
        <v>5503</v>
      </c>
    </row>
    <row r="4840" spans="1:7" x14ac:dyDescent="0.3">
      <c r="A4840">
        <v>4838</v>
      </c>
      <c r="B4840" t="s">
        <v>5524</v>
      </c>
      <c r="C4840" t="s">
        <v>5511</v>
      </c>
      <c r="D4840">
        <v>169</v>
      </c>
      <c r="E4840">
        <v>129</v>
      </c>
      <c r="F4840" t="s">
        <v>3092</v>
      </c>
      <c r="G4840" t="s">
        <v>5503</v>
      </c>
    </row>
    <row r="4841" spans="1:7" x14ac:dyDescent="0.3">
      <c r="A4841">
        <v>4839</v>
      </c>
      <c r="B4841" t="s">
        <v>5525</v>
      </c>
      <c r="C4841" t="s">
        <v>5511</v>
      </c>
      <c r="D4841">
        <v>169</v>
      </c>
      <c r="E4841">
        <v>125</v>
      </c>
      <c r="F4841" t="s">
        <v>2966</v>
      </c>
      <c r="G4841" t="s">
        <v>5503</v>
      </c>
    </row>
    <row r="4842" spans="1:7" x14ac:dyDescent="0.3">
      <c r="A4842">
        <v>4840</v>
      </c>
      <c r="B4842" t="s">
        <v>5526</v>
      </c>
      <c r="C4842" t="s">
        <v>5513</v>
      </c>
      <c r="D4842">
        <v>249</v>
      </c>
      <c r="E4842">
        <v>199</v>
      </c>
      <c r="F4842" t="s">
        <v>3092</v>
      </c>
      <c r="G4842" t="s">
        <v>5503</v>
      </c>
    </row>
    <row r="4843" spans="1:7" x14ac:dyDescent="0.3">
      <c r="A4843">
        <v>4841</v>
      </c>
      <c r="B4843" t="s">
        <v>5527</v>
      </c>
      <c r="C4843" t="s">
        <v>5511</v>
      </c>
      <c r="D4843">
        <v>225</v>
      </c>
      <c r="E4843">
        <v>165</v>
      </c>
      <c r="F4843" t="s">
        <v>2966</v>
      </c>
      <c r="G4843" t="s">
        <v>5503</v>
      </c>
    </row>
    <row r="4844" spans="1:7" x14ac:dyDescent="0.3">
      <c r="A4844">
        <v>4842</v>
      </c>
      <c r="B4844" t="s">
        <v>5528</v>
      </c>
      <c r="C4844" t="s">
        <v>5513</v>
      </c>
      <c r="D4844">
        <v>275</v>
      </c>
      <c r="E4844">
        <v>225</v>
      </c>
      <c r="F4844" t="s">
        <v>3092</v>
      </c>
      <c r="G4844" t="s">
        <v>5503</v>
      </c>
    </row>
    <row r="4845" spans="1:7" x14ac:dyDescent="0.3">
      <c r="A4845">
        <v>4843</v>
      </c>
      <c r="B4845" t="s">
        <v>5529</v>
      </c>
      <c r="C4845" t="s">
        <v>5511</v>
      </c>
      <c r="D4845">
        <v>199</v>
      </c>
      <c r="E4845">
        <v>149</v>
      </c>
      <c r="F4845" t="s">
        <v>3092</v>
      </c>
      <c r="G4845" t="s">
        <v>5503</v>
      </c>
    </row>
    <row r="4846" spans="1:7" x14ac:dyDescent="0.3">
      <c r="A4846">
        <v>4844</v>
      </c>
      <c r="B4846" t="s">
        <v>5530</v>
      </c>
      <c r="C4846" t="s">
        <v>5511</v>
      </c>
      <c r="D4846">
        <v>169</v>
      </c>
      <c r="E4846">
        <v>129</v>
      </c>
      <c r="F4846" t="s">
        <v>3092</v>
      </c>
      <c r="G4846" t="s">
        <v>5503</v>
      </c>
    </row>
    <row r="4847" spans="1:7" x14ac:dyDescent="0.3">
      <c r="A4847">
        <v>4845</v>
      </c>
      <c r="B4847" t="s">
        <v>5531</v>
      </c>
      <c r="C4847" t="s">
        <v>5511</v>
      </c>
      <c r="D4847">
        <v>169</v>
      </c>
      <c r="E4847">
        <v>129</v>
      </c>
      <c r="F4847" t="s">
        <v>2966</v>
      </c>
      <c r="G4847" t="s">
        <v>5503</v>
      </c>
    </row>
    <row r="4848" spans="1:7" x14ac:dyDescent="0.3">
      <c r="A4848">
        <v>4846</v>
      </c>
      <c r="B4848" t="s">
        <v>5532</v>
      </c>
      <c r="C4848" t="s">
        <v>5511</v>
      </c>
      <c r="D4848">
        <v>169</v>
      </c>
      <c r="E4848">
        <v>129</v>
      </c>
      <c r="F4848" t="s">
        <v>3092</v>
      </c>
      <c r="G4848" t="s">
        <v>5503</v>
      </c>
    </row>
    <row r="4849" spans="1:7" x14ac:dyDescent="0.3">
      <c r="A4849">
        <v>4847</v>
      </c>
      <c r="B4849" t="s">
        <v>5533</v>
      </c>
      <c r="C4849" t="s">
        <v>5511</v>
      </c>
      <c r="D4849">
        <v>169</v>
      </c>
      <c r="E4849">
        <v>64</v>
      </c>
      <c r="F4849" t="s">
        <v>2966</v>
      </c>
      <c r="G4849" t="s">
        <v>5503</v>
      </c>
    </row>
    <row r="4850" spans="1:7" x14ac:dyDescent="0.3">
      <c r="A4850">
        <v>4848</v>
      </c>
      <c r="B4850" t="s">
        <v>5534</v>
      </c>
      <c r="C4850" t="s">
        <v>17</v>
      </c>
      <c r="D4850">
        <v>180</v>
      </c>
      <c r="E4850">
        <v>119</v>
      </c>
      <c r="F4850" t="s">
        <v>3271</v>
      </c>
      <c r="G4850" t="s">
        <v>5503</v>
      </c>
    </row>
    <row r="4851" spans="1:7" x14ac:dyDescent="0.3">
      <c r="A4851">
        <v>4849</v>
      </c>
      <c r="B4851" t="s">
        <v>5535</v>
      </c>
      <c r="C4851" t="s">
        <v>5536</v>
      </c>
      <c r="D4851">
        <v>499</v>
      </c>
      <c r="E4851">
        <v>299</v>
      </c>
      <c r="F4851" t="s">
        <v>5502</v>
      </c>
      <c r="G4851" t="s">
        <v>5503</v>
      </c>
    </row>
    <row r="4852" spans="1:7" x14ac:dyDescent="0.3">
      <c r="A4852">
        <v>4850</v>
      </c>
      <c r="B4852" t="s">
        <v>5535</v>
      </c>
      <c r="C4852" t="s">
        <v>5536</v>
      </c>
      <c r="D4852">
        <v>499</v>
      </c>
      <c r="E4852">
        <v>299</v>
      </c>
      <c r="F4852" t="s">
        <v>5508</v>
      </c>
      <c r="G4852" t="s">
        <v>5503</v>
      </c>
    </row>
    <row r="4853" spans="1:7" x14ac:dyDescent="0.3">
      <c r="A4853">
        <v>4851</v>
      </c>
      <c r="B4853" t="s">
        <v>5535</v>
      </c>
      <c r="C4853" t="s">
        <v>5536</v>
      </c>
      <c r="D4853">
        <v>499</v>
      </c>
      <c r="E4853">
        <v>299</v>
      </c>
      <c r="F4853" t="s">
        <v>5509</v>
      </c>
      <c r="G4853" t="s">
        <v>5503</v>
      </c>
    </row>
    <row r="4854" spans="1:7" x14ac:dyDescent="0.3">
      <c r="A4854">
        <v>4852</v>
      </c>
      <c r="B4854" t="s">
        <v>5535</v>
      </c>
      <c r="C4854" t="s">
        <v>5536</v>
      </c>
      <c r="D4854">
        <v>499</v>
      </c>
      <c r="E4854">
        <v>299</v>
      </c>
      <c r="F4854" t="s">
        <v>5515</v>
      </c>
      <c r="G4854" t="s">
        <v>5503</v>
      </c>
    </row>
    <row r="4855" spans="1:7" x14ac:dyDescent="0.3">
      <c r="A4855">
        <v>4853</v>
      </c>
      <c r="B4855" t="s">
        <v>5535</v>
      </c>
      <c r="C4855" t="s">
        <v>5536</v>
      </c>
      <c r="D4855">
        <v>499</v>
      </c>
      <c r="E4855">
        <v>299</v>
      </c>
      <c r="F4855" t="s">
        <v>5537</v>
      </c>
      <c r="G4855" t="s">
        <v>5503</v>
      </c>
    </row>
    <row r="4856" spans="1:7" x14ac:dyDescent="0.3">
      <c r="A4856">
        <v>4854</v>
      </c>
      <c r="B4856" t="s">
        <v>5538</v>
      </c>
      <c r="C4856" t="s">
        <v>5536</v>
      </c>
      <c r="D4856">
        <v>499</v>
      </c>
      <c r="E4856">
        <v>299</v>
      </c>
      <c r="F4856" t="s">
        <v>5502</v>
      </c>
      <c r="G4856" t="s">
        <v>5503</v>
      </c>
    </row>
    <row r="4857" spans="1:7" x14ac:dyDescent="0.3">
      <c r="A4857">
        <v>4855</v>
      </c>
      <c r="B4857" t="s">
        <v>5538</v>
      </c>
      <c r="C4857" t="s">
        <v>5536</v>
      </c>
      <c r="D4857">
        <v>499</v>
      </c>
      <c r="E4857">
        <v>299</v>
      </c>
      <c r="F4857" t="s">
        <v>5508</v>
      </c>
      <c r="G4857" t="s">
        <v>5503</v>
      </c>
    </row>
    <row r="4858" spans="1:7" x14ac:dyDescent="0.3">
      <c r="A4858">
        <v>4856</v>
      </c>
      <c r="B4858" t="s">
        <v>5538</v>
      </c>
      <c r="C4858" t="s">
        <v>5536</v>
      </c>
      <c r="D4858">
        <v>499</v>
      </c>
      <c r="E4858">
        <v>299</v>
      </c>
      <c r="F4858" t="s">
        <v>5509</v>
      </c>
      <c r="G4858" t="s">
        <v>5503</v>
      </c>
    </row>
    <row r="4859" spans="1:7" x14ac:dyDescent="0.3">
      <c r="A4859">
        <v>4857</v>
      </c>
      <c r="B4859" t="s">
        <v>5538</v>
      </c>
      <c r="C4859" t="s">
        <v>5536</v>
      </c>
      <c r="D4859">
        <v>499</v>
      </c>
      <c r="E4859">
        <v>299</v>
      </c>
      <c r="F4859" t="s">
        <v>5515</v>
      </c>
      <c r="G4859" t="s">
        <v>5503</v>
      </c>
    </row>
    <row r="4860" spans="1:7" x14ac:dyDescent="0.3">
      <c r="A4860">
        <v>4858</v>
      </c>
      <c r="B4860" t="s">
        <v>5538</v>
      </c>
      <c r="C4860" t="s">
        <v>5536</v>
      </c>
      <c r="D4860">
        <v>499</v>
      </c>
      <c r="E4860">
        <v>299</v>
      </c>
      <c r="F4860" t="s">
        <v>5537</v>
      </c>
      <c r="G4860" t="s">
        <v>5503</v>
      </c>
    </row>
    <row r="4861" spans="1:7" x14ac:dyDescent="0.3">
      <c r="A4861">
        <v>4859</v>
      </c>
      <c r="B4861" t="s">
        <v>5539</v>
      </c>
      <c r="C4861" t="s">
        <v>5536</v>
      </c>
      <c r="D4861">
        <v>499</v>
      </c>
      <c r="E4861">
        <v>149</v>
      </c>
      <c r="F4861" t="s">
        <v>5502</v>
      </c>
      <c r="G4861" t="s">
        <v>5503</v>
      </c>
    </row>
    <row r="4862" spans="1:7" x14ac:dyDescent="0.3">
      <c r="A4862">
        <v>4860</v>
      </c>
      <c r="B4862" t="s">
        <v>5539</v>
      </c>
      <c r="C4862" t="s">
        <v>5536</v>
      </c>
      <c r="D4862">
        <v>499</v>
      </c>
      <c r="E4862">
        <v>149</v>
      </c>
      <c r="F4862" t="s">
        <v>5508</v>
      </c>
      <c r="G4862" t="s">
        <v>5503</v>
      </c>
    </row>
    <row r="4863" spans="1:7" x14ac:dyDescent="0.3">
      <c r="A4863">
        <v>4861</v>
      </c>
      <c r="B4863" t="s">
        <v>5539</v>
      </c>
      <c r="C4863" t="s">
        <v>5536</v>
      </c>
      <c r="D4863">
        <v>499</v>
      </c>
      <c r="E4863">
        <v>299</v>
      </c>
      <c r="F4863" t="s">
        <v>5509</v>
      </c>
      <c r="G4863" t="s">
        <v>5503</v>
      </c>
    </row>
    <row r="4864" spans="1:7" x14ac:dyDescent="0.3">
      <c r="A4864">
        <v>4862</v>
      </c>
      <c r="B4864" t="s">
        <v>5539</v>
      </c>
      <c r="C4864" t="s">
        <v>5536</v>
      </c>
      <c r="D4864">
        <v>499</v>
      </c>
      <c r="E4864">
        <v>299</v>
      </c>
      <c r="F4864" t="s">
        <v>5515</v>
      </c>
      <c r="G4864" t="s">
        <v>5503</v>
      </c>
    </row>
    <row r="4865" spans="1:7" x14ac:dyDescent="0.3">
      <c r="A4865">
        <v>4863</v>
      </c>
      <c r="B4865" t="s">
        <v>5540</v>
      </c>
      <c r="C4865" t="s">
        <v>5536</v>
      </c>
      <c r="D4865">
        <v>499</v>
      </c>
      <c r="E4865">
        <v>149</v>
      </c>
      <c r="F4865" t="s">
        <v>5502</v>
      </c>
      <c r="G4865" t="s">
        <v>5503</v>
      </c>
    </row>
    <row r="4866" spans="1:7" x14ac:dyDescent="0.3">
      <c r="A4866">
        <v>4864</v>
      </c>
      <c r="B4866" t="s">
        <v>5540</v>
      </c>
      <c r="C4866" t="s">
        <v>5536</v>
      </c>
      <c r="D4866">
        <v>499</v>
      </c>
      <c r="E4866">
        <v>149</v>
      </c>
      <c r="F4866" t="s">
        <v>5508</v>
      </c>
      <c r="G4866" t="s">
        <v>5503</v>
      </c>
    </row>
    <row r="4867" spans="1:7" x14ac:dyDescent="0.3">
      <c r="A4867">
        <v>4865</v>
      </c>
      <c r="B4867" t="s">
        <v>5540</v>
      </c>
      <c r="C4867" t="s">
        <v>5536</v>
      </c>
      <c r="D4867">
        <v>499</v>
      </c>
      <c r="E4867">
        <v>299</v>
      </c>
      <c r="F4867" t="s">
        <v>5509</v>
      </c>
      <c r="G4867" t="s">
        <v>5503</v>
      </c>
    </row>
    <row r="4868" spans="1:7" x14ac:dyDescent="0.3">
      <c r="A4868">
        <v>4866</v>
      </c>
      <c r="B4868" t="s">
        <v>5540</v>
      </c>
      <c r="C4868" t="s">
        <v>5536</v>
      </c>
      <c r="D4868">
        <v>499</v>
      </c>
      <c r="E4868">
        <v>149</v>
      </c>
      <c r="F4868" t="s">
        <v>5515</v>
      </c>
      <c r="G4868" t="s">
        <v>5503</v>
      </c>
    </row>
    <row r="4869" spans="1:7" x14ac:dyDescent="0.3">
      <c r="A4869">
        <v>4867</v>
      </c>
      <c r="B4869" t="s">
        <v>5541</v>
      </c>
      <c r="C4869" t="s">
        <v>5536</v>
      </c>
      <c r="D4869">
        <v>499</v>
      </c>
      <c r="E4869">
        <v>149</v>
      </c>
      <c r="F4869" t="s">
        <v>5502</v>
      </c>
      <c r="G4869" t="s">
        <v>5503</v>
      </c>
    </row>
    <row r="4870" spans="1:7" x14ac:dyDescent="0.3">
      <c r="A4870">
        <v>4868</v>
      </c>
      <c r="B4870" t="s">
        <v>5541</v>
      </c>
      <c r="C4870" t="s">
        <v>5536</v>
      </c>
      <c r="D4870">
        <v>499</v>
      </c>
      <c r="E4870">
        <v>149</v>
      </c>
      <c r="F4870" t="s">
        <v>5508</v>
      </c>
      <c r="G4870" t="s">
        <v>5503</v>
      </c>
    </row>
    <row r="4871" spans="1:7" x14ac:dyDescent="0.3">
      <c r="A4871">
        <v>4869</v>
      </c>
      <c r="B4871" t="s">
        <v>5541</v>
      </c>
      <c r="C4871" t="s">
        <v>5536</v>
      </c>
      <c r="D4871">
        <v>499</v>
      </c>
      <c r="E4871">
        <v>149</v>
      </c>
      <c r="F4871" t="s">
        <v>5509</v>
      </c>
      <c r="G4871" t="s">
        <v>5503</v>
      </c>
    </row>
    <row r="4872" spans="1:7" x14ac:dyDescent="0.3">
      <c r="A4872">
        <v>4870</v>
      </c>
      <c r="B4872" t="s">
        <v>5541</v>
      </c>
      <c r="C4872" t="s">
        <v>5536</v>
      </c>
      <c r="D4872">
        <v>499</v>
      </c>
      <c r="E4872">
        <v>149</v>
      </c>
      <c r="F4872" t="s">
        <v>5515</v>
      </c>
      <c r="G4872" t="s">
        <v>5503</v>
      </c>
    </row>
    <row r="4873" spans="1:7" x14ac:dyDescent="0.3">
      <c r="A4873">
        <v>4871</v>
      </c>
      <c r="B4873" t="s">
        <v>5541</v>
      </c>
      <c r="C4873" t="s">
        <v>5536</v>
      </c>
      <c r="D4873">
        <v>499</v>
      </c>
      <c r="E4873">
        <v>149</v>
      </c>
      <c r="F4873" t="s">
        <v>5537</v>
      </c>
      <c r="G4873" t="s">
        <v>5503</v>
      </c>
    </row>
    <row r="4874" spans="1:7" x14ac:dyDescent="0.3">
      <c r="A4874">
        <v>4872</v>
      </c>
      <c r="B4874" t="s">
        <v>5542</v>
      </c>
      <c r="C4874" t="s">
        <v>5543</v>
      </c>
      <c r="D4874">
        <v>475</v>
      </c>
      <c r="E4874">
        <v>399</v>
      </c>
      <c r="F4874" t="s">
        <v>5505</v>
      </c>
      <c r="G4874" t="s">
        <v>5503</v>
      </c>
    </row>
    <row r="4875" spans="1:7" x14ac:dyDescent="0.3">
      <c r="A4875">
        <v>4873</v>
      </c>
      <c r="B4875" t="s">
        <v>5542</v>
      </c>
      <c r="C4875" t="s">
        <v>5543</v>
      </c>
      <c r="D4875">
        <v>475</v>
      </c>
      <c r="E4875">
        <v>399</v>
      </c>
      <c r="F4875" t="s">
        <v>5502</v>
      </c>
      <c r="G4875" t="s">
        <v>5503</v>
      </c>
    </row>
    <row r="4876" spans="1:7" x14ac:dyDescent="0.3">
      <c r="A4876">
        <v>4874</v>
      </c>
      <c r="B4876" t="s">
        <v>5542</v>
      </c>
      <c r="C4876" t="s">
        <v>5543</v>
      </c>
      <c r="D4876">
        <v>475</v>
      </c>
      <c r="E4876">
        <v>399</v>
      </c>
      <c r="F4876" t="s">
        <v>5508</v>
      </c>
      <c r="G4876" t="s">
        <v>5503</v>
      </c>
    </row>
    <row r="4877" spans="1:7" x14ac:dyDescent="0.3">
      <c r="A4877">
        <v>4875</v>
      </c>
      <c r="B4877" t="s">
        <v>5544</v>
      </c>
      <c r="C4877" t="s">
        <v>5543</v>
      </c>
      <c r="D4877">
        <v>475</v>
      </c>
      <c r="E4877">
        <v>399</v>
      </c>
      <c r="F4877" t="s">
        <v>5502</v>
      </c>
      <c r="G4877" t="s">
        <v>5503</v>
      </c>
    </row>
    <row r="4878" spans="1:7" x14ac:dyDescent="0.3">
      <c r="A4878">
        <v>4876</v>
      </c>
      <c r="B4878" t="s">
        <v>5544</v>
      </c>
      <c r="C4878" t="s">
        <v>5543</v>
      </c>
      <c r="D4878">
        <v>475</v>
      </c>
      <c r="E4878">
        <v>399</v>
      </c>
      <c r="F4878" t="s">
        <v>5505</v>
      </c>
      <c r="G4878" t="s">
        <v>5503</v>
      </c>
    </row>
    <row r="4879" spans="1:7" x14ac:dyDescent="0.3">
      <c r="A4879">
        <v>4877</v>
      </c>
      <c r="B4879" t="s">
        <v>5544</v>
      </c>
      <c r="C4879" t="s">
        <v>5543</v>
      </c>
      <c r="D4879">
        <v>475</v>
      </c>
      <c r="E4879">
        <v>399</v>
      </c>
      <c r="F4879" t="s">
        <v>5508</v>
      </c>
      <c r="G4879" t="s">
        <v>5503</v>
      </c>
    </row>
    <row r="4880" spans="1:7" x14ac:dyDescent="0.3">
      <c r="A4880">
        <v>4878</v>
      </c>
      <c r="B4880" t="s">
        <v>5545</v>
      </c>
      <c r="C4880" t="s">
        <v>5543</v>
      </c>
      <c r="D4880">
        <v>475</v>
      </c>
      <c r="E4880">
        <v>399</v>
      </c>
      <c r="F4880" t="s">
        <v>5508</v>
      </c>
      <c r="G4880" t="s">
        <v>5503</v>
      </c>
    </row>
    <row r="4881" spans="1:7" x14ac:dyDescent="0.3">
      <c r="A4881">
        <v>4879</v>
      </c>
      <c r="B4881" t="s">
        <v>5546</v>
      </c>
      <c r="C4881" t="s">
        <v>5543</v>
      </c>
      <c r="D4881">
        <v>475</v>
      </c>
      <c r="E4881">
        <v>399</v>
      </c>
      <c r="F4881" t="s">
        <v>5508</v>
      </c>
      <c r="G4881" t="s">
        <v>5503</v>
      </c>
    </row>
    <row r="4882" spans="1:7" x14ac:dyDescent="0.3">
      <c r="A4882">
        <v>4880</v>
      </c>
      <c r="B4882" t="s">
        <v>5547</v>
      </c>
      <c r="C4882" t="s">
        <v>5543</v>
      </c>
      <c r="D4882">
        <v>475</v>
      </c>
      <c r="E4882">
        <v>399</v>
      </c>
      <c r="F4882" t="s">
        <v>5502</v>
      </c>
      <c r="G4882" t="s">
        <v>5503</v>
      </c>
    </row>
    <row r="4883" spans="1:7" x14ac:dyDescent="0.3">
      <c r="A4883">
        <v>4881</v>
      </c>
      <c r="B4883" t="s">
        <v>5547</v>
      </c>
      <c r="C4883" t="s">
        <v>5543</v>
      </c>
      <c r="D4883">
        <v>475</v>
      </c>
      <c r="E4883">
        <v>399</v>
      </c>
      <c r="F4883" t="s">
        <v>5508</v>
      </c>
      <c r="G4883" t="s">
        <v>5503</v>
      </c>
    </row>
    <row r="4884" spans="1:7" x14ac:dyDescent="0.3">
      <c r="A4884">
        <v>4882</v>
      </c>
      <c r="B4884" t="s">
        <v>5547</v>
      </c>
      <c r="C4884" t="s">
        <v>5543</v>
      </c>
      <c r="D4884">
        <v>475</v>
      </c>
      <c r="E4884">
        <v>399</v>
      </c>
      <c r="F4884" t="s">
        <v>5505</v>
      </c>
      <c r="G4884" t="s">
        <v>5503</v>
      </c>
    </row>
    <row r="4885" spans="1:7" x14ac:dyDescent="0.3">
      <c r="A4885">
        <v>4883</v>
      </c>
      <c r="B4885" t="s">
        <v>5548</v>
      </c>
      <c r="C4885" t="s">
        <v>5543</v>
      </c>
      <c r="D4885">
        <v>599</v>
      </c>
      <c r="E4885">
        <v>249</v>
      </c>
      <c r="F4885" t="s">
        <v>5505</v>
      </c>
      <c r="G4885" t="s">
        <v>5503</v>
      </c>
    </row>
    <row r="4886" spans="1:7" x14ac:dyDescent="0.3">
      <c r="A4886">
        <v>4884</v>
      </c>
      <c r="B4886" t="s">
        <v>5549</v>
      </c>
      <c r="C4886" t="s">
        <v>5543</v>
      </c>
      <c r="D4886">
        <v>599</v>
      </c>
      <c r="E4886">
        <v>249</v>
      </c>
      <c r="F4886" t="s">
        <v>5505</v>
      </c>
      <c r="G4886" t="s">
        <v>5503</v>
      </c>
    </row>
    <row r="4887" spans="1:7" x14ac:dyDescent="0.3">
      <c r="A4887">
        <v>4885</v>
      </c>
      <c r="B4887" t="s">
        <v>5549</v>
      </c>
      <c r="C4887" t="s">
        <v>5543</v>
      </c>
      <c r="D4887">
        <v>599</v>
      </c>
      <c r="E4887">
        <v>249</v>
      </c>
      <c r="F4887" t="s">
        <v>5502</v>
      </c>
      <c r="G4887" t="s">
        <v>5503</v>
      </c>
    </row>
    <row r="4888" spans="1:7" x14ac:dyDescent="0.3">
      <c r="A4888">
        <v>4886</v>
      </c>
      <c r="B4888" t="s">
        <v>5550</v>
      </c>
      <c r="C4888" t="s">
        <v>5543</v>
      </c>
      <c r="D4888">
        <v>599</v>
      </c>
      <c r="E4888">
        <v>249</v>
      </c>
      <c r="F4888" t="s">
        <v>5505</v>
      </c>
      <c r="G4888" t="s">
        <v>5503</v>
      </c>
    </row>
    <row r="4889" spans="1:7" x14ac:dyDescent="0.3">
      <c r="A4889">
        <v>4887</v>
      </c>
      <c r="B4889" t="s">
        <v>5551</v>
      </c>
      <c r="C4889" t="s">
        <v>5543</v>
      </c>
      <c r="D4889">
        <v>599</v>
      </c>
      <c r="E4889">
        <v>249</v>
      </c>
      <c r="F4889" t="s">
        <v>5505</v>
      </c>
      <c r="G4889" t="s">
        <v>5503</v>
      </c>
    </row>
    <row r="4890" spans="1:7" x14ac:dyDescent="0.3">
      <c r="A4890">
        <v>4888</v>
      </c>
      <c r="B4890" t="s">
        <v>5552</v>
      </c>
      <c r="C4890" t="s">
        <v>5553</v>
      </c>
      <c r="D4890">
        <v>450</v>
      </c>
      <c r="E4890">
        <v>299</v>
      </c>
      <c r="F4890" t="s">
        <v>5554</v>
      </c>
      <c r="G4890" t="s">
        <v>5503</v>
      </c>
    </row>
    <row r="4891" spans="1:7" x14ac:dyDescent="0.3">
      <c r="A4891">
        <v>4889</v>
      </c>
      <c r="B4891" t="s">
        <v>5552</v>
      </c>
      <c r="C4891" t="s">
        <v>5553</v>
      </c>
      <c r="D4891">
        <v>450</v>
      </c>
      <c r="E4891">
        <v>299</v>
      </c>
      <c r="F4891" t="s">
        <v>5555</v>
      </c>
      <c r="G4891" t="s">
        <v>5503</v>
      </c>
    </row>
    <row r="4892" spans="1:7" x14ac:dyDescent="0.3">
      <c r="A4892">
        <v>4890</v>
      </c>
      <c r="B4892" t="s">
        <v>5552</v>
      </c>
      <c r="C4892" t="s">
        <v>5553</v>
      </c>
      <c r="D4892">
        <v>500</v>
      </c>
      <c r="E4892">
        <v>325</v>
      </c>
      <c r="F4892" t="s">
        <v>5556</v>
      </c>
      <c r="G4892" t="s">
        <v>5503</v>
      </c>
    </row>
    <row r="4893" spans="1:7" x14ac:dyDescent="0.3">
      <c r="A4893">
        <v>4891</v>
      </c>
      <c r="B4893" t="s">
        <v>5557</v>
      </c>
      <c r="C4893" t="s">
        <v>5553</v>
      </c>
      <c r="D4893">
        <v>500</v>
      </c>
      <c r="E4893">
        <v>325</v>
      </c>
      <c r="F4893" t="s">
        <v>5556</v>
      </c>
      <c r="G4893" t="s">
        <v>5503</v>
      </c>
    </row>
    <row r="4894" spans="1:7" x14ac:dyDescent="0.3">
      <c r="A4894">
        <v>4892</v>
      </c>
      <c r="B4894" t="s">
        <v>5557</v>
      </c>
      <c r="C4894" t="s">
        <v>5553</v>
      </c>
      <c r="D4894">
        <v>450</v>
      </c>
      <c r="E4894">
        <v>299</v>
      </c>
      <c r="F4894" t="s">
        <v>5554</v>
      </c>
      <c r="G4894" t="s">
        <v>5503</v>
      </c>
    </row>
    <row r="4895" spans="1:7" x14ac:dyDescent="0.3">
      <c r="A4895">
        <v>4893</v>
      </c>
      <c r="B4895" t="s">
        <v>5557</v>
      </c>
      <c r="C4895" t="s">
        <v>5553</v>
      </c>
      <c r="D4895">
        <v>475</v>
      </c>
      <c r="E4895">
        <v>299</v>
      </c>
      <c r="F4895" t="s">
        <v>5558</v>
      </c>
      <c r="G4895" t="s">
        <v>5503</v>
      </c>
    </row>
    <row r="4896" spans="1:7" x14ac:dyDescent="0.3">
      <c r="A4896">
        <v>4894</v>
      </c>
      <c r="B4896" t="s">
        <v>5363</v>
      </c>
      <c r="C4896" t="s">
        <v>5362</v>
      </c>
      <c r="D4896">
        <v>500</v>
      </c>
      <c r="E4896">
        <v>440</v>
      </c>
      <c r="F4896" t="s">
        <v>2197</v>
      </c>
      <c r="G4896" t="s">
        <v>2936</v>
      </c>
    </row>
    <row r="4897" spans="1:7" x14ac:dyDescent="0.3">
      <c r="A4897">
        <v>4895</v>
      </c>
      <c r="B4897" t="s">
        <v>5559</v>
      </c>
      <c r="C4897" t="s">
        <v>5560</v>
      </c>
      <c r="D4897">
        <v>2499</v>
      </c>
      <c r="E4897">
        <v>1199</v>
      </c>
      <c r="F4897" t="s">
        <v>2712</v>
      </c>
      <c r="G4897" t="s">
        <v>5561</v>
      </c>
    </row>
    <row r="4898" spans="1:7" x14ac:dyDescent="0.3">
      <c r="A4898">
        <v>4896</v>
      </c>
      <c r="B4898" t="s">
        <v>5562</v>
      </c>
      <c r="C4898" t="s">
        <v>5560</v>
      </c>
      <c r="D4898">
        <v>2699</v>
      </c>
      <c r="E4898">
        <v>1599</v>
      </c>
      <c r="F4898" t="s">
        <v>3004</v>
      </c>
      <c r="G4898" t="s">
        <v>5561</v>
      </c>
    </row>
    <row r="4899" spans="1:7" x14ac:dyDescent="0.3">
      <c r="A4899">
        <v>4897</v>
      </c>
      <c r="B4899" t="s">
        <v>5563</v>
      </c>
      <c r="C4899" t="s">
        <v>5564</v>
      </c>
      <c r="D4899">
        <v>999</v>
      </c>
      <c r="E4899">
        <v>699</v>
      </c>
      <c r="F4899" t="s">
        <v>2712</v>
      </c>
      <c r="G4899" t="s">
        <v>5565</v>
      </c>
    </row>
    <row r="4900" spans="1:7" x14ac:dyDescent="0.3">
      <c r="A4900">
        <v>4898</v>
      </c>
      <c r="B4900" t="s">
        <v>5566</v>
      </c>
      <c r="C4900" t="s">
        <v>5567</v>
      </c>
      <c r="D4900">
        <v>2590</v>
      </c>
      <c r="E4900">
        <v>1295</v>
      </c>
      <c r="F4900" t="s">
        <v>2712</v>
      </c>
      <c r="G4900" t="s">
        <v>5561</v>
      </c>
    </row>
    <row r="4901" spans="1:7" x14ac:dyDescent="0.3">
      <c r="A4901">
        <v>4899</v>
      </c>
      <c r="B4901" t="s">
        <v>5568</v>
      </c>
      <c r="C4901" t="s">
        <v>5569</v>
      </c>
      <c r="D4901">
        <v>2150</v>
      </c>
      <c r="E4901">
        <v>799</v>
      </c>
      <c r="F4901" t="s">
        <v>2712</v>
      </c>
      <c r="G4901" t="s">
        <v>5565</v>
      </c>
    </row>
    <row r="4902" spans="1:7" x14ac:dyDescent="0.3">
      <c r="A4902">
        <v>4900</v>
      </c>
      <c r="B4902" t="s">
        <v>5570</v>
      </c>
      <c r="C4902" t="s">
        <v>5571</v>
      </c>
      <c r="D4902">
        <v>1998</v>
      </c>
      <c r="E4902">
        <v>999</v>
      </c>
      <c r="F4902" t="s">
        <v>2712</v>
      </c>
      <c r="G4902" t="s">
        <v>5565</v>
      </c>
    </row>
    <row r="4903" spans="1:7" x14ac:dyDescent="0.3">
      <c r="A4903">
        <v>4901</v>
      </c>
      <c r="B4903" t="s">
        <v>5572</v>
      </c>
      <c r="C4903" t="s">
        <v>5571</v>
      </c>
      <c r="D4903">
        <v>1998</v>
      </c>
      <c r="E4903">
        <v>999</v>
      </c>
      <c r="F4903" t="s">
        <v>2712</v>
      </c>
      <c r="G4903" t="s">
        <v>5565</v>
      </c>
    </row>
    <row r="4904" spans="1:7" x14ac:dyDescent="0.3">
      <c r="A4904">
        <v>4902</v>
      </c>
      <c r="B4904" t="s">
        <v>5573</v>
      </c>
      <c r="C4904" t="s">
        <v>5574</v>
      </c>
      <c r="D4904">
        <v>2110</v>
      </c>
      <c r="E4904">
        <v>699</v>
      </c>
      <c r="F4904" t="s">
        <v>2712</v>
      </c>
      <c r="G4904" t="s">
        <v>5565</v>
      </c>
    </row>
    <row r="4905" spans="1:7" x14ac:dyDescent="0.3">
      <c r="A4905">
        <v>4903</v>
      </c>
      <c r="B4905" t="s">
        <v>5575</v>
      </c>
      <c r="C4905" t="s">
        <v>5574</v>
      </c>
      <c r="D4905">
        <v>3500</v>
      </c>
      <c r="E4905">
        <v>1299</v>
      </c>
      <c r="F4905" t="s">
        <v>2712</v>
      </c>
      <c r="G4905" t="s">
        <v>5565</v>
      </c>
    </row>
    <row r="4906" spans="1:7" x14ac:dyDescent="0.3">
      <c r="A4906">
        <v>4904</v>
      </c>
      <c r="B4906" t="s">
        <v>5576</v>
      </c>
      <c r="C4906" t="s">
        <v>5574</v>
      </c>
      <c r="D4906">
        <v>2900</v>
      </c>
      <c r="E4906">
        <v>1069</v>
      </c>
      <c r="F4906" t="s">
        <v>2712</v>
      </c>
      <c r="G4906" t="s">
        <v>5565</v>
      </c>
    </row>
    <row r="4907" spans="1:7" x14ac:dyDescent="0.3">
      <c r="A4907">
        <v>4905</v>
      </c>
      <c r="B4907" t="s">
        <v>5577</v>
      </c>
      <c r="C4907" t="s">
        <v>5574</v>
      </c>
      <c r="D4907">
        <v>2900</v>
      </c>
      <c r="E4907">
        <v>1069</v>
      </c>
      <c r="F4907" t="s">
        <v>2712</v>
      </c>
      <c r="G4907" t="s">
        <v>5565</v>
      </c>
    </row>
    <row r="4908" spans="1:7" x14ac:dyDescent="0.3">
      <c r="A4908">
        <v>4906</v>
      </c>
      <c r="B4908" t="s">
        <v>5578</v>
      </c>
      <c r="C4908" t="s">
        <v>5560</v>
      </c>
      <c r="D4908">
        <v>1699</v>
      </c>
      <c r="E4908">
        <v>999</v>
      </c>
      <c r="F4908" t="s">
        <v>2712</v>
      </c>
      <c r="G4908" t="s">
        <v>5565</v>
      </c>
    </row>
    <row r="4909" spans="1:7" x14ac:dyDescent="0.3">
      <c r="A4909">
        <v>4907</v>
      </c>
      <c r="B4909" t="s">
        <v>5579</v>
      </c>
      <c r="C4909" t="s">
        <v>5560</v>
      </c>
      <c r="D4909">
        <v>1699</v>
      </c>
      <c r="E4909">
        <v>999</v>
      </c>
      <c r="F4909" t="s">
        <v>2712</v>
      </c>
      <c r="G4909" t="s">
        <v>5565</v>
      </c>
    </row>
    <row r="4910" spans="1:7" x14ac:dyDescent="0.3">
      <c r="A4910">
        <v>4908</v>
      </c>
      <c r="B4910" t="s">
        <v>5580</v>
      </c>
      <c r="C4910" t="s">
        <v>5560</v>
      </c>
      <c r="D4910">
        <v>1699</v>
      </c>
      <c r="E4910">
        <v>999</v>
      </c>
      <c r="F4910" t="s">
        <v>2712</v>
      </c>
      <c r="G4910" t="s">
        <v>5565</v>
      </c>
    </row>
    <row r="4911" spans="1:7" x14ac:dyDescent="0.3">
      <c r="A4911">
        <v>4909</v>
      </c>
      <c r="B4911" t="s">
        <v>5581</v>
      </c>
      <c r="C4911" t="s">
        <v>5560</v>
      </c>
      <c r="D4911">
        <v>2198</v>
      </c>
      <c r="E4911">
        <v>1099</v>
      </c>
      <c r="F4911" t="s">
        <v>2712</v>
      </c>
      <c r="G4911" t="s">
        <v>5565</v>
      </c>
    </row>
    <row r="4912" spans="1:7" x14ac:dyDescent="0.3">
      <c r="A4912">
        <v>4910</v>
      </c>
      <c r="B4912" t="s">
        <v>5582</v>
      </c>
      <c r="C4912" t="s">
        <v>5560</v>
      </c>
      <c r="D4912">
        <v>2599</v>
      </c>
      <c r="E4912">
        <v>1299</v>
      </c>
      <c r="F4912" t="s">
        <v>2712</v>
      </c>
      <c r="G4912" t="s">
        <v>5565</v>
      </c>
    </row>
    <row r="4913" spans="1:7" x14ac:dyDescent="0.3">
      <c r="A4913">
        <v>4911</v>
      </c>
      <c r="B4913" t="s">
        <v>5583</v>
      </c>
      <c r="C4913" t="s">
        <v>17</v>
      </c>
      <c r="D4913">
        <v>425</v>
      </c>
      <c r="E4913">
        <v>60</v>
      </c>
      <c r="F4913" t="s">
        <v>2960</v>
      </c>
      <c r="G4913" t="s">
        <v>2936</v>
      </c>
    </row>
    <row r="4914" spans="1:7" x14ac:dyDescent="0.3">
      <c r="A4914">
        <v>4912</v>
      </c>
      <c r="B4914" t="s">
        <v>5584</v>
      </c>
      <c r="C4914" t="s">
        <v>5560</v>
      </c>
      <c r="D4914">
        <v>175</v>
      </c>
      <c r="E4914">
        <v>75</v>
      </c>
      <c r="F4914" t="s">
        <v>2712</v>
      </c>
      <c r="G4914" t="s">
        <v>2936</v>
      </c>
    </row>
    <row r="4915" spans="1:7" x14ac:dyDescent="0.3">
      <c r="A4915">
        <v>4913</v>
      </c>
      <c r="B4915" t="s">
        <v>5585</v>
      </c>
      <c r="C4915" t="s">
        <v>17</v>
      </c>
      <c r="D4915">
        <v>49</v>
      </c>
      <c r="E4915">
        <v>20</v>
      </c>
      <c r="F4915" t="s">
        <v>2960</v>
      </c>
      <c r="G4915" t="s">
        <v>2936</v>
      </c>
    </row>
    <row r="4916" spans="1:7" x14ac:dyDescent="0.3">
      <c r="A4916">
        <v>4914</v>
      </c>
      <c r="B4916" t="s">
        <v>5586</v>
      </c>
      <c r="C4916" t="s">
        <v>5587</v>
      </c>
      <c r="D4916">
        <v>99</v>
      </c>
      <c r="E4916">
        <v>59</v>
      </c>
      <c r="F4916" t="s">
        <v>5588</v>
      </c>
      <c r="G4916" t="s">
        <v>2936</v>
      </c>
    </row>
    <row r="4917" spans="1:7" x14ac:dyDescent="0.3">
      <c r="A4917">
        <v>4915</v>
      </c>
      <c r="B4917" t="s">
        <v>5589</v>
      </c>
      <c r="C4917" t="s">
        <v>5587</v>
      </c>
      <c r="D4917">
        <v>99</v>
      </c>
      <c r="E4917">
        <v>59</v>
      </c>
      <c r="F4917" t="s">
        <v>5588</v>
      </c>
      <c r="G4917" t="s">
        <v>2936</v>
      </c>
    </row>
    <row r="4918" spans="1:7" x14ac:dyDescent="0.3">
      <c r="A4918">
        <v>4916</v>
      </c>
      <c r="B4918" t="s">
        <v>5585</v>
      </c>
      <c r="C4918" t="s">
        <v>17</v>
      </c>
      <c r="D4918">
        <v>50</v>
      </c>
      <c r="E4918">
        <v>20</v>
      </c>
      <c r="F4918" t="s">
        <v>2960</v>
      </c>
      <c r="G4918" t="s">
        <v>2936</v>
      </c>
    </row>
    <row r="4919" spans="1:7" x14ac:dyDescent="0.3">
      <c r="A4919">
        <v>4917</v>
      </c>
      <c r="B4919" t="s">
        <v>5590</v>
      </c>
      <c r="C4919" t="s">
        <v>5564</v>
      </c>
      <c r="D4919">
        <v>149</v>
      </c>
      <c r="E4919">
        <v>99</v>
      </c>
      <c r="F4919" t="s">
        <v>2966</v>
      </c>
      <c r="G4919" t="s">
        <v>2936</v>
      </c>
    </row>
    <row r="4920" spans="1:7" x14ac:dyDescent="0.3">
      <c r="A4920">
        <v>4918</v>
      </c>
      <c r="B4920" t="s">
        <v>5591</v>
      </c>
      <c r="C4920" t="s">
        <v>3992</v>
      </c>
      <c r="D4920">
        <v>459</v>
      </c>
      <c r="E4920">
        <v>149</v>
      </c>
      <c r="F4920" t="s">
        <v>2712</v>
      </c>
      <c r="G4920" t="s">
        <v>3992</v>
      </c>
    </row>
    <row r="4921" spans="1:7" x14ac:dyDescent="0.3">
      <c r="A4921">
        <v>4919</v>
      </c>
      <c r="B4921" t="s">
        <v>5592</v>
      </c>
      <c r="C4921" t="s">
        <v>3992</v>
      </c>
      <c r="D4921">
        <v>1299</v>
      </c>
      <c r="E4921">
        <v>649</v>
      </c>
      <c r="F4921" t="s">
        <v>2712</v>
      </c>
      <c r="G4921" t="s">
        <v>3992</v>
      </c>
    </row>
    <row r="4922" spans="1:7" x14ac:dyDescent="0.3">
      <c r="A4922">
        <v>4920</v>
      </c>
      <c r="B4922" t="s">
        <v>5593</v>
      </c>
      <c r="C4922" t="s">
        <v>5594</v>
      </c>
      <c r="D4922">
        <v>2990</v>
      </c>
      <c r="E4922">
        <v>1199</v>
      </c>
      <c r="F4922" t="s">
        <v>3004</v>
      </c>
      <c r="G4922" t="s">
        <v>2936</v>
      </c>
    </row>
    <row r="4923" spans="1:7" x14ac:dyDescent="0.3">
      <c r="A4923">
        <v>4921</v>
      </c>
      <c r="B4923" t="s">
        <v>5595</v>
      </c>
      <c r="C4923" t="s">
        <v>5429</v>
      </c>
      <c r="D4923">
        <v>299</v>
      </c>
      <c r="E4923">
        <v>149</v>
      </c>
      <c r="F4923" t="s">
        <v>3004</v>
      </c>
      <c r="G4923" t="s">
        <v>2936</v>
      </c>
    </row>
    <row r="4924" spans="1:7" x14ac:dyDescent="0.3">
      <c r="A4924">
        <v>4922</v>
      </c>
      <c r="B4924" t="s">
        <v>5596</v>
      </c>
      <c r="C4924" t="s">
        <v>3992</v>
      </c>
      <c r="D4924">
        <v>899</v>
      </c>
      <c r="E4924">
        <v>499</v>
      </c>
      <c r="F4924" t="s">
        <v>5597</v>
      </c>
      <c r="G4924" t="s">
        <v>3992</v>
      </c>
    </row>
    <row r="4925" spans="1:7" x14ac:dyDescent="0.3">
      <c r="A4925">
        <v>4923</v>
      </c>
      <c r="B4925" t="s">
        <v>5598</v>
      </c>
      <c r="C4925" t="s">
        <v>5594</v>
      </c>
      <c r="D4925">
        <v>2990</v>
      </c>
      <c r="E4925">
        <v>1299</v>
      </c>
      <c r="F4925" t="s">
        <v>3004</v>
      </c>
      <c r="G4925" t="s">
        <v>2936</v>
      </c>
    </row>
    <row r="4926" spans="1:7" x14ac:dyDescent="0.3">
      <c r="A4926">
        <v>4924</v>
      </c>
      <c r="B4926" t="s">
        <v>5599</v>
      </c>
      <c r="C4926" t="s">
        <v>3994</v>
      </c>
      <c r="D4926">
        <v>2999</v>
      </c>
      <c r="E4926">
        <v>999</v>
      </c>
      <c r="F4926" t="s">
        <v>2712</v>
      </c>
      <c r="G4926" t="s">
        <v>2936</v>
      </c>
    </row>
    <row r="4927" spans="1:7" x14ac:dyDescent="0.3">
      <c r="A4927">
        <v>4925</v>
      </c>
      <c r="B4927" t="s">
        <v>5600</v>
      </c>
      <c r="C4927" t="s">
        <v>5594</v>
      </c>
      <c r="D4927">
        <v>2490</v>
      </c>
      <c r="E4927">
        <v>799</v>
      </c>
      <c r="F4927" t="s">
        <v>3004</v>
      </c>
      <c r="G4927" t="s">
        <v>2936</v>
      </c>
    </row>
    <row r="4928" spans="1:7" x14ac:dyDescent="0.3">
      <c r="A4928">
        <v>4926</v>
      </c>
      <c r="B4928" t="s">
        <v>5601</v>
      </c>
      <c r="C4928" t="s">
        <v>5429</v>
      </c>
      <c r="D4928">
        <v>2499</v>
      </c>
      <c r="E4928">
        <v>999</v>
      </c>
      <c r="F4928" t="s">
        <v>2712</v>
      </c>
      <c r="G4928" t="s">
        <v>2936</v>
      </c>
    </row>
    <row r="4929" spans="1:7" x14ac:dyDescent="0.3">
      <c r="A4929">
        <v>4927</v>
      </c>
      <c r="B4929" t="s">
        <v>5602</v>
      </c>
      <c r="C4929" t="s">
        <v>3992</v>
      </c>
      <c r="D4929">
        <v>2849</v>
      </c>
      <c r="E4929">
        <v>1449</v>
      </c>
      <c r="F4929" t="s">
        <v>2712</v>
      </c>
      <c r="G4929" t="s">
        <v>2936</v>
      </c>
    </row>
    <row r="4930" spans="1:7" x14ac:dyDescent="0.3">
      <c r="A4930">
        <v>4928</v>
      </c>
      <c r="B4930" t="s">
        <v>5603</v>
      </c>
      <c r="C4930" t="s">
        <v>5429</v>
      </c>
      <c r="D4930">
        <v>1499</v>
      </c>
      <c r="E4930">
        <v>599</v>
      </c>
      <c r="F4930" t="s">
        <v>2712</v>
      </c>
      <c r="G4930" t="s">
        <v>2936</v>
      </c>
    </row>
    <row r="4931" spans="1:7" x14ac:dyDescent="0.3">
      <c r="A4931">
        <v>4929</v>
      </c>
      <c r="B4931" t="s">
        <v>5604</v>
      </c>
      <c r="C4931" t="s">
        <v>3992</v>
      </c>
      <c r="D4931">
        <v>999</v>
      </c>
      <c r="E4931">
        <v>499</v>
      </c>
      <c r="F4931" t="s">
        <v>2712</v>
      </c>
      <c r="G4931" t="s">
        <v>3992</v>
      </c>
    </row>
    <row r="4932" spans="1:7" x14ac:dyDescent="0.3">
      <c r="A4932">
        <v>4930</v>
      </c>
      <c r="B4932" t="s">
        <v>5605</v>
      </c>
      <c r="C4932" t="s">
        <v>5429</v>
      </c>
      <c r="D4932">
        <v>1499</v>
      </c>
      <c r="E4932">
        <v>499</v>
      </c>
      <c r="F4932" t="s">
        <v>2712</v>
      </c>
      <c r="G4932" t="s">
        <v>2936</v>
      </c>
    </row>
    <row r="4933" spans="1:7" x14ac:dyDescent="0.3">
      <c r="A4933">
        <v>4931</v>
      </c>
      <c r="B4933" t="s">
        <v>5606</v>
      </c>
      <c r="C4933" t="s">
        <v>5429</v>
      </c>
      <c r="D4933">
        <v>1999</v>
      </c>
      <c r="E4933">
        <v>599</v>
      </c>
      <c r="F4933" t="s">
        <v>3004</v>
      </c>
      <c r="G4933" t="s">
        <v>2936</v>
      </c>
    </row>
    <row r="4934" spans="1:7" x14ac:dyDescent="0.3">
      <c r="A4934">
        <v>4932</v>
      </c>
      <c r="B4934" t="s">
        <v>5607</v>
      </c>
      <c r="C4934" t="s">
        <v>5594</v>
      </c>
      <c r="D4934">
        <v>3990</v>
      </c>
      <c r="E4934">
        <v>1399</v>
      </c>
      <c r="F4934" t="s">
        <v>3004</v>
      </c>
      <c r="G4934" t="s">
        <v>2936</v>
      </c>
    </row>
    <row r="4935" spans="1:7" x14ac:dyDescent="0.3">
      <c r="A4935">
        <v>4933</v>
      </c>
      <c r="B4935" t="s">
        <v>5608</v>
      </c>
      <c r="C4935" t="s">
        <v>3992</v>
      </c>
      <c r="D4935">
        <v>1199</v>
      </c>
      <c r="E4935">
        <v>599</v>
      </c>
      <c r="F4935" t="s">
        <v>2712</v>
      </c>
      <c r="G4935" t="s">
        <v>2936</v>
      </c>
    </row>
    <row r="4936" spans="1:7" x14ac:dyDescent="0.3">
      <c r="A4936">
        <v>4934</v>
      </c>
      <c r="B4936" t="s">
        <v>5609</v>
      </c>
      <c r="C4936" t="s">
        <v>3992</v>
      </c>
      <c r="D4936">
        <v>2499</v>
      </c>
      <c r="E4936">
        <v>1399</v>
      </c>
      <c r="F4936" t="s">
        <v>3004</v>
      </c>
      <c r="G4936" t="s">
        <v>2936</v>
      </c>
    </row>
    <row r="4937" spans="1:7" x14ac:dyDescent="0.3">
      <c r="A4937">
        <v>4935</v>
      </c>
      <c r="B4937" t="s">
        <v>5610</v>
      </c>
      <c r="C4937" t="s">
        <v>17</v>
      </c>
      <c r="D4937">
        <v>2999</v>
      </c>
      <c r="E4937">
        <v>899</v>
      </c>
      <c r="F4937" t="s">
        <v>3004</v>
      </c>
      <c r="G4937" t="s">
        <v>2936</v>
      </c>
    </row>
    <row r="4938" spans="1:7" x14ac:dyDescent="0.3">
      <c r="A4938">
        <v>4936</v>
      </c>
      <c r="B4938" t="s">
        <v>5611</v>
      </c>
      <c r="C4938" t="s">
        <v>5594</v>
      </c>
      <c r="D4938">
        <v>4990</v>
      </c>
      <c r="E4938">
        <v>1999</v>
      </c>
      <c r="F4938" t="s">
        <v>3004</v>
      </c>
      <c r="G4938" t="s">
        <v>2936</v>
      </c>
    </row>
    <row r="4939" spans="1:7" x14ac:dyDescent="0.3">
      <c r="A4939">
        <v>4937</v>
      </c>
      <c r="B4939" t="s">
        <v>5612</v>
      </c>
      <c r="C4939" t="s">
        <v>5613</v>
      </c>
      <c r="D4939">
        <v>3499</v>
      </c>
      <c r="E4939">
        <v>2199</v>
      </c>
      <c r="F4939" t="s">
        <v>3004</v>
      </c>
      <c r="G4939" t="s">
        <v>2936</v>
      </c>
    </row>
    <row r="4940" spans="1:7" x14ac:dyDescent="0.3">
      <c r="A4940">
        <v>4938</v>
      </c>
      <c r="B4940" t="s">
        <v>5614</v>
      </c>
      <c r="C4940" t="s">
        <v>5429</v>
      </c>
      <c r="D4940">
        <v>1799</v>
      </c>
      <c r="E4940">
        <v>999</v>
      </c>
      <c r="F4940" t="s">
        <v>2712</v>
      </c>
      <c r="G4940" t="s">
        <v>2936</v>
      </c>
    </row>
    <row r="4941" spans="1:7" x14ac:dyDescent="0.3">
      <c r="A4941">
        <v>4939</v>
      </c>
      <c r="B4941" t="s">
        <v>5615</v>
      </c>
      <c r="C4941" t="s">
        <v>3992</v>
      </c>
      <c r="D4941">
        <v>399</v>
      </c>
      <c r="E4941">
        <v>299</v>
      </c>
      <c r="F4941" t="s">
        <v>2712</v>
      </c>
      <c r="G4941" t="s">
        <v>2936</v>
      </c>
    </row>
    <row r="4942" spans="1:7" x14ac:dyDescent="0.3">
      <c r="A4942">
        <v>4940</v>
      </c>
      <c r="B4942" t="s">
        <v>5616</v>
      </c>
      <c r="C4942" t="s">
        <v>5594</v>
      </c>
      <c r="D4942">
        <v>2990</v>
      </c>
      <c r="E4942">
        <v>1499</v>
      </c>
      <c r="F4942" t="s">
        <v>3004</v>
      </c>
      <c r="G4942" t="s">
        <v>2936</v>
      </c>
    </row>
    <row r="4943" spans="1:7" x14ac:dyDescent="0.3">
      <c r="A4943">
        <v>4941</v>
      </c>
      <c r="B4943" t="s">
        <v>5617</v>
      </c>
      <c r="C4943" t="s">
        <v>3992</v>
      </c>
      <c r="D4943">
        <v>2699</v>
      </c>
      <c r="E4943">
        <v>1099</v>
      </c>
      <c r="F4943" t="s">
        <v>2712</v>
      </c>
      <c r="G4943" t="s">
        <v>2936</v>
      </c>
    </row>
    <row r="4944" spans="1:7" x14ac:dyDescent="0.3">
      <c r="A4944">
        <v>4942</v>
      </c>
      <c r="B4944" t="s">
        <v>5618</v>
      </c>
      <c r="C4944" t="s">
        <v>5613</v>
      </c>
      <c r="D4944">
        <v>1899</v>
      </c>
      <c r="E4944">
        <v>1199</v>
      </c>
      <c r="F4944" t="s">
        <v>2712</v>
      </c>
      <c r="G4944" t="s">
        <v>2936</v>
      </c>
    </row>
    <row r="4945" spans="1:7" x14ac:dyDescent="0.3">
      <c r="A4945">
        <v>4943</v>
      </c>
      <c r="B4945" t="s">
        <v>5619</v>
      </c>
      <c r="C4945" t="s">
        <v>3961</v>
      </c>
      <c r="D4945">
        <v>2499</v>
      </c>
      <c r="E4945">
        <v>1199</v>
      </c>
      <c r="F4945" t="s">
        <v>2712</v>
      </c>
      <c r="G4945" t="s">
        <v>2936</v>
      </c>
    </row>
    <row r="4946" spans="1:7" x14ac:dyDescent="0.3">
      <c r="A4946">
        <v>4944</v>
      </c>
      <c r="B4946" t="s">
        <v>5620</v>
      </c>
      <c r="C4946" t="s">
        <v>5613</v>
      </c>
      <c r="D4946">
        <v>1999</v>
      </c>
      <c r="E4946">
        <v>999</v>
      </c>
      <c r="F4946" t="s">
        <v>3004</v>
      </c>
      <c r="G4946" t="s">
        <v>2936</v>
      </c>
    </row>
    <row r="4947" spans="1:7" x14ac:dyDescent="0.3">
      <c r="A4947">
        <v>4945</v>
      </c>
      <c r="B4947" t="s">
        <v>5621</v>
      </c>
      <c r="C4947" t="s">
        <v>5594</v>
      </c>
      <c r="D4947">
        <v>2490</v>
      </c>
      <c r="E4947">
        <v>799</v>
      </c>
      <c r="F4947" t="s">
        <v>3004</v>
      </c>
      <c r="G4947" t="s">
        <v>2936</v>
      </c>
    </row>
    <row r="4948" spans="1:7" x14ac:dyDescent="0.3">
      <c r="A4948">
        <v>4946</v>
      </c>
      <c r="B4948" t="s">
        <v>5622</v>
      </c>
      <c r="C4948" t="s">
        <v>5429</v>
      </c>
      <c r="D4948">
        <v>2999</v>
      </c>
      <c r="E4948">
        <v>1699</v>
      </c>
      <c r="F4948" t="s">
        <v>2712</v>
      </c>
      <c r="G4948" t="s">
        <v>2936</v>
      </c>
    </row>
    <row r="4949" spans="1:7" x14ac:dyDescent="0.3">
      <c r="A4949">
        <v>4947</v>
      </c>
      <c r="B4949" t="s">
        <v>5623</v>
      </c>
      <c r="C4949" t="s">
        <v>5624</v>
      </c>
      <c r="D4949">
        <v>350</v>
      </c>
      <c r="E4949">
        <v>199</v>
      </c>
      <c r="F4949" t="s">
        <v>2712</v>
      </c>
      <c r="G4949" t="s">
        <v>2936</v>
      </c>
    </row>
    <row r="4950" spans="1:7" x14ac:dyDescent="0.3">
      <c r="A4950">
        <v>4948</v>
      </c>
      <c r="B4950" t="s">
        <v>5625</v>
      </c>
      <c r="C4950" t="s">
        <v>3961</v>
      </c>
      <c r="D4950">
        <v>2999</v>
      </c>
      <c r="E4950">
        <v>1899</v>
      </c>
      <c r="F4950" t="s">
        <v>2712</v>
      </c>
      <c r="G4950" t="s">
        <v>2936</v>
      </c>
    </row>
    <row r="4951" spans="1:7" x14ac:dyDescent="0.3">
      <c r="A4951">
        <v>4949</v>
      </c>
      <c r="B4951" t="s">
        <v>5626</v>
      </c>
      <c r="C4951" t="s">
        <v>3994</v>
      </c>
      <c r="D4951">
        <v>2999</v>
      </c>
      <c r="E4951">
        <v>1499</v>
      </c>
      <c r="F4951" t="s">
        <v>2712</v>
      </c>
      <c r="G4951" t="s">
        <v>2936</v>
      </c>
    </row>
    <row r="4952" spans="1:7" x14ac:dyDescent="0.3">
      <c r="A4952">
        <v>4950</v>
      </c>
      <c r="B4952" t="s">
        <v>5627</v>
      </c>
      <c r="C4952" t="s">
        <v>1573</v>
      </c>
      <c r="D4952">
        <v>615</v>
      </c>
      <c r="E4952">
        <v>555</v>
      </c>
      <c r="F4952" t="s">
        <v>2712</v>
      </c>
      <c r="G4952" t="s">
        <v>2936</v>
      </c>
    </row>
    <row r="4953" spans="1:7" x14ac:dyDescent="0.3">
      <c r="A4953">
        <v>4951</v>
      </c>
      <c r="B4953" t="s">
        <v>5628</v>
      </c>
      <c r="C4953" t="s">
        <v>1573</v>
      </c>
      <c r="D4953">
        <v>660</v>
      </c>
      <c r="E4953">
        <v>599</v>
      </c>
      <c r="F4953" t="s">
        <v>2712</v>
      </c>
      <c r="G4953" t="s">
        <v>2936</v>
      </c>
    </row>
    <row r="4954" spans="1:7" x14ac:dyDescent="0.3">
      <c r="A4954">
        <v>4952</v>
      </c>
      <c r="B4954" t="s">
        <v>5629</v>
      </c>
      <c r="C4954" t="s">
        <v>1573</v>
      </c>
      <c r="D4954">
        <v>650</v>
      </c>
      <c r="E4954">
        <v>585</v>
      </c>
      <c r="F4954" t="s">
        <v>2712</v>
      </c>
      <c r="G4954" t="s">
        <v>2936</v>
      </c>
    </row>
    <row r="4955" spans="1:7" x14ac:dyDescent="0.3">
      <c r="A4955">
        <v>4953</v>
      </c>
      <c r="B4955" t="s">
        <v>5630</v>
      </c>
      <c r="C4955" t="s">
        <v>1573</v>
      </c>
      <c r="D4955">
        <v>635</v>
      </c>
      <c r="E4955">
        <v>575</v>
      </c>
      <c r="F4955" t="s">
        <v>2712</v>
      </c>
      <c r="G4955" t="s">
        <v>2936</v>
      </c>
    </row>
    <row r="4956" spans="1:7" x14ac:dyDescent="0.3">
      <c r="A4956">
        <v>4954</v>
      </c>
      <c r="B4956" t="s">
        <v>5631</v>
      </c>
      <c r="C4956" t="s">
        <v>1573</v>
      </c>
      <c r="D4956">
        <v>720</v>
      </c>
      <c r="E4956">
        <v>649</v>
      </c>
      <c r="F4956" t="s">
        <v>2712</v>
      </c>
      <c r="G4956" t="s">
        <v>2936</v>
      </c>
    </row>
    <row r="4957" spans="1:7" x14ac:dyDescent="0.3">
      <c r="A4957">
        <v>4955</v>
      </c>
      <c r="B4957" t="s">
        <v>5632</v>
      </c>
      <c r="C4957" t="s">
        <v>5633</v>
      </c>
      <c r="D4957">
        <v>350</v>
      </c>
      <c r="E4957">
        <v>299</v>
      </c>
      <c r="F4957" t="s">
        <v>2712</v>
      </c>
      <c r="G4957" t="s">
        <v>2936</v>
      </c>
    </row>
    <row r="4958" spans="1:7" x14ac:dyDescent="0.3">
      <c r="A4958">
        <v>4956</v>
      </c>
      <c r="B4958" t="s">
        <v>5634</v>
      </c>
      <c r="C4958" t="s">
        <v>1573</v>
      </c>
      <c r="D4958">
        <v>720</v>
      </c>
      <c r="E4958">
        <v>649</v>
      </c>
      <c r="F4958" t="s">
        <v>2712</v>
      </c>
      <c r="G4958" t="s">
        <v>2936</v>
      </c>
    </row>
    <row r="4959" spans="1:7" x14ac:dyDescent="0.3">
      <c r="A4959">
        <v>4957</v>
      </c>
      <c r="B4959" t="s">
        <v>5635</v>
      </c>
      <c r="C4959" t="s">
        <v>1573</v>
      </c>
      <c r="D4959">
        <v>645</v>
      </c>
      <c r="E4959">
        <v>575</v>
      </c>
      <c r="F4959" t="s">
        <v>2712</v>
      </c>
      <c r="G4959" t="s">
        <v>2936</v>
      </c>
    </row>
    <row r="4960" spans="1:7" x14ac:dyDescent="0.3">
      <c r="A4960">
        <v>4958</v>
      </c>
      <c r="B4960" t="s">
        <v>5636</v>
      </c>
      <c r="C4960" t="s">
        <v>1573</v>
      </c>
      <c r="D4960">
        <v>645</v>
      </c>
      <c r="E4960">
        <v>575</v>
      </c>
      <c r="F4960" t="s">
        <v>2712</v>
      </c>
      <c r="G4960" t="s">
        <v>2936</v>
      </c>
    </row>
    <row r="4961" spans="1:7" x14ac:dyDescent="0.3">
      <c r="A4961">
        <v>4959</v>
      </c>
      <c r="B4961" t="s">
        <v>5637</v>
      </c>
      <c r="C4961" t="s">
        <v>1573</v>
      </c>
      <c r="D4961">
        <v>645</v>
      </c>
      <c r="E4961">
        <v>575</v>
      </c>
      <c r="F4961" t="s">
        <v>2712</v>
      </c>
      <c r="G4961" t="s">
        <v>2936</v>
      </c>
    </row>
    <row r="4962" spans="1:7" x14ac:dyDescent="0.3">
      <c r="A4962">
        <v>4960</v>
      </c>
      <c r="B4962" t="s">
        <v>5638</v>
      </c>
      <c r="C4962" t="s">
        <v>1573</v>
      </c>
      <c r="D4962">
        <v>645</v>
      </c>
      <c r="E4962">
        <v>575</v>
      </c>
      <c r="F4962" t="s">
        <v>2712</v>
      </c>
      <c r="G4962" t="s">
        <v>2936</v>
      </c>
    </row>
    <row r="4963" spans="1:7" x14ac:dyDescent="0.3">
      <c r="A4963">
        <v>4961</v>
      </c>
      <c r="B4963" t="s">
        <v>5639</v>
      </c>
      <c r="C4963" t="s">
        <v>1573</v>
      </c>
      <c r="D4963">
        <v>645</v>
      </c>
      <c r="E4963">
        <v>575</v>
      </c>
      <c r="F4963" t="s">
        <v>2712</v>
      </c>
      <c r="G4963" t="s">
        <v>2936</v>
      </c>
    </row>
    <row r="4964" spans="1:7" x14ac:dyDescent="0.3">
      <c r="A4964">
        <v>4962</v>
      </c>
      <c r="B4964" t="s">
        <v>5640</v>
      </c>
      <c r="C4964" t="s">
        <v>1573</v>
      </c>
      <c r="D4964">
        <v>645</v>
      </c>
      <c r="E4964">
        <v>575</v>
      </c>
      <c r="F4964" t="s">
        <v>2712</v>
      </c>
      <c r="G4964" t="s">
        <v>2936</v>
      </c>
    </row>
    <row r="4965" spans="1:7" x14ac:dyDescent="0.3">
      <c r="A4965">
        <v>4963</v>
      </c>
      <c r="B4965" t="s">
        <v>5641</v>
      </c>
      <c r="C4965" t="s">
        <v>5633</v>
      </c>
      <c r="D4965">
        <v>350</v>
      </c>
      <c r="E4965">
        <v>299</v>
      </c>
      <c r="F4965" t="s">
        <v>2712</v>
      </c>
      <c r="G4965" t="s">
        <v>2936</v>
      </c>
    </row>
    <row r="4966" spans="1:7" x14ac:dyDescent="0.3">
      <c r="A4966">
        <v>4964</v>
      </c>
      <c r="B4966" t="s">
        <v>5642</v>
      </c>
      <c r="C4966" t="s">
        <v>17</v>
      </c>
      <c r="D4966">
        <v>650</v>
      </c>
      <c r="E4966">
        <v>529</v>
      </c>
      <c r="F4966" t="s">
        <v>2712</v>
      </c>
      <c r="G4966" t="s">
        <v>2936</v>
      </c>
    </row>
    <row r="4967" spans="1:7" x14ac:dyDescent="0.3">
      <c r="A4967">
        <v>4965</v>
      </c>
      <c r="B4967" t="s">
        <v>5643</v>
      </c>
      <c r="C4967" t="s">
        <v>3316</v>
      </c>
      <c r="D4967">
        <v>1200</v>
      </c>
      <c r="E4967">
        <v>699</v>
      </c>
      <c r="F4967" t="s">
        <v>2712</v>
      </c>
      <c r="G4967" t="s">
        <v>2936</v>
      </c>
    </row>
    <row r="4968" spans="1:7" x14ac:dyDescent="0.3">
      <c r="A4968">
        <v>4966</v>
      </c>
      <c r="B4968" t="s">
        <v>5644</v>
      </c>
      <c r="C4968" t="s">
        <v>3961</v>
      </c>
      <c r="D4968">
        <v>1299</v>
      </c>
      <c r="E4968">
        <v>399</v>
      </c>
      <c r="F4968" t="s">
        <v>2712</v>
      </c>
      <c r="G4968" t="s">
        <v>2936</v>
      </c>
    </row>
    <row r="4969" spans="1:7" x14ac:dyDescent="0.3">
      <c r="A4969">
        <v>4967</v>
      </c>
      <c r="B4969" t="s">
        <v>5645</v>
      </c>
      <c r="C4969" t="s">
        <v>3961</v>
      </c>
      <c r="D4969">
        <v>2999</v>
      </c>
      <c r="E4969">
        <v>799</v>
      </c>
      <c r="F4969" t="s">
        <v>2712</v>
      </c>
      <c r="G4969" t="s">
        <v>2936</v>
      </c>
    </row>
    <row r="4970" spans="1:7" x14ac:dyDescent="0.3">
      <c r="A4970">
        <v>4968</v>
      </c>
      <c r="B4970" t="s">
        <v>5646</v>
      </c>
      <c r="C4970" t="s">
        <v>3992</v>
      </c>
      <c r="D4970">
        <v>299</v>
      </c>
      <c r="E4970">
        <v>149</v>
      </c>
      <c r="F4970" t="s">
        <v>2712</v>
      </c>
      <c r="G4970" t="s">
        <v>5647</v>
      </c>
    </row>
    <row r="4971" spans="1:7" x14ac:dyDescent="0.3">
      <c r="A4971">
        <v>4969</v>
      </c>
      <c r="B4971" t="s">
        <v>5648</v>
      </c>
      <c r="C4971" t="s">
        <v>3992</v>
      </c>
      <c r="D4971">
        <v>399</v>
      </c>
      <c r="E4971">
        <v>299</v>
      </c>
      <c r="F4971" t="s">
        <v>2712</v>
      </c>
      <c r="G4971" t="s">
        <v>5647</v>
      </c>
    </row>
    <row r="4972" spans="1:7" x14ac:dyDescent="0.3">
      <c r="A4972">
        <v>4970</v>
      </c>
      <c r="B4972" t="s">
        <v>5649</v>
      </c>
      <c r="C4972" t="s">
        <v>17</v>
      </c>
      <c r="D4972">
        <v>80</v>
      </c>
      <c r="E4972">
        <v>69</v>
      </c>
      <c r="F4972" t="s">
        <v>2712</v>
      </c>
      <c r="G4972" t="s">
        <v>5650</v>
      </c>
    </row>
    <row r="4973" spans="1:7" x14ac:dyDescent="0.3">
      <c r="A4973">
        <v>4971</v>
      </c>
      <c r="B4973" t="s">
        <v>5651</v>
      </c>
      <c r="C4973" t="s">
        <v>17</v>
      </c>
      <c r="D4973">
        <v>60</v>
      </c>
      <c r="E4973">
        <v>49</v>
      </c>
      <c r="F4973" t="s">
        <v>3004</v>
      </c>
      <c r="G4973" t="s">
        <v>5650</v>
      </c>
    </row>
    <row r="4974" spans="1:7" x14ac:dyDescent="0.3">
      <c r="A4974">
        <v>4972</v>
      </c>
      <c r="B4974" t="s">
        <v>5652</v>
      </c>
      <c r="C4974" t="s">
        <v>17</v>
      </c>
      <c r="D4974">
        <v>17</v>
      </c>
      <c r="E4974">
        <v>15</v>
      </c>
      <c r="F4974" t="s">
        <v>3004</v>
      </c>
      <c r="G4974" t="s">
        <v>5650</v>
      </c>
    </row>
    <row r="4975" spans="1:7" x14ac:dyDescent="0.3">
      <c r="A4975">
        <v>4973</v>
      </c>
      <c r="B4975" t="s">
        <v>5653</v>
      </c>
      <c r="C4975" t="s">
        <v>17</v>
      </c>
      <c r="D4975">
        <v>130</v>
      </c>
      <c r="E4975">
        <v>79</v>
      </c>
      <c r="F4975" t="s">
        <v>3004</v>
      </c>
      <c r="G4975" t="s">
        <v>5650</v>
      </c>
    </row>
    <row r="4976" spans="1:7" x14ac:dyDescent="0.3">
      <c r="A4976">
        <v>4974</v>
      </c>
      <c r="B4976" t="s">
        <v>5654</v>
      </c>
      <c r="C4976" t="s">
        <v>17</v>
      </c>
      <c r="D4976">
        <v>120</v>
      </c>
      <c r="E4976">
        <v>99</v>
      </c>
      <c r="F4976" t="s">
        <v>3004</v>
      </c>
      <c r="G4976" t="s">
        <v>5650</v>
      </c>
    </row>
    <row r="4977" spans="1:7" x14ac:dyDescent="0.3">
      <c r="A4977">
        <v>4975</v>
      </c>
      <c r="B4977" t="s">
        <v>5655</v>
      </c>
      <c r="C4977" t="s">
        <v>17</v>
      </c>
      <c r="D4977">
        <v>50</v>
      </c>
      <c r="E4977">
        <v>39</v>
      </c>
      <c r="F4977" t="s">
        <v>3004</v>
      </c>
      <c r="G4977" t="s">
        <v>5650</v>
      </c>
    </row>
    <row r="4978" spans="1:7" x14ac:dyDescent="0.3">
      <c r="A4978">
        <v>4976</v>
      </c>
      <c r="B4978" t="s">
        <v>5656</v>
      </c>
      <c r="C4978" t="s">
        <v>17</v>
      </c>
      <c r="D4978">
        <v>17</v>
      </c>
      <c r="E4978">
        <v>15</v>
      </c>
      <c r="F4978" t="s">
        <v>3004</v>
      </c>
      <c r="G4978" t="s">
        <v>5650</v>
      </c>
    </row>
    <row r="4979" spans="1:7" x14ac:dyDescent="0.3">
      <c r="A4979">
        <v>4977</v>
      </c>
      <c r="B4979" t="s">
        <v>5657</v>
      </c>
      <c r="C4979" t="s">
        <v>17</v>
      </c>
      <c r="D4979">
        <v>12</v>
      </c>
      <c r="E4979">
        <v>10</v>
      </c>
      <c r="F4979" t="s">
        <v>3004</v>
      </c>
      <c r="G4979" t="s">
        <v>5650</v>
      </c>
    </row>
    <row r="4980" spans="1:7" x14ac:dyDescent="0.3">
      <c r="A4980">
        <v>4978</v>
      </c>
      <c r="B4980" t="s">
        <v>5658</v>
      </c>
      <c r="C4980" t="s">
        <v>17</v>
      </c>
      <c r="D4980">
        <v>130</v>
      </c>
      <c r="E4980">
        <v>79</v>
      </c>
      <c r="F4980" t="s">
        <v>2712</v>
      </c>
      <c r="G4980" t="s">
        <v>5650</v>
      </c>
    </row>
    <row r="4981" spans="1:7" x14ac:dyDescent="0.3">
      <c r="A4981">
        <v>4979</v>
      </c>
      <c r="B4981" t="s">
        <v>5659</v>
      </c>
      <c r="C4981" t="s">
        <v>17</v>
      </c>
      <c r="D4981">
        <v>130</v>
      </c>
      <c r="E4981">
        <v>79</v>
      </c>
      <c r="F4981" t="s">
        <v>2712</v>
      </c>
      <c r="G4981" t="s">
        <v>5650</v>
      </c>
    </row>
    <row r="4982" spans="1:7" x14ac:dyDescent="0.3">
      <c r="A4982">
        <v>4980</v>
      </c>
      <c r="B4982" t="s">
        <v>5660</v>
      </c>
      <c r="C4982" t="s">
        <v>17</v>
      </c>
      <c r="D4982">
        <v>150</v>
      </c>
      <c r="E4982">
        <v>99</v>
      </c>
      <c r="F4982" t="s">
        <v>2712</v>
      </c>
      <c r="G4982" t="s">
        <v>5650</v>
      </c>
    </row>
    <row r="4983" spans="1:7" x14ac:dyDescent="0.3">
      <c r="A4983">
        <v>4981</v>
      </c>
      <c r="B4983" t="s">
        <v>5661</v>
      </c>
      <c r="C4983" t="s">
        <v>17</v>
      </c>
      <c r="D4983">
        <v>80</v>
      </c>
      <c r="E4983">
        <v>69</v>
      </c>
      <c r="F4983" t="s">
        <v>2712</v>
      </c>
      <c r="G4983" t="s">
        <v>5650</v>
      </c>
    </row>
    <row r="4984" spans="1:7" x14ac:dyDescent="0.3">
      <c r="A4984">
        <v>4982</v>
      </c>
      <c r="B4984" t="s">
        <v>5662</v>
      </c>
      <c r="C4984" t="s">
        <v>17</v>
      </c>
      <c r="D4984">
        <v>150</v>
      </c>
      <c r="E4984">
        <v>89</v>
      </c>
      <c r="F4984" t="s">
        <v>2712</v>
      </c>
      <c r="G4984" t="s">
        <v>5650</v>
      </c>
    </row>
    <row r="4985" spans="1:7" x14ac:dyDescent="0.3">
      <c r="A4985">
        <v>4983</v>
      </c>
      <c r="B4985" t="s">
        <v>5663</v>
      </c>
      <c r="C4985" t="s">
        <v>17</v>
      </c>
      <c r="D4985">
        <v>150</v>
      </c>
      <c r="E4985">
        <v>89</v>
      </c>
      <c r="F4985" t="s">
        <v>2712</v>
      </c>
      <c r="G4985" t="s">
        <v>5650</v>
      </c>
    </row>
    <row r="4986" spans="1:7" x14ac:dyDescent="0.3">
      <c r="A4986">
        <v>4984</v>
      </c>
      <c r="B4986" t="s">
        <v>5664</v>
      </c>
      <c r="C4986" t="s">
        <v>17</v>
      </c>
      <c r="D4986">
        <v>150</v>
      </c>
      <c r="E4986">
        <v>99</v>
      </c>
      <c r="F4986" t="s">
        <v>2712</v>
      </c>
      <c r="G4986" t="s">
        <v>5650</v>
      </c>
    </row>
    <row r="4987" spans="1:7" x14ac:dyDescent="0.3">
      <c r="A4987">
        <v>4985</v>
      </c>
      <c r="B4987" t="s">
        <v>5665</v>
      </c>
      <c r="C4987" t="s">
        <v>17</v>
      </c>
      <c r="D4987">
        <v>80</v>
      </c>
      <c r="E4987">
        <v>69</v>
      </c>
      <c r="F4987" t="s">
        <v>2712</v>
      </c>
      <c r="G4987" t="s">
        <v>5650</v>
      </c>
    </row>
    <row r="4988" spans="1:7" x14ac:dyDescent="0.3">
      <c r="A4988">
        <v>4986</v>
      </c>
      <c r="B4988" t="s">
        <v>5666</v>
      </c>
      <c r="C4988" t="s">
        <v>17</v>
      </c>
      <c r="D4988">
        <v>130</v>
      </c>
      <c r="E4988">
        <v>79</v>
      </c>
      <c r="F4988" t="s">
        <v>2712</v>
      </c>
      <c r="G4988" t="s">
        <v>5650</v>
      </c>
    </row>
    <row r="4989" spans="1:7" x14ac:dyDescent="0.3">
      <c r="A4989">
        <v>4987</v>
      </c>
      <c r="B4989" t="s">
        <v>5667</v>
      </c>
      <c r="C4989" t="s">
        <v>17</v>
      </c>
      <c r="D4989">
        <v>150</v>
      </c>
      <c r="E4989">
        <v>99</v>
      </c>
      <c r="F4989" t="s">
        <v>2712</v>
      </c>
      <c r="G4989" t="s">
        <v>5650</v>
      </c>
    </row>
    <row r="4990" spans="1:7" x14ac:dyDescent="0.3">
      <c r="A4990">
        <v>4988</v>
      </c>
      <c r="B4990" t="s">
        <v>5668</v>
      </c>
      <c r="C4990" t="s">
        <v>17</v>
      </c>
      <c r="D4990">
        <v>150</v>
      </c>
      <c r="E4990">
        <v>89</v>
      </c>
      <c r="F4990" t="s">
        <v>2712</v>
      </c>
      <c r="G4990" t="s">
        <v>5650</v>
      </c>
    </row>
    <row r="4991" spans="1:7" x14ac:dyDescent="0.3">
      <c r="A4991">
        <v>4989</v>
      </c>
      <c r="B4991" t="s">
        <v>5669</v>
      </c>
      <c r="C4991" t="s">
        <v>17</v>
      </c>
      <c r="D4991">
        <v>150</v>
      </c>
      <c r="E4991">
        <v>89</v>
      </c>
      <c r="F4991" t="s">
        <v>2712</v>
      </c>
      <c r="G4991" t="s">
        <v>5650</v>
      </c>
    </row>
    <row r="4992" spans="1:7" x14ac:dyDescent="0.3">
      <c r="A4992">
        <v>4990</v>
      </c>
      <c r="B4992" t="s">
        <v>5670</v>
      </c>
      <c r="C4992" t="s">
        <v>17</v>
      </c>
      <c r="D4992">
        <v>200</v>
      </c>
      <c r="E4992">
        <v>99</v>
      </c>
      <c r="F4992" t="s">
        <v>2712</v>
      </c>
      <c r="G4992" t="s">
        <v>5650</v>
      </c>
    </row>
    <row r="4993" spans="1:7" x14ac:dyDescent="0.3">
      <c r="A4993">
        <v>4991</v>
      </c>
      <c r="B4993" t="s">
        <v>5671</v>
      </c>
      <c r="C4993" t="s">
        <v>17</v>
      </c>
      <c r="D4993">
        <v>200</v>
      </c>
      <c r="E4993">
        <v>99</v>
      </c>
      <c r="F4993" t="s">
        <v>2712</v>
      </c>
      <c r="G4993" t="s">
        <v>5650</v>
      </c>
    </row>
    <row r="4994" spans="1:7" x14ac:dyDescent="0.3">
      <c r="A4994">
        <v>4992</v>
      </c>
      <c r="B4994" t="s">
        <v>5672</v>
      </c>
      <c r="C4994" t="s">
        <v>17</v>
      </c>
      <c r="D4994">
        <v>200</v>
      </c>
      <c r="E4994">
        <v>99</v>
      </c>
      <c r="F4994" t="s">
        <v>2712</v>
      </c>
      <c r="G4994" t="s">
        <v>5650</v>
      </c>
    </row>
    <row r="4995" spans="1:7" x14ac:dyDescent="0.3">
      <c r="A4995">
        <v>4993</v>
      </c>
      <c r="B4995" t="s">
        <v>5673</v>
      </c>
      <c r="C4995" t="s">
        <v>5674</v>
      </c>
      <c r="D4995">
        <v>1075</v>
      </c>
      <c r="E4995">
        <v>959</v>
      </c>
      <c r="F4995" t="s">
        <v>5508</v>
      </c>
      <c r="G4995" t="s">
        <v>5675</v>
      </c>
    </row>
    <row r="4996" spans="1:7" x14ac:dyDescent="0.3">
      <c r="A4996">
        <v>4994</v>
      </c>
      <c r="B4996" t="s">
        <v>5676</v>
      </c>
      <c r="C4996" t="s">
        <v>4686</v>
      </c>
      <c r="D4996">
        <v>998</v>
      </c>
      <c r="E4996">
        <v>799</v>
      </c>
      <c r="F4996" t="s">
        <v>2712</v>
      </c>
      <c r="G4996" t="s">
        <v>5675</v>
      </c>
    </row>
    <row r="4997" spans="1:7" x14ac:dyDescent="0.3">
      <c r="A4997">
        <v>4995</v>
      </c>
      <c r="B4997" t="s">
        <v>5677</v>
      </c>
      <c r="C4997" t="s">
        <v>5674</v>
      </c>
      <c r="D4997">
        <v>1075</v>
      </c>
      <c r="E4997">
        <v>959</v>
      </c>
      <c r="F4997" t="s">
        <v>5508</v>
      </c>
      <c r="G4997" t="s">
        <v>5675</v>
      </c>
    </row>
    <row r="4998" spans="1:7" x14ac:dyDescent="0.3">
      <c r="A4998">
        <v>4996</v>
      </c>
      <c r="B4998" t="s">
        <v>5678</v>
      </c>
      <c r="C4998" t="s">
        <v>4686</v>
      </c>
      <c r="D4998">
        <v>1295</v>
      </c>
      <c r="E4998">
        <v>1036</v>
      </c>
      <c r="F4998" t="s">
        <v>2712</v>
      </c>
      <c r="G4998" t="s">
        <v>5675</v>
      </c>
    </row>
    <row r="4999" spans="1:7" x14ac:dyDescent="0.3">
      <c r="A4999">
        <v>4997</v>
      </c>
      <c r="B4999" t="s">
        <v>5679</v>
      </c>
      <c r="C4999" t="s">
        <v>2864</v>
      </c>
      <c r="D4999">
        <v>99</v>
      </c>
      <c r="E4999">
        <v>92</v>
      </c>
      <c r="F4999" t="s">
        <v>399</v>
      </c>
      <c r="G4999" t="s">
        <v>5066</v>
      </c>
    </row>
    <row r="5000" spans="1:7" x14ac:dyDescent="0.3">
      <c r="A5000">
        <v>4998</v>
      </c>
      <c r="B5000" t="s">
        <v>5680</v>
      </c>
      <c r="C5000" t="s">
        <v>2864</v>
      </c>
      <c r="D5000">
        <v>42</v>
      </c>
      <c r="E5000">
        <v>39</v>
      </c>
      <c r="F5000" t="s">
        <v>4379</v>
      </c>
      <c r="G5000" t="s">
        <v>5066</v>
      </c>
    </row>
    <row r="5001" spans="1:7" x14ac:dyDescent="0.3">
      <c r="A5001">
        <v>4999</v>
      </c>
      <c r="B5001" t="s">
        <v>5681</v>
      </c>
      <c r="C5001" t="s">
        <v>17</v>
      </c>
      <c r="D5001">
        <v>210</v>
      </c>
      <c r="E5001">
        <v>149</v>
      </c>
      <c r="F5001" t="s">
        <v>2712</v>
      </c>
      <c r="G5001" t="s">
        <v>3617</v>
      </c>
    </row>
    <row r="5002" spans="1:7" x14ac:dyDescent="0.3">
      <c r="A5002">
        <v>5000</v>
      </c>
      <c r="B5002" t="s">
        <v>5682</v>
      </c>
      <c r="C5002" t="s">
        <v>17</v>
      </c>
      <c r="D5002">
        <v>210</v>
      </c>
      <c r="E5002">
        <v>149</v>
      </c>
      <c r="F5002" t="s">
        <v>2712</v>
      </c>
      <c r="G5002" t="s">
        <v>3617</v>
      </c>
    </row>
    <row r="5003" spans="1:7" x14ac:dyDescent="0.3">
      <c r="A5003">
        <v>5001</v>
      </c>
      <c r="B5003" t="s">
        <v>5683</v>
      </c>
      <c r="C5003" t="s">
        <v>17</v>
      </c>
      <c r="D5003">
        <v>210</v>
      </c>
      <c r="E5003">
        <v>149</v>
      </c>
      <c r="F5003" t="s">
        <v>2712</v>
      </c>
      <c r="G5003" t="s">
        <v>3617</v>
      </c>
    </row>
    <row r="5004" spans="1:7" x14ac:dyDescent="0.3">
      <c r="A5004">
        <v>5002</v>
      </c>
      <c r="B5004" t="s">
        <v>5684</v>
      </c>
      <c r="C5004" t="s">
        <v>17</v>
      </c>
      <c r="D5004">
        <v>210</v>
      </c>
      <c r="E5004">
        <v>149</v>
      </c>
      <c r="F5004" t="s">
        <v>2712</v>
      </c>
      <c r="G5004" t="s">
        <v>3617</v>
      </c>
    </row>
    <row r="5005" spans="1:7" x14ac:dyDescent="0.3">
      <c r="A5005">
        <v>5003</v>
      </c>
      <c r="B5005" t="s">
        <v>5685</v>
      </c>
      <c r="C5005" t="s">
        <v>17</v>
      </c>
      <c r="D5005">
        <v>210</v>
      </c>
      <c r="E5005">
        <v>149</v>
      </c>
      <c r="F5005" t="s">
        <v>2712</v>
      </c>
      <c r="G5005" t="s">
        <v>3617</v>
      </c>
    </row>
    <row r="5006" spans="1:7" x14ac:dyDescent="0.3">
      <c r="A5006">
        <v>5004</v>
      </c>
      <c r="B5006" t="s">
        <v>5686</v>
      </c>
      <c r="C5006" t="s">
        <v>17</v>
      </c>
      <c r="D5006">
        <v>250</v>
      </c>
      <c r="E5006">
        <v>225</v>
      </c>
      <c r="F5006" t="s">
        <v>2712</v>
      </c>
      <c r="G5006" t="s">
        <v>3617</v>
      </c>
    </row>
    <row r="5007" spans="1:7" x14ac:dyDescent="0.3">
      <c r="A5007">
        <v>5005</v>
      </c>
      <c r="B5007" t="s">
        <v>5687</v>
      </c>
      <c r="C5007" t="s">
        <v>17</v>
      </c>
      <c r="D5007">
        <v>250</v>
      </c>
      <c r="E5007">
        <v>225</v>
      </c>
      <c r="F5007" t="s">
        <v>2712</v>
      </c>
      <c r="G5007" t="s">
        <v>3617</v>
      </c>
    </row>
    <row r="5008" spans="1:7" x14ac:dyDescent="0.3">
      <c r="A5008">
        <v>5006</v>
      </c>
      <c r="B5008" t="s">
        <v>5688</v>
      </c>
      <c r="C5008" t="s">
        <v>17</v>
      </c>
      <c r="D5008">
        <v>250</v>
      </c>
      <c r="E5008">
        <v>225</v>
      </c>
      <c r="F5008" t="s">
        <v>2712</v>
      </c>
      <c r="G5008" t="s">
        <v>3617</v>
      </c>
    </row>
    <row r="5009" spans="1:7" x14ac:dyDescent="0.3">
      <c r="A5009">
        <v>5007</v>
      </c>
      <c r="B5009" t="s">
        <v>5689</v>
      </c>
      <c r="C5009" t="s">
        <v>17</v>
      </c>
      <c r="D5009">
        <v>250</v>
      </c>
      <c r="E5009">
        <v>225</v>
      </c>
      <c r="F5009" t="s">
        <v>2712</v>
      </c>
      <c r="G5009" t="s">
        <v>3617</v>
      </c>
    </row>
    <row r="5010" spans="1:7" x14ac:dyDescent="0.3">
      <c r="A5010">
        <v>5008</v>
      </c>
      <c r="B5010" t="s">
        <v>5690</v>
      </c>
      <c r="C5010" t="s">
        <v>17</v>
      </c>
      <c r="D5010">
        <v>235</v>
      </c>
      <c r="E5010">
        <v>169</v>
      </c>
      <c r="F5010" t="s">
        <v>2712</v>
      </c>
      <c r="G5010" t="s">
        <v>3617</v>
      </c>
    </row>
    <row r="5011" spans="1:7" x14ac:dyDescent="0.3">
      <c r="A5011">
        <v>5009</v>
      </c>
      <c r="B5011" t="s">
        <v>5691</v>
      </c>
      <c r="C5011" t="s">
        <v>17</v>
      </c>
      <c r="D5011">
        <v>235</v>
      </c>
      <c r="E5011">
        <v>169</v>
      </c>
      <c r="F5011" t="s">
        <v>2712</v>
      </c>
      <c r="G5011" t="s">
        <v>3617</v>
      </c>
    </row>
    <row r="5012" spans="1:7" x14ac:dyDescent="0.3">
      <c r="A5012">
        <v>5010</v>
      </c>
      <c r="B5012" t="s">
        <v>5692</v>
      </c>
      <c r="C5012" t="s">
        <v>17</v>
      </c>
      <c r="D5012">
        <v>150</v>
      </c>
      <c r="E5012">
        <v>99</v>
      </c>
      <c r="F5012" t="s">
        <v>2712</v>
      </c>
      <c r="G5012" t="s">
        <v>3617</v>
      </c>
    </row>
    <row r="5013" spans="1:7" x14ac:dyDescent="0.3">
      <c r="A5013">
        <v>5011</v>
      </c>
      <c r="B5013" t="s">
        <v>5693</v>
      </c>
      <c r="C5013" t="s">
        <v>17</v>
      </c>
      <c r="D5013">
        <v>89</v>
      </c>
      <c r="E5013">
        <v>69</v>
      </c>
      <c r="F5013" t="s">
        <v>2712</v>
      </c>
      <c r="G5013" t="s">
        <v>3617</v>
      </c>
    </row>
    <row r="5014" spans="1:7" x14ac:dyDescent="0.3">
      <c r="A5014">
        <v>5012</v>
      </c>
      <c r="B5014" t="s">
        <v>5694</v>
      </c>
      <c r="C5014" t="s">
        <v>17</v>
      </c>
      <c r="D5014">
        <v>90</v>
      </c>
      <c r="E5014">
        <v>69</v>
      </c>
      <c r="F5014" t="s">
        <v>2712</v>
      </c>
      <c r="G5014" t="s">
        <v>3617</v>
      </c>
    </row>
    <row r="5015" spans="1:7" x14ac:dyDescent="0.3">
      <c r="A5015">
        <v>5013</v>
      </c>
      <c r="B5015" t="s">
        <v>5695</v>
      </c>
      <c r="C5015" t="s">
        <v>17</v>
      </c>
      <c r="D5015">
        <v>100</v>
      </c>
      <c r="E5015">
        <v>79</v>
      </c>
      <c r="F5015" t="s">
        <v>2712</v>
      </c>
      <c r="G5015" t="s">
        <v>3617</v>
      </c>
    </row>
    <row r="5016" spans="1:7" x14ac:dyDescent="0.3">
      <c r="A5016">
        <v>5014</v>
      </c>
      <c r="B5016" t="s">
        <v>5696</v>
      </c>
      <c r="C5016" t="s">
        <v>17</v>
      </c>
      <c r="D5016">
        <v>2000</v>
      </c>
      <c r="E5016">
        <v>1799</v>
      </c>
      <c r="F5016" t="s">
        <v>2712</v>
      </c>
      <c r="G5016" t="s">
        <v>2936</v>
      </c>
    </row>
    <row r="5017" spans="1:7" x14ac:dyDescent="0.3">
      <c r="A5017">
        <v>5015</v>
      </c>
      <c r="B5017" t="s">
        <v>5697</v>
      </c>
      <c r="C5017" t="s">
        <v>3961</v>
      </c>
      <c r="D5017">
        <v>5999</v>
      </c>
      <c r="E5017">
        <v>2499</v>
      </c>
      <c r="F5017" t="s">
        <v>2712</v>
      </c>
      <c r="G5017" t="s">
        <v>5698</v>
      </c>
    </row>
    <row r="5018" spans="1:7" x14ac:dyDescent="0.3">
      <c r="A5018">
        <v>5016</v>
      </c>
      <c r="B5018" t="s">
        <v>5699</v>
      </c>
      <c r="C5018" t="s">
        <v>5700</v>
      </c>
      <c r="D5018">
        <v>499</v>
      </c>
      <c r="E5018">
        <v>449</v>
      </c>
      <c r="F5018" t="s">
        <v>5509</v>
      </c>
      <c r="G5018" t="s">
        <v>5701</v>
      </c>
    </row>
    <row r="5019" spans="1:7" x14ac:dyDescent="0.3">
      <c r="A5019">
        <v>5017</v>
      </c>
      <c r="B5019" t="s">
        <v>5699</v>
      </c>
      <c r="C5019" t="s">
        <v>5700</v>
      </c>
      <c r="D5019">
        <v>499</v>
      </c>
      <c r="E5019">
        <v>449</v>
      </c>
      <c r="F5019" t="s">
        <v>5515</v>
      </c>
      <c r="G5019" t="s">
        <v>5701</v>
      </c>
    </row>
    <row r="5020" spans="1:7" x14ac:dyDescent="0.3">
      <c r="A5020">
        <v>5018</v>
      </c>
      <c r="B5020" t="s">
        <v>5702</v>
      </c>
      <c r="C5020" t="s">
        <v>5700</v>
      </c>
      <c r="D5020">
        <v>499</v>
      </c>
      <c r="E5020">
        <v>449</v>
      </c>
      <c r="F5020" t="s">
        <v>5509</v>
      </c>
      <c r="G5020" t="s">
        <v>5701</v>
      </c>
    </row>
    <row r="5021" spans="1:7" x14ac:dyDescent="0.3">
      <c r="A5021">
        <v>5019</v>
      </c>
      <c r="B5021" t="s">
        <v>5702</v>
      </c>
      <c r="C5021" t="s">
        <v>5700</v>
      </c>
      <c r="D5021">
        <v>499</v>
      </c>
      <c r="E5021">
        <v>449</v>
      </c>
      <c r="F5021" t="s">
        <v>5515</v>
      </c>
      <c r="G5021" t="s">
        <v>5701</v>
      </c>
    </row>
    <row r="5022" spans="1:7" x14ac:dyDescent="0.3">
      <c r="A5022">
        <v>5020</v>
      </c>
      <c r="B5022" t="s">
        <v>5703</v>
      </c>
      <c r="C5022" t="s">
        <v>5700</v>
      </c>
      <c r="D5022">
        <v>499</v>
      </c>
      <c r="E5022">
        <v>449</v>
      </c>
      <c r="F5022" t="s">
        <v>5509</v>
      </c>
      <c r="G5022" t="s">
        <v>5701</v>
      </c>
    </row>
    <row r="5023" spans="1:7" x14ac:dyDescent="0.3">
      <c r="A5023">
        <v>5021</v>
      </c>
      <c r="B5023" t="s">
        <v>5703</v>
      </c>
      <c r="C5023" t="s">
        <v>5700</v>
      </c>
      <c r="D5023">
        <v>499</v>
      </c>
      <c r="E5023">
        <v>449</v>
      </c>
      <c r="F5023" t="s">
        <v>5515</v>
      </c>
      <c r="G5023" t="s">
        <v>5701</v>
      </c>
    </row>
    <row r="5024" spans="1:7" x14ac:dyDescent="0.3">
      <c r="A5024">
        <v>5022</v>
      </c>
      <c r="B5024" t="s">
        <v>5704</v>
      </c>
      <c r="C5024" t="s">
        <v>5700</v>
      </c>
      <c r="D5024">
        <v>499</v>
      </c>
      <c r="E5024">
        <v>449</v>
      </c>
      <c r="F5024" t="s">
        <v>5508</v>
      </c>
      <c r="G5024" t="s">
        <v>5701</v>
      </c>
    </row>
    <row r="5025" spans="1:7" x14ac:dyDescent="0.3">
      <c r="A5025">
        <v>5023</v>
      </c>
      <c r="B5025" t="s">
        <v>5704</v>
      </c>
      <c r="C5025" t="s">
        <v>5700</v>
      </c>
      <c r="D5025">
        <v>499</v>
      </c>
      <c r="E5025">
        <v>449</v>
      </c>
      <c r="F5025" t="s">
        <v>5509</v>
      </c>
      <c r="G5025" t="s">
        <v>5701</v>
      </c>
    </row>
    <row r="5026" spans="1:7" x14ac:dyDescent="0.3">
      <c r="A5026">
        <v>5024</v>
      </c>
      <c r="B5026" t="s">
        <v>5704</v>
      </c>
      <c r="C5026" t="s">
        <v>5700</v>
      </c>
      <c r="D5026">
        <v>499</v>
      </c>
      <c r="E5026">
        <v>449</v>
      </c>
      <c r="F5026" t="s">
        <v>5515</v>
      </c>
      <c r="G5026" t="s">
        <v>5701</v>
      </c>
    </row>
    <row r="5027" spans="1:7" x14ac:dyDescent="0.3">
      <c r="A5027">
        <v>5025</v>
      </c>
      <c r="B5027" t="s">
        <v>5705</v>
      </c>
      <c r="C5027" t="s">
        <v>5700</v>
      </c>
      <c r="D5027">
        <v>499</v>
      </c>
      <c r="E5027">
        <v>449</v>
      </c>
      <c r="F5027" t="s">
        <v>5508</v>
      </c>
      <c r="G5027" t="s">
        <v>5701</v>
      </c>
    </row>
    <row r="5028" spans="1:7" x14ac:dyDescent="0.3">
      <c r="A5028">
        <v>5026</v>
      </c>
      <c r="B5028" t="s">
        <v>5705</v>
      </c>
      <c r="C5028" t="s">
        <v>5700</v>
      </c>
      <c r="D5028">
        <v>499</v>
      </c>
      <c r="E5028">
        <v>449</v>
      </c>
      <c r="F5028" t="s">
        <v>5509</v>
      </c>
      <c r="G5028" t="s">
        <v>5701</v>
      </c>
    </row>
    <row r="5029" spans="1:7" x14ac:dyDescent="0.3">
      <c r="A5029">
        <v>5027</v>
      </c>
      <c r="B5029" t="s">
        <v>5705</v>
      </c>
      <c r="C5029" t="s">
        <v>5700</v>
      </c>
      <c r="D5029">
        <v>499</v>
      </c>
      <c r="E5029">
        <v>449</v>
      </c>
      <c r="F5029" t="s">
        <v>5515</v>
      </c>
      <c r="G5029" t="s">
        <v>5701</v>
      </c>
    </row>
    <row r="5030" spans="1:7" x14ac:dyDescent="0.3">
      <c r="A5030">
        <v>5028</v>
      </c>
      <c r="B5030" t="s">
        <v>5706</v>
      </c>
      <c r="C5030" t="s">
        <v>5700</v>
      </c>
      <c r="D5030">
        <v>499</v>
      </c>
      <c r="E5030">
        <v>449</v>
      </c>
      <c r="F5030" t="s">
        <v>5508</v>
      </c>
      <c r="G5030" t="s">
        <v>5701</v>
      </c>
    </row>
    <row r="5031" spans="1:7" x14ac:dyDescent="0.3">
      <c r="A5031">
        <v>5029</v>
      </c>
      <c r="B5031" t="s">
        <v>5706</v>
      </c>
      <c r="C5031" t="s">
        <v>5700</v>
      </c>
      <c r="D5031">
        <v>499</v>
      </c>
      <c r="E5031">
        <v>449</v>
      </c>
      <c r="F5031" t="s">
        <v>5509</v>
      </c>
      <c r="G5031" t="s">
        <v>5701</v>
      </c>
    </row>
    <row r="5032" spans="1:7" x14ac:dyDescent="0.3">
      <c r="A5032">
        <v>5030</v>
      </c>
      <c r="B5032" t="s">
        <v>5706</v>
      </c>
      <c r="C5032" t="s">
        <v>5700</v>
      </c>
      <c r="D5032">
        <v>499</v>
      </c>
      <c r="E5032">
        <v>449</v>
      </c>
      <c r="F5032" t="s">
        <v>5515</v>
      </c>
      <c r="G5032" t="s">
        <v>5701</v>
      </c>
    </row>
    <row r="5033" spans="1:7" x14ac:dyDescent="0.3">
      <c r="A5033">
        <v>5031</v>
      </c>
      <c r="B5033" t="s">
        <v>5707</v>
      </c>
      <c r="C5033" t="s">
        <v>5700</v>
      </c>
      <c r="D5033">
        <v>1450</v>
      </c>
      <c r="E5033">
        <v>1199</v>
      </c>
      <c r="F5033" t="s">
        <v>5509</v>
      </c>
      <c r="G5033" t="s">
        <v>5701</v>
      </c>
    </row>
    <row r="5034" spans="1:7" x14ac:dyDescent="0.3">
      <c r="A5034">
        <v>5032</v>
      </c>
      <c r="B5034" t="s">
        <v>5707</v>
      </c>
      <c r="C5034" t="s">
        <v>5700</v>
      </c>
      <c r="D5034">
        <v>1450</v>
      </c>
      <c r="E5034">
        <v>1199</v>
      </c>
      <c r="F5034" t="s">
        <v>5515</v>
      </c>
      <c r="G5034" t="s">
        <v>5701</v>
      </c>
    </row>
    <row r="5035" spans="1:7" x14ac:dyDescent="0.3">
      <c r="A5035">
        <v>5033</v>
      </c>
      <c r="B5035" t="s">
        <v>5708</v>
      </c>
      <c r="C5035" t="s">
        <v>5700</v>
      </c>
      <c r="D5035">
        <v>1450</v>
      </c>
      <c r="E5035">
        <v>1199</v>
      </c>
      <c r="F5035" t="s">
        <v>5515</v>
      </c>
      <c r="G5035" t="s">
        <v>5701</v>
      </c>
    </row>
    <row r="5036" spans="1:7" x14ac:dyDescent="0.3">
      <c r="A5036">
        <v>5034</v>
      </c>
      <c r="B5036" t="s">
        <v>5709</v>
      </c>
      <c r="C5036" t="s">
        <v>5700</v>
      </c>
      <c r="D5036">
        <v>1500</v>
      </c>
      <c r="E5036">
        <v>1299</v>
      </c>
      <c r="F5036" t="s">
        <v>5509</v>
      </c>
      <c r="G5036" t="s">
        <v>5701</v>
      </c>
    </row>
    <row r="5037" spans="1:7" x14ac:dyDescent="0.3">
      <c r="A5037">
        <v>5035</v>
      </c>
      <c r="B5037" t="s">
        <v>5709</v>
      </c>
      <c r="C5037" t="s">
        <v>5700</v>
      </c>
      <c r="D5037">
        <v>1500</v>
      </c>
      <c r="E5037">
        <v>1299</v>
      </c>
      <c r="F5037" t="s">
        <v>5515</v>
      </c>
      <c r="G5037" t="s">
        <v>5701</v>
      </c>
    </row>
    <row r="5038" spans="1:7" x14ac:dyDescent="0.3">
      <c r="A5038">
        <v>5036</v>
      </c>
      <c r="B5038" t="s">
        <v>5710</v>
      </c>
      <c r="C5038" t="s">
        <v>5700</v>
      </c>
      <c r="D5038">
        <v>1500</v>
      </c>
      <c r="E5038">
        <v>1299</v>
      </c>
      <c r="F5038" t="s">
        <v>5509</v>
      </c>
      <c r="G5038" t="s">
        <v>5701</v>
      </c>
    </row>
    <row r="5039" spans="1:7" x14ac:dyDescent="0.3">
      <c r="A5039">
        <v>5037</v>
      </c>
      <c r="B5039" t="s">
        <v>5710</v>
      </c>
      <c r="C5039" t="s">
        <v>5700</v>
      </c>
      <c r="D5039">
        <v>1500</v>
      </c>
      <c r="E5039">
        <v>1299</v>
      </c>
      <c r="F5039" t="s">
        <v>5515</v>
      </c>
      <c r="G5039" t="s">
        <v>5701</v>
      </c>
    </row>
    <row r="5040" spans="1:7" x14ac:dyDescent="0.3">
      <c r="A5040">
        <v>5038</v>
      </c>
      <c r="B5040" t="s">
        <v>5711</v>
      </c>
      <c r="C5040" t="s">
        <v>5700</v>
      </c>
      <c r="D5040">
        <v>1700</v>
      </c>
      <c r="E5040">
        <v>1499</v>
      </c>
      <c r="F5040" t="s">
        <v>5509</v>
      </c>
      <c r="G5040" t="s">
        <v>5701</v>
      </c>
    </row>
    <row r="5041" spans="1:7" x14ac:dyDescent="0.3">
      <c r="A5041">
        <v>5039</v>
      </c>
      <c r="B5041" t="s">
        <v>5712</v>
      </c>
      <c r="C5041" t="s">
        <v>5700</v>
      </c>
      <c r="D5041">
        <v>1700</v>
      </c>
      <c r="E5041">
        <v>1499</v>
      </c>
      <c r="F5041" t="s">
        <v>5509</v>
      </c>
      <c r="G5041" t="s">
        <v>5701</v>
      </c>
    </row>
    <row r="5042" spans="1:7" x14ac:dyDescent="0.3">
      <c r="A5042">
        <v>5040</v>
      </c>
      <c r="B5042" t="s">
        <v>5712</v>
      </c>
      <c r="C5042" t="s">
        <v>5700</v>
      </c>
      <c r="D5042">
        <v>1700</v>
      </c>
      <c r="E5042">
        <v>1499</v>
      </c>
      <c r="F5042" t="s">
        <v>5515</v>
      </c>
      <c r="G5042" t="s">
        <v>5701</v>
      </c>
    </row>
    <row r="5043" spans="1:7" x14ac:dyDescent="0.3">
      <c r="A5043">
        <v>5041</v>
      </c>
      <c r="B5043" t="s">
        <v>5713</v>
      </c>
      <c r="C5043" t="s">
        <v>5700</v>
      </c>
      <c r="D5043">
        <v>1700</v>
      </c>
      <c r="E5043">
        <v>1499</v>
      </c>
      <c r="F5043" t="s">
        <v>5509</v>
      </c>
      <c r="G5043" t="s">
        <v>5701</v>
      </c>
    </row>
    <row r="5044" spans="1:7" x14ac:dyDescent="0.3">
      <c r="A5044">
        <v>5042</v>
      </c>
      <c r="B5044" t="s">
        <v>5713</v>
      </c>
      <c r="C5044" t="s">
        <v>5700</v>
      </c>
      <c r="D5044">
        <v>1700</v>
      </c>
      <c r="E5044">
        <v>1499</v>
      </c>
      <c r="F5044" t="s">
        <v>5515</v>
      </c>
      <c r="G5044" t="s">
        <v>5701</v>
      </c>
    </row>
    <row r="5045" spans="1:7" x14ac:dyDescent="0.3">
      <c r="A5045">
        <v>5043</v>
      </c>
      <c r="B5045" t="s">
        <v>5714</v>
      </c>
      <c r="C5045" t="s">
        <v>5700</v>
      </c>
      <c r="D5045">
        <v>550</v>
      </c>
      <c r="E5045">
        <v>479</v>
      </c>
      <c r="F5045" t="s">
        <v>5508</v>
      </c>
      <c r="G5045" t="s">
        <v>5701</v>
      </c>
    </row>
    <row r="5046" spans="1:7" x14ac:dyDescent="0.3">
      <c r="A5046">
        <v>5044</v>
      </c>
      <c r="B5046" t="s">
        <v>5714</v>
      </c>
      <c r="C5046" t="s">
        <v>5700</v>
      </c>
      <c r="D5046">
        <v>550</v>
      </c>
      <c r="E5046">
        <v>479</v>
      </c>
      <c r="F5046" t="s">
        <v>5509</v>
      </c>
      <c r="G5046" t="s">
        <v>5701</v>
      </c>
    </row>
    <row r="5047" spans="1:7" x14ac:dyDescent="0.3">
      <c r="A5047">
        <v>5045</v>
      </c>
      <c r="B5047" t="s">
        <v>5715</v>
      </c>
      <c r="C5047" t="s">
        <v>5700</v>
      </c>
      <c r="D5047">
        <v>550</v>
      </c>
      <c r="E5047">
        <v>479</v>
      </c>
      <c r="F5047" t="s">
        <v>5508</v>
      </c>
      <c r="G5047" t="s">
        <v>5701</v>
      </c>
    </row>
    <row r="5048" spans="1:7" x14ac:dyDescent="0.3">
      <c r="A5048">
        <v>5046</v>
      </c>
      <c r="B5048" t="s">
        <v>5715</v>
      </c>
      <c r="C5048" t="s">
        <v>5700</v>
      </c>
      <c r="D5048">
        <v>550</v>
      </c>
      <c r="E5048">
        <v>479</v>
      </c>
      <c r="F5048" t="s">
        <v>5509</v>
      </c>
      <c r="G5048" t="s">
        <v>5701</v>
      </c>
    </row>
    <row r="5049" spans="1:7" x14ac:dyDescent="0.3">
      <c r="A5049">
        <v>5047</v>
      </c>
      <c r="B5049" t="s">
        <v>5716</v>
      </c>
      <c r="C5049" t="s">
        <v>5700</v>
      </c>
      <c r="D5049">
        <v>1199</v>
      </c>
      <c r="E5049">
        <v>1049</v>
      </c>
      <c r="F5049" t="s">
        <v>5509</v>
      </c>
      <c r="G5049" t="s">
        <v>5701</v>
      </c>
    </row>
    <row r="5050" spans="1:7" x14ac:dyDescent="0.3">
      <c r="A5050">
        <v>5048</v>
      </c>
      <c r="B5050" t="s">
        <v>5716</v>
      </c>
      <c r="C5050" t="s">
        <v>5700</v>
      </c>
      <c r="D5050">
        <v>1199</v>
      </c>
      <c r="E5050">
        <v>1049</v>
      </c>
      <c r="F5050" t="s">
        <v>5717</v>
      </c>
      <c r="G5050" t="s">
        <v>5701</v>
      </c>
    </row>
    <row r="5051" spans="1:7" x14ac:dyDescent="0.3">
      <c r="A5051">
        <v>5049</v>
      </c>
      <c r="B5051" t="s">
        <v>5718</v>
      </c>
      <c r="C5051" t="s">
        <v>17</v>
      </c>
      <c r="D5051">
        <v>350</v>
      </c>
      <c r="E5051">
        <v>260</v>
      </c>
      <c r="F5051" t="s">
        <v>96</v>
      </c>
      <c r="G5051" t="s">
        <v>859</v>
      </c>
    </row>
    <row r="5052" spans="1:7" x14ac:dyDescent="0.3">
      <c r="A5052">
        <v>5050</v>
      </c>
      <c r="B5052" t="s">
        <v>5718</v>
      </c>
      <c r="C5052" t="s">
        <v>17</v>
      </c>
      <c r="D5052">
        <v>570</v>
      </c>
      <c r="E5052">
        <v>370</v>
      </c>
      <c r="F5052" t="s">
        <v>478</v>
      </c>
      <c r="G5052" t="s">
        <v>859</v>
      </c>
    </row>
    <row r="5053" spans="1:7" x14ac:dyDescent="0.3">
      <c r="A5053">
        <v>5051</v>
      </c>
      <c r="B5053" t="s">
        <v>5719</v>
      </c>
      <c r="C5053" t="s">
        <v>17</v>
      </c>
      <c r="D5053">
        <v>26</v>
      </c>
      <c r="E5053">
        <v>22</v>
      </c>
      <c r="F5053" t="s">
        <v>9</v>
      </c>
      <c r="G5053" t="s">
        <v>859</v>
      </c>
    </row>
    <row r="5054" spans="1:7" x14ac:dyDescent="0.3">
      <c r="A5054">
        <v>5052</v>
      </c>
      <c r="B5054" t="s">
        <v>5719</v>
      </c>
      <c r="C5054" t="s">
        <v>17</v>
      </c>
      <c r="D5054">
        <v>49</v>
      </c>
      <c r="E5054">
        <v>39</v>
      </c>
      <c r="F5054" t="s">
        <v>15</v>
      </c>
      <c r="G5054" t="s">
        <v>859</v>
      </c>
    </row>
    <row r="5055" spans="1:7" x14ac:dyDescent="0.3">
      <c r="A5055">
        <v>5053</v>
      </c>
      <c r="B5055" t="s">
        <v>5720</v>
      </c>
      <c r="C5055" t="s">
        <v>17</v>
      </c>
      <c r="D5055">
        <v>75</v>
      </c>
      <c r="E5055">
        <v>60</v>
      </c>
      <c r="F5055" t="s">
        <v>15</v>
      </c>
      <c r="G5055" t="s">
        <v>859</v>
      </c>
    </row>
    <row r="5056" spans="1:7" x14ac:dyDescent="0.3">
      <c r="A5056">
        <v>5054</v>
      </c>
      <c r="B5056" t="s">
        <v>5721</v>
      </c>
      <c r="C5056" t="s">
        <v>70</v>
      </c>
      <c r="D5056">
        <v>80</v>
      </c>
      <c r="E5056">
        <v>63</v>
      </c>
      <c r="F5056" t="s">
        <v>9</v>
      </c>
      <c r="G5056" t="s">
        <v>244</v>
      </c>
    </row>
    <row r="5057" spans="1:7" x14ac:dyDescent="0.3">
      <c r="A5057">
        <v>5055</v>
      </c>
      <c r="B5057" t="s">
        <v>5722</v>
      </c>
      <c r="C5057" t="s">
        <v>2912</v>
      </c>
      <c r="D5057">
        <v>75</v>
      </c>
      <c r="E5057">
        <v>37</v>
      </c>
      <c r="F5057" t="s">
        <v>9</v>
      </c>
      <c r="G5057" t="s">
        <v>244</v>
      </c>
    </row>
    <row r="5058" spans="1:7" x14ac:dyDescent="0.3">
      <c r="A5058">
        <v>5056</v>
      </c>
      <c r="B5058" t="s">
        <v>5723</v>
      </c>
      <c r="C5058" t="s">
        <v>17</v>
      </c>
      <c r="D5058">
        <v>93</v>
      </c>
      <c r="E5058">
        <v>76</v>
      </c>
      <c r="F5058" t="s">
        <v>9</v>
      </c>
      <c r="G5058" t="s">
        <v>865</v>
      </c>
    </row>
    <row r="5059" spans="1:7" x14ac:dyDescent="0.3">
      <c r="A5059">
        <v>5057</v>
      </c>
      <c r="B5059" t="s">
        <v>5724</v>
      </c>
      <c r="C5059" t="s">
        <v>1436</v>
      </c>
      <c r="D5059">
        <v>60</v>
      </c>
      <c r="E5059">
        <v>45</v>
      </c>
      <c r="F5059" t="s">
        <v>1953</v>
      </c>
      <c r="G5059" t="s">
        <v>5725</v>
      </c>
    </row>
    <row r="5060" spans="1:7" x14ac:dyDescent="0.3">
      <c r="A5060">
        <v>5058</v>
      </c>
      <c r="B5060" t="s">
        <v>5726</v>
      </c>
      <c r="C5060" t="s">
        <v>17</v>
      </c>
      <c r="D5060">
        <v>26</v>
      </c>
      <c r="E5060">
        <v>22</v>
      </c>
      <c r="F5060" t="s">
        <v>9</v>
      </c>
      <c r="G5060" t="s">
        <v>859</v>
      </c>
    </row>
    <row r="5061" spans="1:7" x14ac:dyDescent="0.3">
      <c r="A5061">
        <v>5059</v>
      </c>
      <c r="B5061" t="s">
        <v>5726</v>
      </c>
      <c r="C5061" t="s">
        <v>17</v>
      </c>
      <c r="D5061">
        <v>51</v>
      </c>
      <c r="E5061">
        <v>45</v>
      </c>
      <c r="F5061" t="s">
        <v>15</v>
      </c>
      <c r="G5061" t="s">
        <v>859</v>
      </c>
    </row>
    <row r="5062" spans="1:7" x14ac:dyDescent="0.3">
      <c r="A5062">
        <v>5060</v>
      </c>
      <c r="B5062" t="s">
        <v>5727</v>
      </c>
      <c r="C5062" t="s">
        <v>994</v>
      </c>
      <c r="D5062">
        <v>60</v>
      </c>
      <c r="E5062">
        <v>39</v>
      </c>
      <c r="F5062" t="s">
        <v>715</v>
      </c>
      <c r="G5062" t="s">
        <v>5725</v>
      </c>
    </row>
    <row r="5063" spans="1:7" x14ac:dyDescent="0.3">
      <c r="A5063">
        <v>5061</v>
      </c>
      <c r="B5063" t="s">
        <v>5728</v>
      </c>
      <c r="C5063" t="s">
        <v>4138</v>
      </c>
      <c r="D5063">
        <v>140</v>
      </c>
      <c r="E5063">
        <v>70</v>
      </c>
      <c r="F5063" t="s">
        <v>1194</v>
      </c>
      <c r="G5063" t="s">
        <v>5066</v>
      </c>
    </row>
    <row r="5064" spans="1:7" x14ac:dyDescent="0.3">
      <c r="A5064">
        <v>5062</v>
      </c>
      <c r="B5064" t="s">
        <v>5728</v>
      </c>
      <c r="C5064" t="s">
        <v>4138</v>
      </c>
      <c r="D5064">
        <v>35</v>
      </c>
      <c r="E5064">
        <v>20</v>
      </c>
      <c r="F5064" t="s">
        <v>4379</v>
      </c>
      <c r="G5064" t="s">
        <v>5066</v>
      </c>
    </row>
    <row r="5065" spans="1:7" x14ac:dyDescent="0.3">
      <c r="A5065">
        <v>5063</v>
      </c>
      <c r="B5065" t="s">
        <v>5729</v>
      </c>
      <c r="C5065" t="s">
        <v>4225</v>
      </c>
      <c r="D5065">
        <v>115</v>
      </c>
      <c r="E5065">
        <v>85</v>
      </c>
      <c r="F5065" t="s">
        <v>1194</v>
      </c>
      <c r="G5065" t="s">
        <v>5066</v>
      </c>
    </row>
    <row r="5066" spans="1:7" x14ac:dyDescent="0.3">
      <c r="A5066">
        <v>5064</v>
      </c>
      <c r="B5066" t="s">
        <v>5730</v>
      </c>
      <c r="C5066" t="s">
        <v>5731</v>
      </c>
      <c r="D5066">
        <v>90</v>
      </c>
      <c r="E5066">
        <v>83</v>
      </c>
      <c r="F5066" t="s">
        <v>1413</v>
      </c>
      <c r="G5066" t="s">
        <v>244</v>
      </c>
    </row>
    <row r="5067" spans="1:7" x14ac:dyDescent="0.3">
      <c r="A5067">
        <v>5065</v>
      </c>
      <c r="B5067" t="s">
        <v>5732</v>
      </c>
      <c r="C5067" t="s">
        <v>28</v>
      </c>
      <c r="D5067">
        <v>58</v>
      </c>
      <c r="E5067">
        <v>53</v>
      </c>
      <c r="F5067" t="s">
        <v>9</v>
      </c>
      <c r="G5067" t="s">
        <v>244</v>
      </c>
    </row>
    <row r="5068" spans="1:7" x14ac:dyDescent="0.3">
      <c r="A5068">
        <v>5066</v>
      </c>
      <c r="B5068" t="s">
        <v>5733</v>
      </c>
      <c r="C5068" t="s">
        <v>994</v>
      </c>
      <c r="D5068">
        <v>20</v>
      </c>
      <c r="E5068">
        <v>13</v>
      </c>
      <c r="F5068" t="s">
        <v>814</v>
      </c>
      <c r="G5068" t="s">
        <v>5725</v>
      </c>
    </row>
    <row r="5069" spans="1:7" x14ac:dyDescent="0.3">
      <c r="A5069">
        <v>5067</v>
      </c>
      <c r="B5069" t="s">
        <v>5734</v>
      </c>
      <c r="C5069" t="s">
        <v>4138</v>
      </c>
      <c r="D5069">
        <v>25</v>
      </c>
      <c r="E5069">
        <v>17</v>
      </c>
      <c r="F5069" t="s">
        <v>2599</v>
      </c>
      <c r="G5069" t="s">
        <v>5066</v>
      </c>
    </row>
    <row r="5070" spans="1:7" x14ac:dyDescent="0.3">
      <c r="A5070">
        <v>5068</v>
      </c>
      <c r="B5070" t="s">
        <v>5734</v>
      </c>
      <c r="C5070" t="s">
        <v>4138</v>
      </c>
      <c r="D5070">
        <v>50</v>
      </c>
      <c r="E5070">
        <v>24</v>
      </c>
      <c r="F5070" t="s">
        <v>4163</v>
      </c>
      <c r="G5070" t="s">
        <v>5066</v>
      </c>
    </row>
    <row r="5071" spans="1:7" x14ac:dyDescent="0.3">
      <c r="A5071">
        <v>5069</v>
      </c>
      <c r="B5071" t="s">
        <v>5734</v>
      </c>
      <c r="C5071" t="s">
        <v>4138</v>
      </c>
      <c r="D5071">
        <v>250</v>
      </c>
      <c r="E5071">
        <v>92</v>
      </c>
      <c r="F5071" t="s">
        <v>391</v>
      </c>
      <c r="G5071" t="s">
        <v>5066</v>
      </c>
    </row>
    <row r="5072" spans="1:7" x14ac:dyDescent="0.3">
      <c r="A5072">
        <v>5070</v>
      </c>
      <c r="B5072" t="s">
        <v>5735</v>
      </c>
      <c r="C5072" t="s">
        <v>78</v>
      </c>
      <c r="D5072">
        <v>140</v>
      </c>
      <c r="E5072">
        <v>98</v>
      </c>
      <c r="F5072" t="s">
        <v>15</v>
      </c>
      <c r="G5072" t="s">
        <v>244</v>
      </c>
    </row>
    <row r="5073" spans="1:7" x14ac:dyDescent="0.3">
      <c r="A5073">
        <v>5071</v>
      </c>
      <c r="B5073" t="s">
        <v>5736</v>
      </c>
      <c r="C5073" t="s">
        <v>3132</v>
      </c>
      <c r="D5073">
        <v>945</v>
      </c>
      <c r="E5073">
        <v>849</v>
      </c>
      <c r="F5073" t="s">
        <v>3004</v>
      </c>
      <c r="G5073" t="s">
        <v>2936</v>
      </c>
    </row>
    <row r="5074" spans="1:7" x14ac:dyDescent="0.3">
      <c r="A5074">
        <v>5072</v>
      </c>
      <c r="B5074" t="s">
        <v>5737</v>
      </c>
      <c r="C5074" t="s">
        <v>396</v>
      </c>
      <c r="D5074">
        <v>250</v>
      </c>
      <c r="E5074">
        <v>189</v>
      </c>
      <c r="F5074" t="s">
        <v>201</v>
      </c>
      <c r="G5074" t="s">
        <v>1954</v>
      </c>
    </row>
    <row r="5075" spans="1:7" x14ac:dyDescent="0.3">
      <c r="A5075">
        <v>5073</v>
      </c>
      <c r="B5075" t="s">
        <v>5738</v>
      </c>
      <c r="C5075" t="s">
        <v>4027</v>
      </c>
      <c r="D5075">
        <v>160</v>
      </c>
      <c r="E5075">
        <v>126</v>
      </c>
      <c r="F5075" t="s">
        <v>720</v>
      </c>
      <c r="G5075" t="s">
        <v>2936</v>
      </c>
    </row>
    <row r="5076" spans="1:7" x14ac:dyDescent="0.3">
      <c r="A5076">
        <v>5074</v>
      </c>
      <c r="B5076" t="s">
        <v>5739</v>
      </c>
      <c r="C5076" t="s">
        <v>3913</v>
      </c>
      <c r="D5076">
        <v>829</v>
      </c>
      <c r="E5076">
        <v>629</v>
      </c>
      <c r="F5076" t="s">
        <v>2712</v>
      </c>
      <c r="G5076" t="s">
        <v>2936</v>
      </c>
    </row>
    <row r="5077" spans="1:7" x14ac:dyDescent="0.3">
      <c r="A5077">
        <v>5075</v>
      </c>
      <c r="B5077" t="s">
        <v>5740</v>
      </c>
      <c r="C5077" t="s">
        <v>5741</v>
      </c>
      <c r="D5077">
        <v>235</v>
      </c>
      <c r="E5077">
        <v>218</v>
      </c>
      <c r="F5077" t="s">
        <v>3151</v>
      </c>
      <c r="G5077" t="s">
        <v>5066</v>
      </c>
    </row>
    <row r="5078" spans="1:7" x14ac:dyDescent="0.3">
      <c r="A5078">
        <v>5076</v>
      </c>
      <c r="B5078" t="s">
        <v>5742</v>
      </c>
      <c r="C5078" t="s">
        <v>4027</v>
      </c>
      <c r="D5078">
        <v>40</v>
      </c>
      <c r="E5078">
        <v>36</v>
      </c>
      <c r="F5078" t="s">
        <v>1697</v>
      </c>
      <c r="G5078" t="s">
        <v>2936</v>
      </c>
    </row>
    <row r="5079" spans="1:7" x14ac:dyDescent="0.3">
      <c r="A5079">
        <v>5077</v>
      </c>
      <c r="B5079" t="s">
        <v>5743</v>
      </c>
      <c r="C5079" t="s">
        <v>1349</v>
      </c>
      <c r="D5079">
        <v>40</v>
      </c>
      <c r="E5079">
        <v>30</v>
      </c>
      <c r="F5079" t="s">
        <v>715</v>
      </c>
      <c r="G5079" t="s">
        <v>5725</v>
      </c>
    </row>
    <row r="5080" spans="1:7" x14ac:dyDescent="0.3">
      <c r="A5080">
        <v>5078</v>
      </c>
      <c r="B5080" t="s">
        <v>5744</v>
      </c>
      <c r="C5080" t="s">
        <v>3640</v>
      </c>
      <c r="D5080">
        <v>175</v>
      </c>
      <c r="E5080">
        <v>129</v>
      </c>
      <c r="F5080" t="s">
        <v>3575</v>
      </c>
      <c r="G5080" t="s">
        <v>5561</v>
      </c>
    </row>
    <row r="5081" spans="1:7" x14ac:dyDescent="0.3">
      <c r="A5081">
        <v>5079</v>
      </c>
      <c r="B5081" t="s">
        <v>5745</v>
      </c>
      <c r="C5081" t="s">
        <v>4027</v>
      </c>
      <c r="D5081">
        <v>200</v>
      </c>
      <c r="E5081">
        <v>157</v>
      </c>
      <c r="F5081" t="s">
        <v>1015</v>
      </c>
      <c r="G5081" t="s">
        <v>2936</v>
      </c>
    </row>
    <row r="5082" spans="1:7" x14ac:dyDescent="0.3">
      <c r="A5082">
        <v>5080</v>
      </c>
      <c r="B5082" t="s">
        <v>5746</v>
      </c>
      <c r="C5082" t="s">
        <v>994</v>
      </c>
      <c r="D5082">
        <v>50</v>
      </c>
      <c r="E5082">
        <v>25</v>
      </c>
      <c r="F5082" t="s">
        <v>709</v>
      </c>
      <c r="G5082" t="s">
        <v>5725</v>
      </c>
    </row>
    <row r="5083" spans="1:7" x14ac:dyDescent="0.3">
      <c r="A5083">
        <v>5081</v>
      </c>
      <c r="B5083" t="s">
        <v>5747</v>
      </c>
      <c r="C5083" t="s">
        <v>994</v>
      </c>
      <c r="D5083">
        <v>15</v>
      </c>
      <c r="E5083">
        <v>13</v>
      </c>
      <c r="F5083" t="s">
        <v>216</v>
      </c>
      <c r="G5083" t="s">
        <v>5725</v>
      </c>
    </row>
    <row r="5084" spans="1:7" x14ac:dyDescent="0.3">
      <c r="A5084">
        <v>5082</v>
      </c>
      <c r="B5084" t="s">
        <v>5748</v>
      </c>
      <c r="C5084" t="s">
        <v>994</v>
      </c>
      <c r="D5084">
        <v>50</v>
      </c>
      <c r="E5084">
        <v>25</v>
      </c>
      <c r="F5084" t="s">
        <v>709</v>
      </c>
      <c r="G5084" t="s">
        <v>5725</v>
      </c>
    </row>
    <row r="5085" spans="1:7" x14ac:dyDescent="0.3">
      <c r="A5085">
        <v>5083</v>
      </c>
      <c r="B5085" t="s">
        <v>5749</v>
      </c>
      <c r="C5085" t="s">
        <v>957</v>
      </c>
      <c r="D5085">
        <v>303</v>
      </c>
      <c r="E5085">
        <v>303</v>
      </c>
      <c r="F5085" t="s">
        <v>1371</v>
      </c>
      <c r="G5085" t="s">
        <v>5187</v>
      </c>
    </row>
    <row r="5086" spans="1:7" x14ac:dyDescent="0.3">
      <c r="A5086">
        <v>5084</v>
      </c>
      <c r="B5086" t="s">
        <v>5750</v>
      </c>
      <c r="C5086" t="s">
        <v>5751</v>
      </c>
      <c r="D5086">
        <v>230</v>
      </c>
      <c r="E5086">
        <v>202</v>
      </c>
      <c r="F5086" t="s">
        <v>5752</v>
      </c>
      <c r="G5086" t="s">
        <v>5561</v>
      </c>
    </row>
    <row r="5087" spans="1:7" x14ac:dyDescent="0.3">
      <c r="A5087">
        <v>5085</v>
      </c>
      <c r="B5087" t="s">
        <v>5753</v>
      </c>
      <c r="C5087" t="s">
        <v>5741</v>
      </c>
      <c r="D5087">
        <v>235</v>
      </c>
      <c r="E5087">
        <v>216</v>
      </c>
      <c r="F5087" t="s">
        <v>3151</v>
      </c>
      <c r="G5087" t="s">
        <v>5066</v>
      </c>
    </row>
    <row r="5088" spans="1:7" x14ac:dyDescent="0.3">
      <c r="A5088">
        <v>5086</v>
      </c>
      <c r="B5088" t="s">
        <v>5754</v>
      </c>
      <c r="C5088" t="s">
        <v>994</v>
      </c>
      <c r="D5088">
        <v>15</v>
      </c>
      <c r="E5088">
        <v>13</v>
      </c>
      <c r="F5088" t="s">
        <v>216</v>
      </c>
      <c r="G5088" t="s">
        <v>5725</v>
      </c>
    </row>
    <row r="5089" spans="1:7" x14ac:dyDescent="0.3">
      <c r="A5089">
        <v>5087</v>
      </c>
      <c r="B5089" t="s">
        <v>5755</v>
      </c>
      <c r="C5089" t="s">
        <v>3579</v>
      </c>
      <c r="D5089">
        <v>3429</v>
      </c>
      <c r="E5089">
        <v>2099</v>
      </c>
      <c r="F5089" t="s">
        <v>5756</v>
      </c>
      <c r="G5089" t="s">
        <v>5479</v>
      </c>
    </row>
    <row r="5090" spans="1:7" x14ac:dyDescent="0.3">
      <c r="A5090">
        <v>5088</v>
      </c>
      <c r="B5090" t="s">
        <v>5757</v>
      </c>
      <c r="C5090" t="s">
        <v>5758</v>
      </c>
      <c r="D5090">
        <v>60</v>
      </c>
      <c r="E5090">
        <v>48</v>
      </c>
      <c r="F5090" t="s">
        <v>3230</v>
      </c>
      <c r="G5090" t="s">
        <v>5561</v>
      </c>
    </row>
    <row r="5091" spans="1:7" x14ac:dyDescent="0.3">
      <c r="A5091">
        <v>5089</v>
      </c>
      <c r="B5091" t="s">
        <v>5759</v>
      </c>
      <c r="C5091" t="s">
        <v>5758</v>
      </c>
      <c r="D5091">
        <v>60</v>
      </c>
      <c r="E5091">
        <v>53</v>
      </c>
      <c r="F5091" t="s">
        <v>3230</v>
      </c>
      <c r="G5091" t="s">
        <v>5561</v>
      </c>
    </row>
    <row r="5092" spans="1:7" x14ac:dyDescent="0.3">
      <c r="A5092">
        <v>5090</v>
      </c>
      <c r="B5092" t="s">
        <v>5760</v>
      </c>
      <c r="C5092" t="s">
        <v>5761</v>
      </c>
      <c r="D5092">
        <v>80</v>
      </c>
      <c r="E5092">
        <v>60</v>
      </c>
      <c r="F5092" t="s">
        <v>5762</v>
      </c>
      <c r="G5092" t="s">
        <v>5561</v>
      </c>
    </row>
    <row r="5093" spans="1:7" x14ac:dyDescent="0.3">
      <c r="A5093">
        <v>5091</v>
      </c>
      <c r="B5093" t="s">
        <v>5763</v>
      </c>
      <c r="C5093" t="s">
        <v>28</v>
      </c>
      <c r="D5093">
        <v>14</v>
      </c>
      <c r="E5093">
        <v>13</v>
      </c>
      <c r="F5093" t="s">
        <v>11</v>
      </c>
      <c r="G5093" t="s">
        <v>244</v>
      </c>
    </row>
    <row r="5094" spans="1:7" x14ac:dyDescent="0.3">
      <c r="A5094">
        <v>5092</v>
      </c>
      <c r="B5094" t="s">
        <v>5764</v>
      </c>
      <c r="C5094" t="s">
        <v>24</v>
      </c>
      <c r="D5094">
        <v>130</v>
      </c>
      <c r="E5094">
        <v>99</v>
      </c>
      <c r="F5094" t="s">
        <v>11</v>
      </c>
      <c r="G5094" t="s">
        <v>244</v>
      </c>
    </row>
    <row r="5095" spans="1:7" x14ac:dyDescent="0.3">
      <c r="A5095">
        <v>5093</v>
      </c>
      <c r="B5095" t="s">
        <v>5765</v>
      </c>
      <c r="C5095" t="s">
        <v>5741</v>
      </c>
      <c r="D5095">
        <v>235</v>
      </c>
      <c r="E5095">
        <v>218</v>
      </c>
      <c r="F5095" t="s">
        <v>3151</v>
      </c>
      <c r="G5095" t="s">
        <v>5066</v>
      </c>
    </row>
    <row r="5096" spans="1:7" x14ac:dyDescent="0.3">
      <c r="A5096">
        <v>5094</v>
      </c>
      <c r="B5096" t="s">
        <v>5766</v>
      </c>
      <c r="C5096" t="s">
        <v>5761</v>
      </c>
      <c r="D5096">
        <v>60</v>
      </c>
      <c r="E5096">
        <v>55</v>
      </c>
      <c r="F5096" t="s">
        <v>3230</v>
      </c>
      <c r="G5096" t="s">
        <v>5561</v>
      </c>
    </row>
    <row r="5097" spans="1:7" x14ac:dyDescent="0.3">
      <c r="A5097">
        <v>5095</v>
      </c>
      <c r="B5097" t="s">
        <v>5767</v>
      </c>
      <c r="C5097" t="s">
        <v>5741</v>
      </c>
      <c r="D5097">
        <v>80</v>
      </c>
      <c r="E5097">
        <v>74</v>
      </c>
      <c r="F5097" t="s">
        <v>613</v>
      </c>
      <c r="G5097" t="s">
        <v>5066</v>
      </c>
    </row>
    <row r="5098" spans="1:7" x14ac:dyDescent="0.3">
      <c r="A5098">
        <v>5096</v>
      </c>
      <c r="B5098" t="s">
        <v>5768</v>
      </c>
      <c r="C5098" t="s">
        <v>5741</v>
      </c>
      <c r="D5098">
        <v>80</v>
      </c>
      <c r="E5098">
        <v>74</v>
      </c>
      <c r="F5098" t="s">
        <v>613</v>
      </c>
      <c r="G5098" t="s">
        <v>5066</v>
      </c>
    </row>
    <row r="5099" spans="1:7" x14ac:dyDescent="0.3">
      <c r="A5099">
        <v>5097</v>
      </c>
      <c r="B5099" t="s">
        <v>5769</v>
      </c>
      <c r="C5099" t="s">
        <v>5770</v>
      </c>
      <c r="D5099">
        <v>85</v>
      </c>
      <c r="E5099">
        <v>64</v>
      </c>
      <c r="F5099" t="s">
        <v>5762</v>
      </c>
      <c r="G5099" t="s">
        <v>5561</v>
      </c>
    </row>
    <row r="5100" spans="1:7" x14ac:dyDescent="0.3">
      <c r="A5100">
        <v>5098</v>
      </c>
      <c r="B5100" t="s">
        <v>5771</v>
      </c>
      <c r="C5100" t="s">
        <v>2864</v>
      </c>
      <c r="D5100">
        <v>25</v>
      </c>
      <c r="E5100">
        <v>24</v>
      </c>
      <c r="F5100" t="s">
        <v>2599</v>
      </c>
      <c r="G5100" t="s">
        <v>5066</v>
      </c>
    </row>
    <row r="5101" spans="1:7" x14ac:dyDescent="0.3">
      <c r="A5101">
        <v>5099</v>
      </c>
      <c r="B5101" t="s">
        <v>5771</v>
      </c>
      <c r="C5101" t="s">
        <v>2864</v>
      </c>
      <c r="D5101">
        <v>100</v>
      </c>
      <c r="E5101">
        <v>93</v>
      </c>
      <c r="F5101" t="s">
        <v>399</v>
      </c>
      <c r="G5101" t="s">
        <v>5066</v>
      </c>
    </row>
    <row r="5102" spans="1:7" x14ac:dyDescent="0.3">
      <c r="A5102">
        <v>5100</v>
      </c>
      <c r="B5102" t="s">
        <v>5772</v>
      </c>
      <c r="C5102" t="s">
        <v>5770</v>
      </c>
      <c r="D5102">
        <v>60</v>
      </c>
      <c r="E5102">
        <v>45</v>
      </c>
      <c r="F5102" t="s">
        <v>5762</v>
      </c>
      <c r="G5102" t="s">
        <v>5561</v>
      </c>
    </row>
    <row r="5103" spans="1:7" x14ac:dyDescent="0.3">
      <c r="A5103">
        <v>5101</v>
      </c>
      <c r="B5103" t="s">
        <v>5773</v>
      </c>
      <c r="C5103" t="s">
        <v>5761</v>
      </c>
      <c r="D5103">
        <v>70</v>
      </c>
      <c r="E5103">
        <v>65</v>
      </c>
      <c r="F5103" t="s">
        <v>3230</v>
      </c>
      <c r="G5103" t="s">
        <v>5561</v>
      </c>
    </row>
    <row r="5104" spans="1:7" x14ac:dyDescent="0.3">
      <c r="A5104">
        <v>5102</v>
      </c>
      <c r="B5104" t="s">
        <v>5774</v>
      </c>
      <c r="C5104" t="s">
        <v>3640</v>
      </c>
      <c r="D5104">
        <v>50</v>
      </c>
      <c r="E5104">
        <v>45</v>
      </c>
      <c r="F5104" t="s">
        <v>2960</v>
      </c>
      <c r="G5104" t="s">
        <v>5561</v>
      </c>
    </row>
    <row r="5105" spans="1:7" x14ac:dyDescent="0.3">
      <c r="A5105">
        <v>5103</v>
      </c>
      <c r="B5105" t="s">
        <v>5775</v>
      </c>
      <c r="C5105" t="s">
        <v>3640</v>
      </c>
      <c r="D5105">
        <v>35</v>
      </c>
      <c r="E5105">
        <v>31</v>
      </c>
      <c r="F5105" t="s">
        <v>2960</v>
      </c>
      <c r="G5105" t="s">
        <v>5561</v>
      </c>
    </row>
    <row r="5106" spans="1:7" x14ac:dyDescent="0.3">
      <c r="A5106">
        <v>5104</v>
      </c>
      <c r="B5106" t="s">
        <v>5776</v>
      </c>
      <c r="C5106" t="s">
        <v>5511</v>
      </c>
      <c r="D5106">
        <v>99</v>
      </c>
      <c r="E5106">
        <v>79</v>
      </c>
      <c r="F5106" t="s">
        <v>3092</v>
      </c>
      <c r="G5106" t="s">
        <v>5503</v>
      </c>
    </row>
    <row r="5107" spans="1:7" x14ac:dyDescent="0.3">
      <c r="A5107">
        <v>5105</v>
      </c>
      <c r="B5107" t="s">
        <v>5777</v>
      </c>
      <c r="C5107" t="s">
        <v>5778</v>
      </c>
      <c r="D5107">
        <v>130</v>
      </c>
      <c r="E5107">
        <v>104</v>
      </c>
      <c r="F5107" t="s">
        <v>2712</v>
      </c>
      <c r="G5107" t="s">
        <v>5561</v>
      </c>
    </row>
    <row r="5108" spans="1:7" x14ac:dyDescent="0.3">
      <c r="A5108">
        <v>5106</v>
      </c>
      <c r="B5108" t="s">
        <v>5779</v>
      </c>
      <c r="C5108" t="s">
        <v>5778</v>
      </c>
      <c r="D5108">
        <v>149</v>
      </c>
      <c r="E5108">
        <v>131</v>
      </c>
      <c r="F5108" t="s">
        <v>2712</v>
      </c>
      <c r="G5108" t="s">
        <v>5561</v>
      </c>
    </row>
    <row r="5109" spans="1:7" x14ac:dyDescent="0.3">
      <c r="A5109">
        <v>5107</v>
      </c>
      <c r="B5109" t="s">
        <v>5780</v>
      </c>
      <c r="C5109" t="s">
        <v>5778</v>
      </c>
      <c r="D5109">
        <v>199</v>
      </c>
      <c r="E5109">
        <v>175</v>
      </c>
      <c r="F5109" t="s">
        <v>2712</v>
      </c>
      <c r="G5109" t="s">
        <v>5561</v>
      </c>
    </row>
    <row r="5110" spans="1:7" x14ac:dyDescent="0.3">
      <c r="A5110">
        <v>5108</v>
      </c>
      <c r="B5110" t="s">
        <v>5760</v>
      </c>
      <c r="C5110" t="s">
        <v>5761</v>
      </c>
      <c r="D5110">
        <v>60</v>
      </c>
      <c r="E5110">
        <v>45</v>
      </c>
      <c r="F5110" t="s">
        <v>5762</v>
      </c>
      <c r="G5110" t="s">
        <v>5561</v>
      </c>
    </row>
    <row r="5111" spans="1:7" x14ac:dyDescent="0.3">
      <c r="A5111">
        <v>5109</v>
      </c>
      <c r="B5111" t="s">
        <v>5781</v>
      </c>
      <c r="C5111" t="s">
        <v>5741</v>
      </c>
      <c r="D5111">
        <v>245</v>
      </c>
      <c r="E5111">
        <v>225</v>
      </c>
      <c r="F5111" t="s">
        <v>11</v>
      </c>
      <c r="G5111" t="s">
        <v>5066</v>
      </c>
    </row>
    <row r="5112" spans="1:7" x14ac:dyDescent="0.3">
      <c r="A5112">
        <v>5110</v>
      </c>
      <c r="B5112" t="s">
        <v>5782</v>
      </c>
      <c r="C5112" t="s">
        <v>5770</v>
      </c>
      <c r="D5112">
        <v>65</v>
      </c>
      <c r="E5112">
        <v>48</v>
      </c>
      <c r="F5112" t="s">
        <v>5762</v>
      </c>
      <c r="G5112" t="s">
        <v>5561</v>
      </c>
    </row>
    <row r="5113" spans="1:7" x14ac:dyDescent="0.3">
      <c r="A5113">
        <v>5111</v>
      </c>
      <c r="B5113" t="s">
        <v>5783</v>
      </c>
      <c r="C5113" t="s">
        <v>5511</v>
      </c>
      <c r="D5113">
        <v>99</v>
      </c>
      <c r="E5113">
        <v>79</v>
      </c>
      <c r="F5113" t="s">
        <v>3092</v>
      </c>
      <c r="G5113" t="s">
        <v>5503</v>
      </c>
    </row>
    <row r="5114" spans="1:7" x14ac:dyDescent="0.3">
      <c r="A5114">
        <v>5112</v>
      </c>
      <c r="B5114" t="s">
        <v>5784</v>
      </c>
      <c r="C5114" t="s">
        <v>2932</v>
      </c>
      <c r="D5114">
        <v>25</v>
      </c>
      <c r="E5114">
        <v>22</v>
      </c>
      <c r="F5114" t="s">
        <v>4425</v>
      </c>
      <c r="G5114" t="s">
        <v>5561</v>
      </c>
    </row>
    <row r="5115" spans="1:7" x14ac:dyDescent="0.3">
      <c r="A5115">
        <v>5113</v>
      </c>
      <c r="B5115" t="s">
        <v>5785</v>
      </c>
      <c r="C5115" t="s">
        <v>396</v>
      </c>
      <c r="D5115">
        <v>250</v>
      </c>
      <c r="E5115">
        <v>185</v>
      </c>
      <c r="F5115" t="s">
        <v>201</v>
      </c>
      <c r="G5115" t="s">
        <v>1954</v>
      </c>
    </row>
    <row r="5116" spans="1:7" x14ac:dyDescent="0.3">
      <c r="A5116">
        <v>5114</v>
      </c>
      <c r="B5116" t="s">
        <v>5786</v>
      </c>
      <c r="C5116" t="s">
        <v>4068</v>
      </c>
      <c r="D5116">
        <v>25</v>
      </c>
      <c r="E5116">
        <v>23</v>
      </c>
      <c r="F5116" t="s">
        <v>2599</v>
      </c>
      <c r="G5116" t="s">
        <v>5066</v>
      </c>
    </row>
    <row r="5117" spans="1:7" x14ac:dyDescent="0.3">
      <c r="A5117">
        <v>5115</v>
      </c>
      <c r="B5117" t="s">
        <v>5786</v>
      </c>
      <c r="C5117" t="s">
        <v>4068</v>
      </c>
      <c r="D5117">
        <v>95</v>
      </c>
      <c r="E5117">
        <v>88</v>
      </c>
      <c r="F5117" t="s">
        <v>4636</v>
      </c>
      <c r="G5117" t="s">
        <v>5066</v>
      </c>
    </row>
    <row r="5118" spans="1:7" x14ac:dyDescent="0.3">
      <c r="A5118">
        <v>5116</v>
      </c>
      <c r="B5118" t="s">
        <v>5787</v>
      </c>
      <c r="C5118" t="s">
        <v>5778</v>
      </c>
      <c r="D5118">
        <v>60</v>
      </c>
      <c r="E5118">
        <v>48</v>
      </c>
      <c r="F5118" t="s">
        <v>3004</v>
      </c>
      <c r="G5118" t="s">
        <v>5561</v>
      </c>
    </row>
    <row r="5119" spans="1:7" x14ac:dyDescent="0.3">
      <c r="A5119">
        <v>5117</v>
      </c>
      <c r="B5119" t="s">
        <v>5788</v>
      </c>
      <c r="C5119" t="s">
        <v>5741</v>
      </c>
      <c r="D5119">
        <v>245</v>
      </c>
      <c r="E5119">
        <v>225</v>
      </c>
      <c r="F5119" t="s">
        <v>11</v>
      </c>
      <c r="G5119" t="s">
        <v>5066</v>
      </c>
    </row>
    <row r="5120" spans="1:7" x14ac:dyDescent="0.3">
      <c r="A5120">
        <v>5118</v>
      </c>
      <c r="B5120" t="s">
        <v>5789</v>
      </c>
      <c r="C5120" t="s">
        <v>5790</v>
      </c>
      <c r="D5120">
        <v>550</v>
      </c>
      <c r="E5120">
        <v>511</v>
      </c>
      <c r="F5120" t="s">
        <v>5791</v>
      </c>
      <c r="G5120" t="s">
        <v>2936</v>
      </c>
    </row>
    <row r="5121" spans="1:7" x14ac:dyDescent="0.3">
      <c r="A5121">
        <v>5119</v>
      </c>
      <c r="B5121" t="s">
        <v>5792</v>
      </c>
      <c r="C5121" t="s">
        <v>2932</v>
      </c>
      <c r="D5121">
        <v>275</v>
      </c>
      <c r="E5121">
        <v>249</v>
      </c>
      <c r="F5121" t="s">
        <v>2712</v>
      </c>
      <c r="G5121" t="s">
        <v>5561</v>
      </c>
    </row>
    <row r="5122" spans="1:7" x14ac:dyDescent="0.3">
      <c r="A5122">
        <v>5120</v>
      </c>
      <c r="B5122" t="s">
        <v>5793</v>
      </c>
      <c r="C5122" t="s">
        <v>2932</v>
      </c>
      <c r="D5122">
        <v>35</v>
      </c>
      <c r="E5122">
        <v>31</v>
      </c>
      <c r="F5122" t="s">
        <v>709</v>
      </c>
      <c r="G5122" t="s">
        <v>5187</v>
      </c>
    </row>
    <row r="5123" spans="1:7" x14ac:dyDescent="0.3">
      <c r="A5123">
        <v>5121</v>
      </c>
      <c r="B5123" t="s">
        <v>5794</v>
      </c>
      <c r="C5123" t="s">
        <v>5778</v>
      </c>
      <c r="D5123">
        <v>125</v>
      </c>
      <c r="E5123">
        <v>94</v>
      </c>
      <c r="F5123" t="s">
        <v>3004</v>
      </c>
      <c r="G5123" t="s">
        <v>5561</v>
      </c>
    </row>
    <row r="5124" spans="1:7" x14ac:dyDescent="0.3">
      <c r="A5124">
        <v>5122</v>
      </c>
      <c r="B5124" t="s">
        <v>5795</v>
      </c>
      <c r="C5124" t="s">
        <v>2864</v>
      </c>
      <c r="D5124">
        <v>99</v>
      </c>
      <c r="E5124">
        <v>92</v>
      </c>
      <c r="F5124" t="s">
        <v>399</v>
      </c>
      <c r="G5124" t="s">
        <v>5066</v>
      </c>
    </row>
    <row r="5125" spans="1:7" x14ac:dyDescent="0.3">
      <c r="A5125">
        <v>5123</v>
      </c>
      <c r="B5125" t="s">
        <v>5796</v>
      </c>
      <c r="C5125" t="s">
        <v>356</v>
      </c>
      <c r="D5125">
        <v>40</v>
      </c>
      <c r="E5125">
        <v>35</v>
      </c>
      <c r="F5125" t="s">
        <v>4427</v>
      </c>
      <c r="G5125" t="s">
        <v>5066</v>
      </c>
    </row>
    <row r="5126" spans="1:7" x14ac:dyDescent="0.3">
      <c r="A5126">
        <v>5124</v>
      </c>
      <c r="B5126" t="s">
        <v>5797</v>
      </c>
      <c r="C5126" t="s">
        <v>3132</v>
      </c>
      <c r="D5126">
        <v>1695</v>
      </c>
      <c r="E5126">
        <v>1499</v>
      </c>
      <c r="F5126" t="s">
        <v>2712</v>
      </c>
      <c r="G5126" t="s">
        <v>2936</v>
      </c>
    </row>
    <row r="5127" spans="1:7" x14ac:dyDescent="0.3">
      <c r="A5127">
        <v>5125</v>
      </c>
      <c r="B5127" t="s">
        <v>5798</v>
      </c>
      <c r="C5127" t="s">
        <v>5799</v>
      </c>
      <c r="D5127">
        <v>280</v>
      </c>
      <c r="E5127">
        <v>259</v>
      </c>
      <c r="F5127" t="s">
        <v>5800</v>
      </c>
      <c r="G5127" t="s">
        <v>2936</v>
      </c>
    </row>
    <row r="5128" spans="1:7" x14ac:dyDescent="0.3">
      <c r="A5128">
        <v>5126</v>
      </c>
      <c r="B5128" t="s">
        <v>5798</v>
      </c>
      <c r="C5128" t="s">
        <v>5799</v>
      </c>
      <c r="D5128">
        <v>280</v>
      </c>
      <c r="E5128">
        <v>259</v>
      </c>
      <c r="F5128" t="s">
        <v>5801</v>
      </c>
      <c r="G5128" t="s">
        <v>2936</v>
      </c>
    </row>
    <row r="5129" spans="1:7" x14ac:dyDescent="0.3">
      <c r="A5129">
        <v>5127</v>
      </c>
      <c r="B5129" t="s">
        <v>5798</v>
      </c>
      <c r="C5129" t="s">
        <v>5799</v>
      </c>
      <c r="D5129">
        <v>280</v>
      </c>
      <c r="E5129">
        <v>259</v>
      </c>
      <c r="F5129" t="s">
        <v>5791</v>
      </c>
      <c r="G5129" t="s">
        <v>2936</v>
      </c>
    </row>
    <row r="5130" spans="1:7" x14ac:dyDescent="0.3">
      <c r="A5130">
        <v>5128</v>
      </c>
      <c r="B5130" t="s">
        <v>5802</v>
      </c>
      <c r="C5130" t="s">
        <v>3640</v>
      </c>
      <c r="D5130">
        <v>85</v>
      </c>
      <c r="E5130">
        <v>74</v>
      </c>
      <c r="F5130" t="s">
        <v>2712</v>
      </c>
      <c r="G5130" t="s">
        <v>5561</v>
      </c>
    </row>
    <row r="5131" spans="1:7" x14ac:dyDescent="0.3">
      <c r="A5131">
        <v>5129</v>
      </c>
      <c r="B5131" t="s">
        <v>5803</v>
      </c>
      <c r="C5131" t="s">
        <v>70</v>
      </c>
      <c r="D5131">
        <v>145</v>
      </c>
      <c r="E5131">
        <v>115</v>
      </c>
      <c r="F5131" t="s">
        <v>15</v>
      </c>
      <c r="G5131" t="s">
        <v>244</v>
      </c>
    </row>
    <row r="5132" spans="1:7" x14ac:dyDescent="0.3">
      <c r="A5132">
        <v>5130</v>
      </c>
      <c r="B5132" t="s">
        <v>5804</v>
      </c>
      <c r="C5132" t="s">
        <v>5778</v>
      </c>
      <c r="D5132">
        <v>99</v>
      </c>
      <c r="E5132">
        <v>87</v>
      </c>
      <c r="F5132" t="s">
        <v>2712</v>
      </c>
      <c r="G5132" t="s">
        <v>5561</v>
      </c>
    </row>
    <row r="5133" spans="1:7" x14ac:dyDescent="0.3">
      <c r="A5133">
        <v>5131</v>
      </c>
      <c r="B5133" t="s">
        <v>5805</v>
      </c>
      <c r="C5133" t="s">
        <v>78</v>
      </c>
      <c r="D5133">
        <v>75</v>
      </c>
      <c r="E5133">
        <v>52</v>
      </c>
      <c r="F5133" t="s">
        <v>9</v>
      </c>
      <c r="G5133" t="s">
        <v>244</v>
      </c>
    </row>
    <row r="5134" spans="1:7" x14ac:dyDescent="0.3">
      <c r="A5134">
        <v>5132</v>
      </c>
      <c r="B5134" t="s">
        <v>5806</v>
      </c>
      <c r="C5134" t="s">
        <v>4068</v>
      </c>
      <c r="D5134">
        <v>119</v>
      </c>
      <c r="E5134">
        <v>84</v>
      </c>
      <c r="F5134" t="s">
        <v>1194</v>
      </c>
      <c r="G5134" t="s">
        <v>5066</v>
      </c>
    </row>
    <row r="5135" spans="1:7" x14ac:dyDescent="0.3">
      <c r="A5135">
        <v>5133</v>
      </c>
      <c r="B5135" t="s">
        <v>5807</v>
      </c>
      <c r="C5135" t="s">
        <v>78</v>
      </c>
      <c r="D5135">
        <v>80</v>
      </c>
      <c r="E5135">
        <v>64</v>
      </c>
      <c r="F5135" t="s">
        <v>9</v>
      </c>
      <c r="G5135" t="s">
        <v>244</v>
      </c>
    </row>
    <row r="5136" spans="1:7" x14ac:dyDescent="0.3">
      <c r="A5136">
        <v>5134</v>
      </c>
      <c r="B5136" t="s">
        <v>5808</v>
      </c>
      <c r="C5136" t="s">
        <v>5790</v>
      </c>
      <c r="D5136">
        <v>264</v>
      </c>
      <c r="E5136">
        <v>245</v>
      </c>
      <c r="F5136" t="s">
        <v>5809</v>
      </c>
      <c r="G5136" t="s">
        <v>2936</v>
      </c>
    </row>
    <row r="5137" spans="1:7" x14ac:dyDescent="0.3">
      <c r="A5137">
        <v>5135</v>
      </c>
      <c r="B5137" t="s">
        <v>5810</v>
      </c>
      <c r="C5137" t="s">
        <v>1193</v>
      </c>
      <c r="D5137">
        <v>288</v>
      </c>
      <c r="E5137">
        <v>267</v>
      </c>
      <c r="F5137" t="s">
        <v>5811</v>
      </c>
      <c r="G5137" t="s">
        <v>857</v>
      </c>
    </row>
    <row r="5138" spans="1:7" x14ac:dyDescent="0.3">
      <c r="A5138">
        <v>5136</v>
      </c>
      <c r="B5138" t="s">
        <v>5812</v>
      </c>
      <c r="C5138" t="s">
        <v>1193</v>
      </c>
      <c r="D5138">
        <v>70</v>
      </c>
      <c r="E5138">
        <v>50</v>
      </c>
      <c r="F5138" t="s">
        <v>331</v>
      </c>
      <c r="G5138" t="s">
        <v>857</v>
      </c>
    </row>
    <row r="5139" spans="1:7" x14ac:dyDescent="0.3">
      <c r="A5139">
        <v>5137</v>
      </c>
      <c r="B5139" t="s">
        <v>5812</v>
      </c>
      <c r="C5139" t="s">
        <v>1193</v>
      </c>
      <c r="D5139">
        <v>20</v>
      </c>
      <c r="E5139">
        <v>13</v>
      </c>
      <c r="F5139" t="s">
        <v>246</v>
      </c>
      <c r="G5139" t="s">
        <v>857</v>
      </c>
    </row>
    <row r="5140" spans="1:7" x14ac:dyDescent="0.3">
      <c r="A5140">
        <v>5138</v>
      </c>
      <c r="B5140" t="s">
        <v>5813</v>
      </c>
      <c r="C5140" t="s">
        <v>3129</v>
      </c>
      <c r="D5140">
        <v>99</v>
      </c>
      <c r="E5140">
        <v>79</v>
      </c>
      <c r="F5140" t="s">
        <v>5416</v>
      </c>
      <c r="G5140" t="s">
        <v>5066</v>
      </c>
    </row>
    <row r="5141" spans="1:7" x14ac:dyDescent="0.3">
      <c r="A5141">
        <v>5139</v>
      </c>
      <c r="B5141" t="s">
        <v>5814</v>
      </c>
      <c r="C5141" t="s">
        <v>957</v>
      </c>
      <c r="D5141">
        <v>298</v>
      </c>
      <c r="E5141">
        <v>298</v>
      </c>
      <c r="F5141" t="s">
        <v>1371</v>
      </c>
      <c r="G5141" t="s">
        <v>5187</v>
      </c>
    </row>
    <row r="5142" spans="1:7" x14ac:dyDescent="0.3">
      <c r="A5142">
        <v>5140</v>
      </c>
      <c r="B5142" t="s">
        <v>5815</v>
      </c>
      <c r="C5142" t="s">
        <v>957</v>
      </c>
      <c r="D5142">
        <v>263</v>
      </c>
      <c r="E5142">
        <v>263</v>
      </c>
      <c r="F5142" t="s">
        <v>1371</v>
      </c>
      <c r="G5142" t="s">
        <v>5187</v>
      </c>
    </row>
    <row r="5143" spans="1:7" x14ac:dyDescent="0.3">
      <c r="A5143">
        <v>5141</v>
      </c>
      <c r="B5143" t="s">
        <v>5816</v>
      </c>
      <c r="C5143" t="s">
        <v>5817</v>
      </c>
      <c r="D5143">
        <v>98</v>
      </c>
      <c r="E5143">
        <v>91</v>
      </c>
      <c r="F5143" t="s">
        <v>4387</v>
      </c>
      <c r="G5143" t="s">
        <v>2936</v>
      </c>
    </row>
    <row r="5144" spans="1:7" x14ac:dyDescent="0.3">
      <c r="A5144">
        <v>5142</v>
      </c>
      <c r="B5144" t="s">
        <v>5818</v>
      </c>
      <c r="C5144" t="s">
        <v>5819</v>
      </c>
      <c r="D5144">
        <v>84</v>
      </c>
      <c r="E5144">
        <v>78</v>
      </c>
      <c r="F5144" t="s">
        <v>2712</v>
      </c>
      <c r="G5144" t="s">
        <v>2936</v>
      </c>
    </row>
    <row r="5145" spans="1:7" x14ac:dyDescent="0.3">
      <c r="A5145">
        <v>5143</v>
      </c>
      <c r="B5145" t="s">
        <v>5820</v>
      </c>
      <c r="C5145" t="s">
        <v>5819</v>
      </c>
      <c r="D5145">
        <v>68</v>
      </c>
      <c r="E5145">
        <v>63</v>
      </c>
      <c r="F5145" t="s">
        <v>740</v>
      </c>
      <c r="G5145" t="s">
        <v>2936</v>
      </c>
    </row>
    <row r="5146" spans="1:7" x14ac:dyDescent="0.3">
      <c r="A5146">
        <v>5144</v>
      </c>
      <c r="B5146" t="s">
        <v>5821</v>
      </c>
      <c r="C5146" t="s">
        <v>5819</v>
      </c>
      <c r="D5146">
        <v>68</v>
      </c>
      <c r="E5146">
        <v>63</v>
      </c>
      <c r="F5146" t="s">
        <v>740</v>
      </c>
      <c r="G5146" t="s">
        <v>2936</v>
      </c>
    </row>
    <row r="5147" spans="1:7" x14ac:dyDescent="0.3">
      <c r="A5147">
        <v>5145</v>
      </c>
      <c r="B5147" t="s">
        <v>5822</v>
      </c>
      <c r="C5147" t="s">
        <v>5823</v>
      </c>
      <c r="D5147">
        <v>110</v>
      </c>
      <c r="E5147">
        <v>71</v>
      </c>
      <c r="F5147" t="s">
        <v>5762</v>
      </c>
      <c r="G5147" t="s">
        <v>5561</v>
      </c>
    </row>
    <row r="5148" spans="1:7" x14ac:dyDescent="0.3">
      <c r="A5148">
        <v>5146</v>
      </c>
      <c r="B5148" t="s">
        <v>5824</v>
      </c>
      <c r="C5148" t="s">
        <v>5823</v>
      </c>
      <c r="D5148">
        <v>52</v>
      </c>
      <c r="E5148">
        <v>33</v>
      </c>
      <c r="F5148" t="s">
        <v>5762</v>
      </c>
      <c r="G5148" t="s">
        <v>5561</v>
      </c>
    </row>
    <row r="5149" spans="1:7" x14ac:dyDescent="0.3">
      <c r="A5149">
        <v>5147</v>
      </c>
      <c r="B5149" t="s">
        <v>5825</v>
      </c>
      <c r="C5149" t="s">
        <v>5826</v>
      </c>
      <c r="D5149">
        <v>72</v>
      </c>
      <c r="E5149">
        <v>54</v>
      </c>
      <c r="F5149" t="s">
        <v>5762</v>
      </c>
      <c r="G5149" t="s">
        <v>5561</v>
      </c>
    </row>
    <row r="5150" spans="1:7" x14ac:dyDescent="0.3">
      <c r="A5150">
        <v>5148</v>
      </c>
      <c r="B5150" t="s">
        <v>5827</v>
      </c>
      <c r="C5150" t="s">
        <v>5828</v>
      </c>
      <c r="D5150">
        <v>55</v>
      </c>
      <c r="E5150">
        <v>35</v>
      </c>
      <c r="F5150" t="s">
        <v>5762</v>
      </c>
      <c r="G5150" t="s">
        <v>5561</v>
      </c>
    </row>
    <row r="5151" spans="1:7" x14ac:dyDescent="0.3">
      <c r="A5151">
        <v>5149</v>
      </c>
      <c r="B5151" t="s">
        <v>5829</v>
      </c>
      <c r="C5151" t="s">
        <v>5830</v>
      </c>
      <c r="D5151">
        <v>50</v>
      </c>
      <c r="E5151">
        <v>45</v>
      </c>
      <c r="F5151" t="s">
        <v>3167</v>
      </c>
      <c r="G5151" t="s">
        <v>5561</v>
      </c>
    </row>
    <row r="5152" spans="1:7" x14ac:dyDescent="0.3">
      <c r="A5152">
        <v>5150</v>
      </c>
      <c r="B5152" t="s">
        <v>5829</v>
      </c>
      <c r="C5152" t="s">
        <v>5830</v>
      </c>
      <c r="D5152">
        <v>50</v>
      </c>
      <c r="E5152">
        <v>45</v>
      </c>
      <c r="F5152" t="s">
        <v>5831</v>
      </c>
      <c r="G5152" t="s">
        <v>5561</v>
      </c>
    </row>
    <row r="5153" spans="1:7" x14ac:dyDescent="0.3">
      <c r="A5153">
        <v>5151</v>
      </c>
      <c r="B5153" t="s">
        <v>5832</v>
      </c>
      <c r="C5153" t="s">
        <v>1851</v>
      </c>
      <c r="D5153">
        <v>50</v>
      </c>
      <c r="E5153">
        <v>45</v>
      </c>
      <c r="F5153" t="s">
        <v>2960</v>
      </c>
      <c r="G5153" t="s">
        <v>5561</v>
      </c>
    </row>
    <row r="5154" spans="1:7" x14ac:dyDescent="0.3">
      <c r="A5154">
        <v>5152</v>
      </c>
      <c r="B5154" t="s">
        <v>5833</v>
      </c>
      <c r="C5154" t="s">
        <v>5834</v>
      </c>
      <c r="D5154">
        <v>125</v>
      </c>
      <c r="E5154">
        <v>94</v>
      </c>
      <c r="F5154" t="s">
        <v>5762</v>
      </c>
      <c r="G5154" t="s">
        <v>5561</v>
      </c>
    </row>
    <row r="5155" spans="1:7" x14ac:dyDescent="0.3">
      <c r="A5155">
        <v>5153</v>
      </c>
      <c r="B5155" t="s">
        <v>5835</v>
      </c>
      <c r="C5155" t="s">
        <v>1851</v>
      </c>
      <c r="D5155">
        <v>50</v>
      </c>
      <c r="E5155">
        <v>45</v>
      </c>
      <c r="F5155" t="s">
        <v>2960</v>
      </c>
      <c r="G5155" t="s">
        <v>5561</v>
      </c>
    </row>
    <row r="5156" spans="1:7" x14ac:dyDescent="0.3">
      <c r="A5156">
        <v>5154</v>
      </c>
      <c r="B5156" t="s">
        <v>5836</v>
      </c>
      <c r="C5156" t="s">
        <v>5837</v>
      </c>
      <c r="D5156">
        <v>25</v>
      </c>
      <c r="E5156">
        <v>19</v>
      </c>
      <c r="F5156" t="s">
        <v>2712</v>
      </c>
      <c r="G5156" t="s">
        <v>5066</v>
      </c>
    </row>
    <row r="5157" spans="1:7" x14ac:dyDescent="0.3">
      <c r="A5157">
        <v>5155</v>
      </c>
      <c r="B5157" t="s">
        <v>5838</v>
      </c>
      <c r="C5157" t="s">
        <v>5761</v>
      </c>
      <c r="D5157">
        <v>50</v>
      </c>
      <c r="E5157">
        <v>46</v>
      </c>
      <c r="F5157" t="s">
        <v>3230</v>
      </c>
      <c r="G5157" t="s">
        <v>5561</v>
      </c>
    </row>
    <row r="5158" spans="1:7" x14ac:dyDescent="0.3">
      <c r="A5158">
        <v>5156</v>
      </c>
      <c r="B5158" t="s">
        <v>5839</v>
      </c>
      <c r="C5158" t="s">
        <v>5751</v>
      </c>
      <c r="D5158">
        <v>185</v>
      </c>
      <c r="E5158">
        <v>163</v>
      </c>
      <c r="F5158" t="s">
        <v>3004</v>
      </c>
      <c r="G5158" t="s">
        <v>5561</v>
      </c>
    </row>
    <row r="5159" spans="1:7" x14ac:dyDescent="0.3">
      <c r="A5159">
        <v>5157</v>
      </c>
      <c r="B5159" t="s">
        <v>5840</v>
      </c>
      <c r="C5159" t="s">
        <v>5830</v>
      </c>
      <c r="D5159">
        <v>150</v>
      </c>
      <c r="E5159">
        <v>119</v>
      </c>
      <c r="F5159" t="s">
        <v>3575</v>
      </c>
      <c r="G5159" t="s">
        <v>5561</v>
      </c>
    </row>
    <row r="5160" spans="1:7" x14ac:dyDescent="0.3">
      <c r="A5160">
        <v>5158</v>
      </c>
      <c r="B5160" t="s">
        <v>5841</v>
      </c>
      <c r="C5160" t="s">
        <v>5837</v>
      </c>
      <c r="D5160">
        <v>100</v>
      </c>
      <c r="E5160">
        <v>75</v>
      </c>
      <c r="F5160" t="s">
        <v>3230</v>
      </c>
      <c r="G5160" t="s">
        <v>5561</v>
      </c>
    </row>
    <row r="5161" spans="1:7" x14ac:dyDescent="0.3">
      <c r="A5161">
        <v>5159</v>
      </c>
      <c r="B5161" t="s">
        <v>5842</v>
      </c>
      <c r="C5161" t="s">
        <v>5830</v>
      </c>
      <c r="D5161">
        <v>40</v>
      </c>
      <c r="E5161">
        <v>36</v>
      </c>
      <c r="F5161" t="s">
        <v>2960</v>
      </c>
      <c r="G5161" t="s">
        <v>5561</v>
      </c>
    </row>
    <row r="5162" spans="1:7" x14ac:dyDescent="0.3">
      <c r="A5162">
        <v>5160</v>
      </c>
      <c r="B5162" t="s">
        <v>5843</v>
      </c>
      <c r="C5162" t="s">
        <v>5844</v>
      </c>
      <c r="D5162">
        <v>120</v>
      </c>
      <c r="E5162">
        <v>108</v>
      </c>
      <c r="F5162" t="s">
        <v>2966</v>
      </c>
      <c r="G5162" t="s">
        <v>5561</v>
      </c>
    </row>
    <row r="5163" spans="1:7" x14ac:dyDescent="0.3">
      <c r="A5163">
        <v>5161</v>
      </c>
      <c r="B5163" t="s">
        <v>5843</v>
      </c>
      <c r="C5163" t="s">
        <v>5844</v>
      </c>
      <c r="D5163">
        <v>120</v>
      </c>
      <c r="E5163">
        <v>108</v>
      </c>
      <c r="F5163" t="s">
        <v>2968</v>
      </c>
      <c r="G5163" t="s">
        <v>5561</v>
      </c>
    </row>
    <row r="5164" spans="1:7" x14ac:dyDescent="0.3">
      <c r="A5164">
        <v>5162</v>
      </c>
      <c r="B5164" t="s">
        <v>5845</v>
      </c>
      <c r="C5164" t="s">
        <v>5846</v>
      </c>
      <c r="D5164">
        <v>300</v>
      </c>
      <c r="E5164">
        <v>219</v>
      </c>
      <c r="F5164" t="s">
        <v>5762</v>
      </c>
      <c r="G5164" t="s">
        <v>5561</v>
      </c>
    </row>
    <row r="5165" spans="1:7" x14ac:dyDescent="0.3">
      <c r="A5165">
        <v>5163</v>
      </c>
      <c r="B5165" t="s">
        <v>5847</v>
      </c>
      <c r="C5165" t="s">
        <v>5848</v>
      </c>
      <c r="D5165">
        <v>150</v>
      </c>
      <c r="E5165">
        <v>109</v>
      </c>
      <c r="F5165" t="s">
        <v>2712</v>
      </c>
      <c r="G5165" t="s">
        <v>5561</v>
      </c>
    </row>
    <row r="5166" spans="1:7" x14ac:dyDescent="0.3">
      <c r="A5166">
        <v>5164</v>
      </c>
      <c r="B5166" t="s">
        <v>5849</v>
      </c>
      <c r="C5166" t="s">
        <v>5830</v>
      </c>
      <c r="D5166">
        <v>50</v>
      </c>
      <c r="E5166">
        <v>45</v>
      </c>
      <c r="F5166" t="s">
        <v>2960</v>
      </c>
      <c r="G5166" t="s">
        <v>5561</v>
      </c>
    </row>
    <row r="5167" spans="1:7" x14ac:dyDescent="0.3">
      <c r="A5167">
        <v>5165</v>
      </c>
      <c r="B5167" t="s">
        <v>5850</v>
      </c>
      <c r="C5167" t="s">
        <v>17</v>
      </c>
      <c r="D5167">
        <v>310</v>
      </c>
      <c r="E5167">
        <v>219</v>
      </c>
      <c r="F5167" t="s">
        <v>2712</v>
      </c>
      <c r="G5167" t="s">
        <v>5561</v>
      </c>
    </row>
    <row r="5168" spans="1:7" x14ac:dyDescent="0.3">
      <c r="A5168">
        <v>5166</v>
      </c>
      <c r="B5168" t="s">
        <v>5851</v>
      </c>
      <c r="C5168" t="s">
        <v>5834</v>
      </c>
      <c r="D5168">
        <v>300</v>
      </c>
      <c r="E5168">
        <v>225</v>
      </c>
      <c r="F5168" t="s">
        <v>5762</v>
      </c>
      <c r="G5168" t="s">
        <v>5561</v>
      </c>
    </row>
    <row r="5169" spans="1:7" x14ac:dyDescent="0.3">
      <c r="A5169">
        <v>5167</v>
      </c>
      <c r="B5169" t="s">
        <v>5852</v>
      </c>
      <c r="C5169" t="s">
        <v>17</v>
      </c>
      <c r="D5169">
        <v>90</v>
      </c>
      <c r="E5169">
        <v>68</v>
      </c>
      <c r="F5169" t="s">
        <v>5853</v>
      </c>
      <c r="G5169" t="s">
        <v>5561</v>
      </c>
    </row>
    <row r="5170" spans="1:7" x14ac:dyDescent="0.3">
      <c r="A5170">
        <v>5168</v>
      </c>
      <c r="B5170" t="s">
        <v>5852</v>
      </c>
      <c r="C5170" t="s">
        <v>17</v>
      </c>
      <c r="D5170">
        <v>65</v>
      </c>
      <c r="E5170">
        <v>48</v>
      </c>
      <c r="F5170" t="s">
        <v>5854</v>
      </c>
      <c r="G5170" t="s">
        <v>5561</v>
      </c>
    </row>
    <row r="5171" spans="1:7" x14ac:dyDescent="0.3">
      <c r="A5171">
        <v>5169</v>
      </c>
      <c r="B5171" t="s">
        <v>5855</v>
      </c>
      <c r="C5171" t="s">
        <v>5848</v>
      </c>
      <c r="D5171">
        <v>65</v>
      </c>
      <c r="E5171">
        <v>57</v>
      </c>
      <c r="F5171" t="s">
        <v>2712</v>
      </c>
      <c r="G5171" t="s">
        <v>5561</v>
      </c>
    </row>
    <row r="5172" spans="1:7" x14ac:dyDescent="0.3">
      <c r="A5172">
        <v>5170</v>
      </c>
      <c r="B5172" t="s">
        <v>5856</v>
      </c>
      <c r="C5172" t="s">
        <v>17</v>
      </c>
      <c r="D5172">
        <v>127</v>
      </c>
      <c r="E5172">
        <v>114</v>
      </c>
      <c r="F5172" t="s">
        <v>3004</v>
      </c>
      <c r="G5172" t="s">
        <v>5561</v>
      </c>
    </row>
    <row r="5173" spans="1:7" x14ac:dyDescent="0.3">
      <c r="A5173">
        <v>5171</v>
      </c>
      <c r="B5173" t="s">
        <v>5857</v>
      </c>
      <c r="C5173" t="s">
        <v>5751</v>
      </c>
      <c r="D5173">
        <v>50</v>
      </c>
      <c r="E5173">
        <v>44</v>
      </c>
      <c r="F5173" t="s">
        <v>5858</v>
      </c>
      <c r="G5173" t="s">
        <v>5561</v>
      </c>
    </row>
    <row r="5174" spans="1:7" x14ac:dyDescent="0.3">
      <c r="A5174">
        <v>5172</v>
      </c>
      <c r="B5174" t="s">
        <v>5859</v>
      </c>
      <c r="C5174" t="s">
        <v>5834</v>
      </c>
      <c r="D5174">
        <v>50</v>
      </c>
      <c r="E5174">
        <v>44</v>
      </c>
      <c r="F5174" t="s">
        <v>5762</v>
      </c>
      <c r="G5174" t="s">
        <v>5561</v>
      </c>
    </row>
    <row r="5175" spans="1:7" x14ac:dyDescent="0.3">
      <c r="A5175">
        <v>5173</v>
      </c>
      <c r="B5175" t="s">
        <v>5860</v>
      </c>
      <c r="C5175" t="s">
        <v>3640</v>
      </c>
      <c r="D5175">
        <v>149</v>
      </c>
      <c r="E5175">
        <v>132</v>
      </c>
      <c r="F5175" t="s">
        <v>2712</v>
      </c>
      <c r="G5175" t="s">
        <v>5561</v>
      </c>
    </row>
    <row r="5176" spans="1:7" x14ac:dyDescent="0.3">
      <c r="A5176">
        <v>5174</v>
      </c>
      <c r="B5176" t="s">
        <v>5861</v>
      </c>
      <c r="C5176" t="s">
        <v>17</v>
      </c>
      <c r="D5176">
        <v>120</v>
      </c>
      <c r="E5176">
        <v>89</v>
      </c>
      <c r="F5176" t="s">
        <v>5862</v>
      </c>
      <c r="G5176" t="s">
        <v>5561</v>
      </c>
    </row>
    <row r="5177" spans="1:7" x14ac:dyDescent="0.3">
      <c r="A5177">
        <v>5175</v>
      </c>
      <c r="B5177" t="s">
        <v>5863</v>
      </c>
      <c r="C5177" t="s">
        <v>5761</v>
      </c>
      <c r="D5177">
        <v>220</v>
      </c>
      <c r="E5177">
        <v>194</v>
      </c>
      <c r="F5177" t="s">
        <v>5864</v>
      </c>
      <c r="G5177" t="s">
        <v>5561</v>
      </c>
    </row>
    <row r="5178" spans="1:7" x14ac:dyDescent="0.3">
      <c r="A5178">
        <v>5176</v>
      </c>
      <c r="B5178" t="s">
        <v>5865</v>
      </c>
      <c r="C5178" t="s">
        <v>5778</v>
      </c>
      <c r="D5178">
        <v>30</v>
      </c>
      <c r="E5178">
        <v>26</v>
      </c>
      <c r="F5178" t="s">
        <v>3669</v>
      </c>
      <c r="G5178" t="s">
        <v>5561</v>
      </c>
    </row>
    <row r="5179" spans="1:7" x14ac:dyDescent="0.3">
      <c r="A5179">
        <v>5177</v>
      </c>
      <c r="B5179" t="s">
        <v>5866</v>
      </c>
      <c r="C5179" t="s">
        <v>5830</v>
      </c>
      <c r="D5179">
        <v>40</v>
      </c>
      <c r="E5179">
        <v>36</v>
      </c>
      <c r="F5179" t="s">
        <v>2960</v>
      </c>
      <c r="G5179" t="s">
        <v>5561</v>
      </c>
    </row>
    <row r="5180" spans="1:7" x14ac:dyDescent="0.3">
      <c r="A5180">
        <v>5178</v>
      </c>
      <c r="B5180" t="s">
        <v>5867</v>
      </c>
      <c r="C5180" t="s">
        <v>3640</v>
      </c>
      <c r="D5180">
        <v>199</v>
      </c>
      <c r="E5180">
        <v>149</v>
      </c>
      <c r="F5180" t="s">
        <v>2712</v>
      </c>
      <c r="G5180" t="s">
        <v>5561</v>
      </c>
    </row>
    <row r="5181" spans="1:7" x14ac:dyDescent="0.3">
      <c r="A5181">
        <v>5179</v>
      </c>
      <c r="B5181" t="s">
        <v>5868</v>
      </c>
      <c r="C5181" t="s">
        <v>17</v>
      </c>
      <c r="D5181">
        <v>125</v>
      </c>
      <c r="E5181">
        <v>79</v>
      </c>
      <c r="F5181" t="s">
        <v>3417</v>
      </c>
      <c r="G5181" t="s">
        <v>5561</v>
      </c>
    </row>
    <row r="5182" spans="1:7" x14ac:dyDescent="0.3">
      <c r="A5182">
        <v>5180</v>
      </c>
      <c r="B5182" t="s">
        <v>5869</v>
      </c>
      <c r="C5182" t="s">
        <v>5834</v>
      </c>
      <c r="D5182">
        <v>40</v>
      </c>
      <c r="E5182">
        <v>30</v>
      </c>
      <c r="F5182" t="s">
        <v>3004</v>
      </c>
      <c r="G5182" t="s">
        <v>5561</v>
      </c>
    </row>
    <row r="5183" spans="1:7" x14ac:dyDescent="0.3">
      <c r="A5183">
        <v>5181</v>
      </c>
      <c r="B5183" t="s">
        <v>5870</v>
      </c>
      <c r="C5183" t="s">
        <v>5751</v>
      </c>
      <c r="D5183">
        <v>110</v>
      </c>
      <c r="E5183">
        <v>94</v>
      </c>
      <c r="F5183" t="s">
        <v>2712</v>
      </c>
      <c r="G5183" t="s">
        <v>5561</v>
      </c>
    </row>
    <row r="5184" spans="1:7" x14ac:dyDescent="0.3">
      <c r="A5184">
        <v>5182</v>
      </c>
      <c r="B5184" t="s">
        <v>5871</v>
      </c>
      <c r="C5184" t="s">
        <v>5872</v>
      </c>
      <c r="D5184">
        <v>250</v>
      </c>
      <c r="E5184">
        <v>99</v>
      </c>
      <c r="F5184" t="s">
        <v>2712</v>
      </c>
      <c r="G5184" t="s">
        <v>5561</v>
      </c>
    </row>
    <row r="5185" spans="1:7" x14ac:dyDescent="0.3">
      <c r="A5185">
        <v>5183</v>
      </c>
      <c r="B5185" t="s">
        <v>5873</v>
      </c>
      <c r="C5185" t="s">
        <v>5834</v>
      </c>
      <c r="D5185">
        <v>70</v>
      </c>
      <c r="E5185">
        <v>59</v>
      </c>
      <c r="F5185" t="s">
        <v>5762</v>
      </c>
      <c r="G5185" t="s">
        <v>5561</v>
      </c>
    </row>
    <row r="5186" spans="1:7" x14ac:dyDescent="0.3">
      <c r="A5186">
        <v>5184</v>
      </c>
      <c r="B5186" t="s">
        <v>5874</v>
      </c>
      <c r="C5186" t="s">
        <v>5834</v>
      </c>
      <c r="D5186">
        <v>140</v>
      </c>
      <c r="E5186">
        <v>115</v>
      </c>
      <c r="F5186" t="s">
        <v>5762</v>
      </c>
      <c r="G5186" t="s">
        <v>5561</v>
      </c>
    </row>
    <row r="5187" spans="1:7" x14ac:dyDescent="0.3">
      <c r="A5187">
        <v>5185</v>
      </c>
      <c r="B5187" t="s">
        <v>5875</v>
      </c>
      <c r="C5187" t="s">
        <v>5834</v>
      </c>
      <c r="D5187">
        <v>55</v>
      </c>
      <c r="E5187">
        <v>36</v>
      </c>
      <c r="F5187" t="s">
        <v>5762</v>
      </c>
      <c r="G5187" t="s">
        <v>5561</v>
      </c>
    </row>
    <row r="5188" spans="1:7" x14ac:dyDescent="0.3">
      <c r="A5188">
        <v>5186</v>
      </c>
      <c r="B5188" t="s">
        <v>5876</v>
      </c>
      <c r="C5188" t="s">
        <v>5834</v>
      </c>
      <c r="D5188">
        <v>85</v>
      </c>
      <c r="E5188">
        <v>69</v>
      </c>
      <c r="F5188" t="s">
        <v>5762</v>
      </c>
      <c r="G5188" t="s">
        <v>5561</v>
      </c>
    </row>
    <row r="5189" spans="1:7" x14ac:dyDescent="0.3">
      <c r="A5189">
        <v>5187</v>
      </c>
      <c r="B5189" t="s">
        <v>5877</v>
      </c>
      <c r="C5189" t="s">
        <v>5834</v>
      </c>
      <c r="D5189">
        <v>55</v>
      </c>
      <c r="E5189">
        <v>40</v>
      </c>
      <c r="F5189" t="s">
        <v>5762</v>
      </c>
      <c r="G5189" t="s">
        <v>5561</v>
      </c>
    </row>
    <row r="5190" spans="1:7" x14ac:dyDescent="0.3">
      <c r="A5190">
        <v>5188</v>
      </c>
      <c r="B5190" t="s">
        <v>5878</v>
      </c>
      <c r="C5190" t="s">
        <v>5834</v>
      </c>
      <c r="D5190">
        <v>110</v>
      </c>
      <c r="E5190">
        <v>72</v>
      </c>
      <c r="F5190" t="s">
        <v>5762</v>
      </c>
      <c r="G5190" t="s">
        <v>5561</v>
      </c>
    </row>
    <row r="5191" spans="1:7" x14ac:dyDescent="0.3">
      <c r="A5191">
        <v>5189</v>
      </c>
      <c r="B5191" t="s">
        <v>5879</v>
      </c>
      <c r="C5191" t="s">
        <v>5834</v>
      </c>
      <c r="D5191">
        <v>90</v>
      </c>
      <c r="E5191">
        <v>75</v>
      </c>
      <c r="F5191" t="s">
        <v>2712</v>
      </c>
      <c r="G5191" t="s">
        <v>5561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8E40-1435-4857-AD11-824732F9880E}">
  <dimension ref="B1:D6"/>
  <sheetViews>
    <sheetView workbookViewId="0">
      <selection activeCell="B2" sqref="B2"/>
    </sheetView>
  </sheetViews>
  <sheetFormatPr defaultColWidth="17.77734375" defaultRowHeight="13.8" x14ac:dyDescent="0.25"/>
  <cols>
    <col min="1" max="1" width="17.77734375" style="1"/>
    <col min="2" max="2" width="35.44140625" style="1" customWidth="1"/>
    <col min="3" max="3" width="23.21875" style="1" customWidth="1"/>
    <col min="4" max="4" width="29.5546875" style="1" customWidth="1"/>
    <col min="5" max="16384" width="17.77734375" style="1"/>
  </cols>
  <sheetData>
    <row r="1" spans="2:4" ht="17.399999999999999" x14ac:dyDescent="0.25">
      <c r="B1" s="18" t="s">
        <v>5899</v>
      </c>
      <c r="C1" s="18"/>
      <c r="D1" s="18"/>
    </row>
    <row r="2" spans="2:4" x14ac:dyDescent="0.25">
      <c r="B2" s="5" t="s">
        <v>5886</v>
      </c>
      <c r="C2" s="3" t="s">
        <v>5880</v>
      </c>
      <c r="D2" s="3" t="s">
        <v>5885</v>
      </c>
    </row>
    <row r="3" spans="2:4" x14ac:dyDescent="0.25">
      <c r="B3" s="2">
        <v>1</v>
      </c>
      <c r="C3" s="4" t="s">
        <v>5881</v>
      </c>
      <c r="D3" s="4">
        <f>COUNT(Raw_Data!A:A)</f>
        <v>5189</v>
      </c>
    </row>
    <row r="4" spans="2:4" x14ac:dyDescent="0.25">
      <c r="B4" s="2">
        <v>2</v>
      </c>
      <c r="C4" s="4" t="s">
        <v>5882</v>
      </c>
      <c r="D4" s="4">
        <f>COUNTA(sales_transactions_cleaned[sales_transaction_id])-COUNTA(_xlfn.UNIQUE(sales_transactions_cleaned[sales_transaction_id]))</f>
        <v>0</v>
      </c>
    </row>
    <row r="5" spans="2:4" x14ac:dyDescent="0.25">
      <c r="B5" s="2">
        <v>3</v>
      </c>
      <c r="C5" s="4" t="s">
        <v>5883</v>
      </c>
      <c r="D5" s="4">
        <f>COUNTBLANK(Raw_Data!A3:G5191)</f>
        <v>3</v>
      </c>
    </row>
    <row r="6" spans="2:4" x14ac:dyDescent="0.25">
      <c r="B6" s="2">
        <v>4</v>
      </c>
      <c r="C6" s="4" t="s">
        <v>5884</v>
      </c>
      <c r="D6" s="4">
        <f>COUNTIF(sales_transactions_cleaned[Price],0)</f>
        <v>1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D31C-C745-4DC2-ABF4-64B0871B810F}">
  <dimension ref="B1:C7"/>
  <sheetViews>
    <sheetView workbookViewId="0">
      <selection activeCell="C7" sqref="C7"/>
    </sheetView>
  </sheetViews>
  <sheetFormatPr defaultRowHeight="13.8" x14ac:dyDescent="0.3"/>
  <cols>
    <col min="1" max="1" width="8.88671875" style="8"/>
    <col min="2" max="4" width="22.6640625" style="8" customWidth="1"/>
    <col min="5" max="16384" width="8.88671875" style="8"/>
  </cols>
  <sheetData>
    <row r="1" spans="2:3" ht="18" thickBot="1" x14ac:dyDescent="0.35">
      <c r="B1" s="19" t="s">
        <v>5900</v>
      </c>
      <c r="C1" s="19"/>
    </row>
    <row r="2" spans="2:3" ht="14.4" thickBot="1" x14ac:dyDescent="0.35">
      <c r="B2" s="12" t="s">
        <v>5887</v>
      </c>
      <c r="C2" s="13" t="s">
        <v>5888</v>
      </c>
    </row>
    <row r="3" spans="2:3" x14ac:dyDescent="0.3">
      <c r="B3" s="14" t="s">
        <v>5889</v>
      </c>
      <c r="C3" s="9">
        <f>COUNT(Raw_Data!A3:A5191)</f>
        <v>5189</v>
      </c>
    </row>
    <row r="4" spans="2:3" x14ac:dyDescent="0.3">
      <c r="B4" s="15" t="s">
        <v>5890</v>
      </c>
      <c r="C4" s="10">
        <f>SUM(Raw_Data!E3:E5191)</f>
        <v>1227843</v>
      </c>
    </row>
    <row r="5" spans="2:3" x14ac:dyDescent="0.3">
      <c r="B5" s="15" t="s">
        <v>5891</v>
      </c>
      <c r="C5" s="10">
        <f>SUM(Raw_Data!D3:D5191)-SUM(Raw_Data!E3:E5191)</f>
        <v>556990</v>
      </c>
    </row>
    <row r="6" spans="2:3" x14ac:dyDescent="0.3">
      <c r="B6" s="15" t="s">
        <v>5892</v>
      </c>
      <c r="C6" s="10">
        <f>AVERAGE(Raw_Data!E3:E5191)</f>
        <v>236.66981495759444</v>
      </c>
    </row>
    <row r="7" spans="2:3" ht="14.4" thickBot="1" x14ac:dyDescent="0.35">
      <c r="B7" s="16" t="s">
        <v>5893</v>
      </c>
      <c r="C7" s="11" cm="1">
        <f t="array" ref="C7">AVERAGE(IFERROR((Raw_Data!D3:D5191-Raw_Data!E3:E5191)/Raw_Data!D3:D5191,""))</f>
        <v>0.26388370412477946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E91B-128A-45EF-8049-A2677FED5BA5}">
  <dimension ref="A1:Q43"/>
  <sheetViews>
    <sheetView topLeftCell="A13" workbookViewId="0">
      <selection activeCell="B32" sqref="B32"/>
    </sheetView>
  </sheetViews>
  <sheetFormatPr defaultRowHeight="14.4" x14ac:dyDescent="0.3"/>
  <cols>
    <col min="1" max="1" width="46.109375" bestFit="1" customWidth="1"/>
    <col min="2" max="2" width="10" bestFit="1" customWidth="1"/>
    <col min="3" max="3" width="21.88671875" customWidth="1"/>
    <col min="4" max="4" width="19" bestFit="1" customWidth="1"/>
    <col min="5" max="5" width="21.88671875" customWidth="1"/>
    <col min="6" max="6" width="19" bestFit="1" customWidth="1"/>
    <col min="7" max="7" width="16.109375" bestFit="1" customWidth="1"/>
    <col min="8" max="8" width="21.88671875" bestFit="1" customWidth="1"/>
  </cols>
  <sheetData>
    <row r="1" spans="1:17" ht="17.399999999999999" x14ac:dyDescent="0.3">
      <c r="A1" s="17" t="s">
        <v>5901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 x14ac:dyDescent="0.3">
      <c r="A3" s="6" t="s">
        <v>5894</v>
      </c>
      <c r="B3" t="s">
        <v>5890</v>
      </c>
      <c r="G3" s="6" t="s">
        <v>5894</v>
      </c>
      <c r="H3" t="s">
        <v>5896</v>
      </c>
    </row>
    <row r="4" spans="1:17" x14ac:dyDescent="0.3">
      <c r="A4" s="7" t="s">
        <v>330</v>
      </c>
      <c r="B4">
        <v>91159</v>
      </c>
      <c r="G4" s="7" t="s">
        <v>17</v>
      </c>
      <c r="H4">
        <v>64704</v>
      </c>
    </row>
    <row r="5" spans="1:17" x14ac:dyDescent="0.3">
      <c r="A5" s="7" t="s">
        <v>3583</v>
      </c>
      <c r="B5">
        <v>74272</v>
      </c>
      <c r="G5" s="7" t="s">
        <v>5700</v>
      </c>
      <c r="H5">
        <v>27037</v>
      </c>
    </row>
    <row r="6" spans="1:17" x14ac:dyDescent="0.3">
      <c r="A6" s="7" t="s">
        <v>2936</v>
      </c>
      <c r="B6">
        <v>67327</v>
      </c>
      <c r="G6" s="7" t="s">
        <v>3132</v>
      </c>
      <c r="H6">
        <v>23444</v>
      </c>
    </row>
    <row r="7" spans="1:17" x14ac:dyDescent="0.3">
      <c r="A7" s="7" t="s">
        <v>857</v>
      </c>
      <c r="B7">
        <v>56186</v>
      </c>
      <c r="G7" s="7" t="s">
        <v>3328</v>
      </c>
      <c r="H7">
        <v>22860</v>
      </c>
    </row>
    <row r="8" spans="1:17" x14ac:dyDescent="0.3">
      <c r="A8" s="7" t="s">
        <v>4035</v>
      </c>
      <c r="B8">
        <v>55590</v>
      </c>
      <c r="G8" s="7" t="s">
        <v>4209</v>
      </c>
      <c r="H8">
        <v>22729</v>
      </c>
    </row>
    <row r="9" spans="1:17" x14ac:dyDescent="0.3">
      <c r="A9" s="7" t="s">
        <v>3296</v>
      </c>
      <c r="B9">
        <v>52472</v>
      </c>
      <c r="G9" s="7" t="s">
        <v>3932</v>
      </c>
      <c r="H9">
        <v>21977</v>
      </c>
    </row>
    <row r="10" spans="1:17" x14ac:dyDescent="0.3">
      <c r="A10" s="7" t="s">
        <v>432</v>
      </c>
      <c r="B10">
        <v>46810</v>
      </c>
      <c r="G10" s="7" t="s">
        <v>3929</v>
      </c>
      <c r="H10">
        <v>18847</v>
      </c>
    </row>
    <row r="11" spans="1:17" x14ac:dyDescent="0.3">
      <c r="A11" s="7" t="s">
        <v>4149</v>
      </c>
      <c r="B11">
        <v>41617</v>
      </c>
      <c r="G11" s="7" t="s">
        <v>5447</v>
      </c>
      <c r="H11">
        <v>17570</v>
      </c>
    </row>
    <row r="12" spans="1:17" x14ac:dyDescent="0.3">
      <c r="A12" s="7" t="s">
        <v>3399</v>
      </c>
      <c r="B12">
        <v>38965</v>
      </c>
      <c r="G12" s="7" t="s">
        <v>4169</v>
      </c>
      <c r="H12">
        <v>17053</v>
      </c>
    </row>
    <row r="13" spans="1:17" x14ac:dyDescent="0.3">
      <c r="A13" s="7" t="s">
        <v>5479</v>
      </c>
      <c r="B13">
        <v>35482</v>
      </c>
      <c r="G13" s="7" t="s">
        <v>8</v>
      </c>
      <c r="H13">
        <v>16235</v>
      </c>
    </row>
    <row r="14" spans="1:17" x14ac:dyDescent="0.3">
      <c r="A14" s="7" t="s">
        <v>5895</v>
      </c>
      <c r="B14">
        <v>559880</v>
      </c>
      <c r="G14" s="7" t="s">
        <v>5895</v>
      </c>
      <c r="H14">
        <v>252456</v>
      </c>
    </row>
    <row r="15" spans="1:17" x14ac:dyDescent="0.3">
      <c r="A15" s="7"/>
      <c r="G15" s="7"/>
    </row>
    <row r="17" spans="1:2" x14ac:dyDescent="0.3">
      <c r="A17" s="6" t="s">
        <v>5894</v>
      </c>
      <c r="B17" t="s">
        <v>5897</v>
      </c>
    </row>
    <row r="18" spans="1:2" x14ac:dyDescent="0.3">
      <c r="A18" s="7" t="s">
        <v>3578</v>
      </c>
      <c r="B18">
        <v>4899</v>
      </c>
    </row>
    <row r="19" spans="1:2" x14ac:dyDescent="0.3">
      <c r="A19" s="7" t="s">
        <v>4025</v>
      </c>
      <c r="B19">
        <v>4300</v>
      </c>
    </row>
    <row r="20" spans="1:2" x14ac:dyDescent="0.3">
      <c r="A20" s="7" t="s">
        <v>395</v>
      </c>
      <c r="B20">
        <v>4252</v>
      </c>
    </row>
    <row r="21" spans="1:2" x14ac:dyDescent="0.3">
      <c r="A21" s="7" t="s">
        <v>5697</v>
      </c>
      <c r="B21">
        <v>3500</v>
      </c>
    </row>
    <row r="22" spans="1:2" x14ac:dyDescent="0.3">
      <c r="A22" s="7" t="s">
        <v>5485</v>
      </c>
      <c r="B22">
        <v>3101</v>
      </c>
    </row>
    <row r="23" spans="1:2" x14ac:dyDescent="0.3">
      <c r="A23" s="7" t="s">
        <v>3131</v>
      </c>
      <c r="B23">
        <v>2991</v>
      </c>
    </row>
    <row r="24" spans="1:2" x14ac:dyDescent="0.3">
      <c r="A24" s="7" t="s">
        <v>5611</v>
      </c>
      <c r="B24">
        <v>2991</v>
      </c>
    </row>
    <row r="25" spans="1:2" x14ac:dyDescent="0.3">
      <c r="A25" s="7" t="s">
        <v>5488</v>
      </c>
      <c r="B25">
        <v>2676</v>
      </c>
    </row>
    <row r="26" spans="1:2" x14ac:dyDescent="0.3">
      <c r="A26" s="7" t="s">
        <v>3981</v>
      </c>
      <c r="B26">
        <v>2670</v>
      </c>
    </row>
    <row r="27" spans="1:2" x14ac:dyDescent="0.3">
      <c r="A27" s="7" t="s">
        <v>4023</v>
      </c>
      <c r="B27">
        <v>2650</v>
      </c>
    </row>
    <row r="28" spans="1:2" x14ac:dyDescent="0.3">
      <c r="A28" s="7" t="s">
        <v>5895</v>
      </c>
      <c r="B28">
        <v>34030</v>
      </c>
    </row>
    <row r="32" spans="1:2" x14ac:dyDescent="0.3">
      <c r="A32" s="6" t="s">
        <v>5894</v>
      </c>
      <c r="B32" t="s">
        <v>5890</v>
      </c>
    </row>
    <row r="33" spans="1:2" x14ac:dyDescent="0.3">
      <c r="A33" s="7" t="s">
        <v>3131</v>
      </c>
      <c r="B33">
        <v>7999</v>
      </c>
    </row>
    <row r="34" spans="1:2" x14ac:dyDescent="0.3">
      <c r="A34" s="7" t="s">
        <v>3600</v>
      </c>
      <c r="B34">
        <v>6829</v>
      </c>
    </row>
    <row r="35" spans="1:2" x14ac:dyDescent="0.3">
      <c r="A35" s="7" t="s">
        <v>3981</v>
      </c>
      <c r="B35">
        <v>4999</v>
      </c>
    </row>
    <row r="36" spans="1:2" x14ac:dyDescent="0.3">
      <c r="A36" s="7" t="s">
        <v>397</v>
      </c>
      <c r="B36">
        <v>4751</v>
      </c>
    </row>
    <row r="37" spans="1:2" x14ac:dyDescent="0.3">
      <c r="A37" s="7" t="s">
        <v>4025</v>
      </c>
      <c r="B37">
        <v>4699</v>
      </c>
    </row>
    <row r="38" spans="1:2" x14ac:dyDescent="0.3">
      <c r="A38" s="7" t="s">
        <v>4023</v>
      </c>
      <c r="B38">
        <v>4149</v>
      </c>
    </row>
    <row r="39" spans="1:2" x14ac:dyDescent="0.3">
      <c r="A39" s="7" t="s">
        <v>5489</v>
      </c>
      <c r="B39">
        <v>3999</v>
      </c>
    </row>
    <row r="40" spans="1:2" x14ac:dyDescent="0.3">
      <c r="A40" s="7" t="s">
        <v>359</v>
      </c>
      <c r="B40">
        <v>3998</v>
      </c>
    </row>
    <row r="41" spans="1:2" x14ac:dyDescent="0.3">
      <c r="A41" s="7" t="s">
        <v>385</v>
      </c>
      <c r="B41">
        <v>3904</v>
      </c>
    </row>
    <row r="42" spans="1:2" x14ac:dyDescent="0.3">
      <c r="A42" s="7" t="s">
        <v>5473</v>
      </c>
      <c r="B42">
        <v>3899</v>
      </c>
    </row>
    <row r="43" spans="1:2" x14ac:dyDescent="0.3">
      <c r="A43" s="7" t="s">
        <v>5895</v>
      </c>
      <c r="B43">
        <v>49226</v>
      </c>
    </row>
  </sheetData>
  <mergeCells count="1">
    <mergeCell ref="A1:Q1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95E0-B5BD-47EC-B71D-51825EE3894B}">
  <dimension ref="A1:J33"/>
  <sheetViews>
    <sheetView tabSelected="1" zoomScale="98" zoomScaleNormal="98" workbookViewId="0">
      <selection activeCell="I4" sqref="I4"/>
    </sheetView>
  </sheetViews>
  <sheetFormatPr defaultColWidth="0" defaultRowHeight="14.4" zeroHeight="1" x14ac:dyDescent="0.3"/>
  <cols>
    <col min="1" max="5" width="11.21875" customWidth="1"/>
    <col min="6" max="9" width="11.109375" customWidth="1"/>
    <col min="10" max="10" width="11.21875" customWidth="1"/>
    <col min="11" max="16384" width="8.88671875" hidden="1"/>
  </cols>
  <sheetData>
    <row r="1" spans="1:10" x14ac:dyDescent="0.3">
      <c r="A1" s="20" t="s">
        <v>5898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 thickBo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04.4" customHeight="1" thickBot="1" x14ac:dyDescent="0.35">
      <c r="A3" s="21" t="str">
        <f>"Total Transactions"&amp;CHAR(10)&amp;TEXT(Analysis!C3,"#,##0")</f>
        <v>Total Transactions
5,189</v>
      </c>
      <c r="B3" s="22"/>
      <c r="C3" s="21" t="str">
        <f>"Total Sales"&amp;CHAR(10)&amp;"₹"&amp;TEXT(Analysis!C4,"#,##0.00")</f>
        <v>Total Sales
₹12,27,843.00</v>
      </c>
      <c r="D3" s="22"/>
      <c r="E3" s="21" t="str">
        <f>"Total Discount"&amp;CHAR(10)&amp;"₹"&amp;TEXT(Analysis!C5,"#,##0.00")</f>
        <v>Total Discount
₹5,56,990.00</v>
      </c>
      <c r="F3" s="22"/>
      <c r="G3" s="21" t="str">
        <f>"Average Selling Price"&amp;CHAR(10)&amp;"₹"&amp;TEXT(Analysis!C6,"#,##0.00")</f>
        <v>Average Selling Price
₹236.67</v>
      </c>
      <c r="H3" s="23"/>
      <c r="I3" s="21" t="str">
        <f>"Average Discount %"&amp;CHAR(10)&amp;TEXT(Analysis!C7,"0.00%")</f>
        <v>Average Discount %
26.39%</v>
      </c>
      <c r="J3" s="22"/>
    </row>
    <row r="4" spans="1:10" x14ac:dyDescent="0.3"/>
    <row r="5" spans="1:10" x14ac:dyDescent="0.3"/>
    <row r="6" spans="1:10" x14ac:dyDescent="0.3"/>
    <row r="7" spans="1:10" x14ac:dyDescent="0.3"/>
    <row r="8" spans="1:10" x14ac:dyDescent="0.3"/>
    <row r="9" spans="1:10" x14ac:dyDescent="0.3"/>
    <row r="10" spans="1:10" x14ac:dyDescent="0.3"/>
    <row r="11" spans="1:10" x14ac:dyDescent="0.3"/>
    <row r="12" spans="1:10" x14ac:dyDescent="0.3"/>
    <row r="13" spans="1:10" x14ac:dyDescent="0.3"/>
    <row r="14" spans="1:10" x14ac:dyDescent="0.3"/>
    <row r="15" spans="1:10" x14ac:dyDescent="0.3"/>
    <row r="16" spans="1:10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</sheetData>
  <mergeCells count="6">
    <mergeCell ref="A1:J2"/>
    <mergeCell ref="A3:B3"/>
    <mergeCell ref="C3:D3"/>
    <mergeCell ref="E3:F3"/>
    <mergeCell ref="G3:H3"/>
    <mergeCell ref="I3:J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17AA92-7FD0-4E80-8E3C-F6A7A9E3F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Data_Cleaning</vt:lpstr>
      <vt:lpstr>Analysis</vt:lpstr>
      <vt:lpstr>Pivot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STORAGE</dc:creator>
  <cp:lastModifiedBy>NATIONAL STORAGE</cp:lastModifiedBy>
  <dcterms:created xsi:type="dcterms:W3CDTF">2026-10-06T14:21:23Z</dcterms:created>
  <dcterms:modified xsi:type="dcterms:W3CDTF">2026-10-07T17:40:16Z</dcterms:modified>
</cp:coreProperties>
</file>